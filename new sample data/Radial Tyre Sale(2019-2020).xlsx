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" sheetId="1" r:id="rId4"/>
    <sheet state="visible" name="Pivot Table 3" sheetId="2" r:id="rId5"/>
    <sheet state="visible" name="Pivot Table 2" sheetId="3" r:id="rId6"/>
    <sheet state="visible" name="Sizes" sheetId="4" r:id="rId7"/>
    <sheet state="visible" name="Sheet3" sheetId="5" r:id="rId8"/>
  </sheets>
  <definedNames/>
  <calcPr/>
  <pivotCaches>
    <pivotCache cacheId="0" r:id="rId9"/>
    <pivotCache cacheId="1" r:id="rId10"/>
  </pivotCaches>
  <extLst>
    <ext uri="GoogleSheetsCustomDataVersion1">
      <go:sheetsCustomData xmlns:go="http://customooxmlschemas.google.com/" r:id="rId11" roundtripDataSignature="AMtx7mii3pmnN32nQKXsb/bA0KmG0KbT1A=="/>
    </ext>
  </extLst>
</workbook>
</file>

<file path=xl/sharedStrings.xml><?xml version="1.0" encoding="utf-8"?>
<sst xmlns="http://schemas.openxmlformats.org/spreadsheetml/2006/main" count="104" uniqueCount="29">
  <si>
    <t>Month</t>
  </si>
  <si>
    <t>145 R 12 C (YT-168)</t>
  </si>
  <si>
    <t>155 R 12 C (YT-168)</t>
  </si>
  <si>
    <t>165 R 13 C (YT-168)</t>
  </si>
  <si>
    <t>165/80 R 13 (YT-219)</t>
  </si>
  <si>
    <t>175 R 13 C (YT-168)</t>
  </si>
  <si>
    <t>175 R 14 C (YT-168)</t>
  </si>
  <si>
    <t>175 R 70 R 15 (YT-567)</t>
  </si>
  <si>
    <t>185/70 R 14 (Premier Taxi)</t>
  </si>
  <si>
    <t>185/70 R 14 (YT-P1)</t>
  </si>
  <si>
    <t>185 R 14 C (YT-168)</t>
  </si>
  <si>
    <t>195 R 14 C (YT-168)</t>
  </si>
  <si>
    <t>195/70 R 14 C (YT-569)</t>
  </si>
  <si>
    <t>195 R 15 C (YT-168)</t>
  </si>
  <si>
    <t>195/65 R 15 (YT-P1)</t>
  </si>
  <si>
    <t>205/70 R 15 (YT-579)</t>
  </si>
  <si>
    <t>205/65 R 15 (YT-P1)</t>
  </si>
  <si>
    <t>265 /70 R 16 (YT-700)</t>
  </si>
  <si>
    <t>6.50 R 16 LT (YTB-300)</t>
  </si>
  <si>
    <t>7.00 R 16 (YT-300)</t>
  </si>
  <si>
    <t>6.50 R 16 C (YTB-210)</t>
  </si>
  <si>
    <t>205/85 R 16 (YT-210)</t>
  </si>
  <si>
    <t>205/85 R 16 (YT-804)</t>
  </si>
  <si>
    <t>195/85 R 16 (YT-210)</t>
  </si>
  <si>
    <t>195/85 R 16 (YT-804)</t>
  </si>
  <si>
    <t>Grand Total</t>
  </si>
  <si>
    <t>Size</t>
  </si>
  <si>
    <t>Sizes</t>
  </si>
  <si>
    <t>annual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</si>
</sst>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yyyy"/>
    <numFmt numFmtId="165" formatCode="mmmmyyyy"/>
  </numFmts>
  <fonts count="7">
    <font>
      <sz val="11.0"/>
      <color rgb="FF000000"/>
      <name val="Calibri"/>
      <scheme val="minor"/>
    </font>
    <font>
      <b/>
      <sz val="11.0"/>
      <color theme="1"/>
      <name val="Times New Roman"/>
    </font>
    <font>
      <sz val="10.0"/>
      <color theme="1"/>
      <name val="Times New Roman"/>
    </font>
    <font>
      <sz val="9.0"/>
      <color theme="1"/>
      <name val="Times New Roman"/>
    </font>
    <font>
      <sz val="8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textRotation="90" vertical="center" wrapText="1"/>
    </xf>
    <xf borderId="1" fillId="0" fontId="2" numFmtId="0" xfId="0" applyAlignment="1" applyBorder="1" applyFont="1">
      <alignment horizontal="center" shrinkToFit="0" textRotation="90" vertical="center" wrapText="0"/>
    </xf>
    <xf borderId="1" fillId="0" fontId="3" numFmtId="0" xfId="0" applyAlignment="1" applyBorder="1" applyFont="1">
      <alignment horizontal="center" shrinkToFit="0" textRotation="90" vertical="center" wrapText="1"/>
    </xf>
    <xf borderId="1" fillId="0" fontId="2" numFmtId="0" xfId="0" applyAlignment="1" applyBorder="1" applyFont="1">
      <alignment horizontal="center" shrinkToFit="0" textRotation="90" vertical="center" wrapText="1"/>
    </xf>
    <xf borderId="2" fillId="0" fontId="2" numFmtId="0" xfId="0" applyAlignment="1" applyBorder="1" applyFont="1">
      <alignment horizontal="center" shrinkToFit="0" textRotation="90" vertical="center" wrapText="0"/>
    </xf>
    <xf borderId="1" fillId="2" fontId="2" numFmtId="0" xfId="0" applyAlignment="1" applyBorder="1" applyFill="1" applyFont="1">
      <alignment horizontal="center" shrinkToFit="0" textRotation="90" vertical="center" wrapText="1"/>
    </xf>
    <xf borderId="3" fillId="0" fontId="2" numFmtId="0" xfId="0" applyAlignment="1" applyBorder="1" applyFont="1">
      <alignment horizontal="center" shrinkToFit="0" textRotation="9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65" xfId="0" applyAlignment="1" applyBorder="1" applyFont="1" applyNumberFormat="1">
      <alignment horizontal="left" readingOrder="0" shrinkToFit="0" vertical="center" wrapText="0"/>
    </xf>
    <xf borderId="0" fillId="0" fontId="5" numFmtId="0" xfId="0" applyFont="1"/>
    <xf borderId="0" fillId="0" fontId="5" numFmtId="164" xfId="0" applyFont="1" applyNumberFormat="1"/>
    <xf borderId="0" fillId="0" fontId="5" numFmtId="165" xfId="0" applyFont="1" applyNumberFormat="1"/>
    <xf borderId="1" fillId="0" fontId="2" numFmtId="0" xfId="0" applyAlignment="1" applyBorder="1" applyFont="1">
      <alignment horizontal="center" readingOrder="0" shrinkToFit="0" textRotation="90" vertical="center" wrapText="0"/>
    </xf>
    <xf borderId="4" fillId="0" fontId="6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horizontal="center" shrinkToFit="0" textRotation="0" vertical="center" wrapText="0"/>
    </xf>
    <xf borderId="1" fillId="0" fontId="3" numFmtId="0" xfId="0" applyAlignment="1" applyBorder="1" applyFont="1">
      <alignment horizontal="center" shrinkToFit="0" textRotation="0" vertical="center" wrapText="1"/>
    </xf>
    <xf borderId="1" fillId="0" fontId="2" numFmtId="0" xfId="0" applyAlignment="1" applyBorder="1" applyFont="1">
      <alignment horizontal="center" shrinkToFit="0" textRotation="0" vertical="center" wrapText="1"/>
    </xf>
    <xf borderId="2" fillId="0" fontId="2" numFmtId="0" xfId="0" applyAlignment="1" applyBorder="1" applyFont="1">
      <alignment horizontal="center" shrinkToFit="0" textRotation="0" vertical="center" wrapText="0"/>
    </xf>
    <xf borderId="1" fillId="2" fontId="2" numFmtId="0" xfId="0" applyAlignment="1" applyBorder="1" applyFont="1">
      <alignment horizontal="center" shrinkToFit="0" textRotation="0" vertical="center" wrapText="1"/>
    </xf>
    <xf borderId="3" fillId="0" fontId="2" numFmtId="0" xfId="0" applyAlignment="1" applyBorder="1" applyFont="1">
      <alignment horizontal="center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Y13" sheet="2019"/>
  </cacheSource>
  <cacheFields>
    <cacheField name="Month" numFmtId="164">
      <sharedItems containsSemiMixedTypes="0" containsDate="1" containsString="0">
        <d v="2019-07-01T00:00:00Z"/>
        <d v="2019-08-01T00:00:00Z"/>
        <d v="2019-09-01T00:00:00Z"/>
        <d v="2019-10-01T00:00:00Z"/>
        <d v="2019-11-01T00:00:00Z"/>
        <d v="2019-12-01T00:00:00Z"/>
        <d v="2020-01-01T00:00:00Z"/>
        <d v="2020-02-01T00:00:00Z"/>
        <d v="2020-03-01T00:00:00Z"/>
        <d v="2020-04-01T00:00:00Z"/>
        <d v="2020-05-01T00:00:00Z"/>
        <d v="2020-06-01T00:00:00Z"/>
      </sharedItems>
    </cacheField>
    <cacheField name="145 R 12 C (YT-168)" numFmtId="0">
      <sharedItems containsSemiMixedTypes="0" containsString="0" containsNumber="1" containsInteger="1">
        <n v="2887.0"/>
        <n v="2109.0"/>
        <n v="2960.0"/>
        <n v="2987.0"/>
        <n v="5294.0"/>
        <n v="2001.0"/>
        <n v="2571.0"/>
        <n v="2385.0"/>
        <n v="3352.0"/>
        <n v="1079.0"/>
        <n v="2247.0"/>
        <n v="3847.0"/>
      </sharedItems>
    </cacheField>
    <cacheField name="155 R 12 C (YT-168)" numFmtId="0">
      <sharedItems containsSemiMixedTypes="0" containsString="0" containsNumber="1" containsInteger="1">
        <n v="2829.0"/>
        <n v="1334.0"/>
        <n v="2306.0"/>
        <n v="2798.0"/>
        <n v="3341.0"/>
        <n v="2350.0"/>
        <n v="2160.0"/>
        <n v="1934.0"/>
        <n v="2985.0"/>
        <n v="920.0"/>
        <n v="1912.0"/>
        <n v="1377.0"/>
      </sharedItems>
    </cacheField>
    <cacheField name="165 R 13 C (YT-168)" numFmtId="0">
      <sharedItems containsSemiMixedTypes="0" containsString="0" containsNumber="1" containsInteger="1">
        <n v="1542.0"/>
        <n v="1461.0"/>
        <n v="1730.0"/>
        <n v="2008.0"/>
        <n v="1788.0"/>
        <n v="1372.0"/>
        <n v="2476.0"/>
        <n v="1420.0"/>
        <n v="2524.0"/>
        <n v="840.0"/>
        <n v="1941.0"/>
        <n v="425.0"/>
      </sharedItems>
    </cacheField>
    <cacheField name="165/80 R 13 (YT-219)" numFmtId="0">
      <sharedItems containsSemiMixedTypes="0" containsString="0" containsNumber="1" containsInteger="1">
        <n v="766.0"/>
        <n v="597.0"/>
        <n v="696.0"/>
        <n v="992.0"/>
        <n v="861.0"/>
        <n v="523.0"/>
        <n v="1151.0"/>
        <n v="302.0"/>
        <n v="516.0"/>
        <n v="195.0"/>
        <n v="205.0"/>
      </sharedItems>
    </cacheField>
    <cacheField name="175 R 13 C (YT-168)" numFmtId="0">
      <sharedItems containsSemiMixedTypes="0" containsString="0" containsNumber="1" containsInteger="1">
        <n v="792.0"/>
        <n v="278.0"/>
        <n v="421.0"/>
        <n v="607.0"/>
        <n v="392.0"/>
        <n v="428.0"/>
        <n v="211.0"/>
        <n v="519.0"/>
        <n v="371.0"/>
        <n v="120.0"/>
        <n v="287.0"/>
        <n v="521.0"/>
      </sharedItems>
    </cacheField>
    <cacheField name="175 R 14 C (YT-168)" numFmtId="0">
      <sharedItems containsSemiMixedTypes="0" containsString="0" containsNumber="1" containsInteger="1">
        <n v="405.0"/>
        <n v="391.0"/>
        <n v="704.0"/>
        <n v="673.0"/>
        <n v="850.0"/>
        <n v="300.0"/>
        <n v="1034.0"/>
        <n v="888.0"/>
        <n v="848.0"/>
        <n v="266.0"/>
        <n v="504.0"/>
        <n v="156.0"/>
      </sharedItems>
    </cacheField>
    <cacheField name="175 R 70 R 15 (YT-567)" numFmtId="0">
      <sharedItems containsString="0" containsBlank="1" containsNumber="1" containsInteger="1">
        <m/>
        <n v="425.0"/>
        <n v="126.0"/>
        <n v="4.0"/>
        <n v="104.0"/>
        <n v="125.0"/>
        <n v="5.0"/>
        <n v="209.0"/>
      </sharedItems>
    </cacheField>
    <cacheField name="185/70 R 14 (Premier Taxi)" numFmtId="0">
      <sharedItems containsSemiMixedTypes="0" containsString="0" containsNumber="1" containsInteger="1">
        <n v="1966.0"/>
        <n v="1898.0"/>
        <n v="2269.0"/>
        <n v="1913.0"/>
        <n v="2554.0"/>
        <n v="2707.0"/>
        <n v="2489.0"/>
        <n v="1907.0"/>
        <n v="2525.0"/>
        <n v="865.0"/>
        <n v="1495.0"/>
        <n v="1377.0"/>
      </sharedItems>
    </cacheField>
    <cacheField name="185/70 R 14 (YT-P1)" numFmtId="0">
      <sharedItems containsString="0" containsBlank="1" containsNumber="1" containsInteger="1">
        <m/>
        <n v="1.0"/>
      </sharedItems>
    </cacheField>
    <cacheField name="185 R 14 C (YT-168)" numFmtId="0">
      <sharedItems containsSemiMixedTypes="0" containsString="0" containsNumber="1" containsInteger="1">
        <n v="1044.0"/>
        <n v="283.0"/>
        <n v="388.0"/>
        <n v="622.0"/>
        <n v="536.0"/>
        <n v="315.0"/>
        <n v="628.0"/>
        <n v="561.0"/>
        <n v="476.0"/>
        <n v="290.0"/>
        <n v="415.0"/>
        <n v="301.0"/>
      </sharedItems>
    </cacheField>
    <cacheField name="195 R 14 C (YT-168)" numFmtId="0">
      <sharedItems containsSemiMixedTypes="0" containsString="0" containsNumber="1" containsInteger="1">
        <n v="10.0"/>
        <n v="636.0"/>
        <n v="600.0"/>
        <n v="875.0"/>
        <n v="538.0"/>
        <n v="731.0"/>
        <n v="523.0"/>
        <n v="733.0"/>
        <n v="1051.0"/>
        <n v="60.0"/>
        <n v="769.0"/>
      </sharedItems>
    </cacheField>
    <cacheField name="195/70 R 14 C (YT-569)" numFmtId="0">
      <sharedItems containsString="0" containsBlank="1" containsNumber="1" containsInteger="1">
        <m/>
        <n v="300.0"/>
        <n v="8.0"/>
      </sharedItems>
    </cacheField>
    <cacheField name="195 R 15 C (YT-168)" numFmtId="0">
      <sharedItems containsSemiMixedTypes="0" containsString="0" containsNumber="1" containsInteger="1">
        <n v="1862.0"/>
        <n v="1054.0"/>
        <n v="3089.0"/>
        <n v="2030.0"/>
        <n v="2363.0"/>
        <n v="2800.0"/>
        <n v="1948.0"/>
        <n v="2541.0"/>
        <n v="3210.0"/>
        <n v="1784.0"/>
        <n v="2656.0"/>
        <n v="2025.0"/>
      </sharedItems>
    </cacheField>
    <cacheField name="195/65 R 15 (YT-P1)" numFmtId="0">
      <sharedItems containsString="0" containsBlank="1" containsNumber="1" containsInteger="1">
        <m/>
        <n v="700.0"/>
        <n v="135.0"/>
        <n v="167.0"/>
        <n v="12.0"/>
      </sharedItems>
    </cacheField>
    <cacheField name="205/70 R 15 (YT-579)" numFmtId="0">
      <sharedItems containsString="0" containsBlank="1" containsNumber="1" containsInteger="1">
        <n v="1682.0"/>
        <n v="1349.0"/>
        <n v="1457.0"/>
        <n v="1072.0"/>
        <n v="2167.0"/>
        <n v="1493.0"/>
        <n v="251.0"/>
        <n v="340.0"/>
        <n v="249.0"/>
        <m/>
        <n v="2.0"/>
        <n v="61.0"/>
      </sharedItems>
    </cacheField>
    <cacheField name="205/65 R 15 (YT-P1)" numFmtId="0">
      <sharedItems containsString="0" containsBlank="1" containsNumber="1" containsInteger="1">
        <m/>
        <n v="370.0"/>
        <n v="318.0"/>
        <n v="205.0"/>
        <n v="187.0"/>
        <n v="1747.0"/>
        <n v="1809.0"/>
        <n v="924.0"/>
        <n v="585.0"/>
        <n v="1411.0"/>
        <n v="731.0"/>
      </sharedItems>
    </cacheField>
    <cacheField name="265 /70 R 16 (YT-700)" numFmtId="0">
      <sharedItems containsSemiMixedTypes="0" containsString="0" containsNumber="1" containsInteger="1">
        <n v="4.0"/>
        <n v="384.0"/>
        <n v="329.0"/>
        <n v="298.0"/>
        <n v="783.0"/>
        <n v="530.0"/>
        <n v="257.0"/>
        <n v="290.0"/>
        <n v="138.0"/>
        <n v="120.0"/>
        <n v="200.0"/>
      </sharedItems>
    </cacheField>
    <cacheField name="6.50 R 16 LT (YTB-300)" numFmtId="0">
      <sharedItems containsString="0" containsBlank="1" containsNumber="1" containsInteger="1">
        <m/>
        <n v="10.0"/>
        <n v="86.0"/>
        <n v="275.0"/>
        <n v="377.0"/>
        <n v="657.0"/>
        <n v="367.0"/>
        <n v="220.0"/>
        <n v="679.0"/>
        <n v="673.0"/>
      </sharedItems>
    </cacheField>
    <cacheField name="7.00 R 16 (YT-300)" numFmtId="0">
      <sharedItems containsString="0" containsBlank="1" containsNumber="1" containsInteger="1">
        <m/>
        <n v="80.0"/>
        <n v="128.0"/>
        <n v="120.0"/>
        <n v="2.0"/>
      </sharedItems>
    </cacheField>
    <cacheField name="6.50 R 16 C (YTB-210)" numFmtId="0">
      <sharedItems containsString="0" containsBlank="1" containsNumber="1" containsInteger="1">
        <n v="225.0"/>
        <n v="192.0"/>
        <n v="357.0"/>
        <n v="226.0"/>
        <n v="306.0"/>
        <n v="183.0"/>
        <m/>
      </sharedItems>
    </cacheField>
    <cacheField name="205/85 R 16 (YT-210)" numFmtId="0">
      <sharedItems containsString="0" containsBlank="1" containsNumber="1" containsInteger="1">
        <m/>
        <n v="208.0"/>
        <n v="268.0"/>
        <n v="257.0"/>
        <n v="20.0"/>
        <n v="631.0"/>
        <n v="538.0"/>
      </sharedItems>
    </cacheField>
    <cacheField name="205/85 R 16 (YT-804)" numFmtId="0">
      <sharedItems containsString="0" containsBlank="1">
        <m/>
      </sharedItems>
    </cacheField>
    <cacheField name="195/85 R 16 (YT-210)" numFmtId="0">
      <sharedItems containsString="0" containsBlank="1" containsNumber="1" containsInteger="1">
        <m/>
        <n v="3.0"/>
        <n v="70.0"/>
        <n v="30.0"/>
        <n v="54.0"/>
        <n v="280.0"/>
      </sharedItems>
    </cacheField>
    <cacheField name="195/85 R 16 (YT-804)" numFmtId="0">
      <sharedItems containsString="0" containsBlank="1" containsNumber="1" containsInteger="1">
        <m/>
        <n v="120.0"/>
        <n v="100.0"/>
        <n v="20.0"/>
        <n v="65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24" sheet="Sizes"/>
  </cacheSource>
  <cacheFields>
    <cacheField name="Size" numFmtId="0">
      <sharedItems>
        <s v="145 R 12 C (YT-168)"/>
        <s v="155 R 12 C (YT-168)"/>
        <s v="165 R 13 C (YT-168)"/>
        <s v="165/80 R 13 (YT-219)"/>
        <s v="175 R 13 C (YT-168)"/>
        <s v="175 R 14 C (YT-168)"/>
        <s v="175 R 70 R 15 (YT-567)"/>
        <s v="185/70 R 14 (Premier Taxi)"/>
        <s v="185/70 R 14 (YT-P1)"/>
        <s v="185 R 14 C (YT-168)"/>
        <s v="195 R 14 C (YT-168)"/>
        <s v="195/70 R 14 C (YT-569)"/>
        <s v="195 R 15 C (YT-168)"/>
        <s v="195/65 R 15 (YT-P1)"/>
        <s v="205/70 R 15 (YT-579)"/>
        <s v="205/65 R 15 (YT-P1)"/>
        <s v="265 /70 R 16 (YT-700)"/>
        <s v="6.50 R 16 LT (YTB-300)"/>
        <s v="7.00 R 16 (YT-300)"/>
        <s v="6.50 R 16 C (YTB-210)"/>
        <s v="205/85 R 16 (YT-210)"/>
        <s v="205/85 R 16 (YT-804)"/>
        <s v="195/85 R 16 (YT-210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N15" firstHeaderRow="0" firstDataRow="1" firstDataCol="1"/>
  <pivotFields>
    <pivotField name="Month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45 R 12 C (YT-168)" axis="axisCol" compact="0" outline="0" multipleItemSelectionAllowed="1" showAll="0" sortType="ascending">
      <items>
        <item x="9"/>
        <item x="5"/>
        <item x="1"/>
        <item x="10"/>
        <item x="7"/>
        <item x="6"/>
        <item x="0"/>
        <item x="2"/>
        <item x="3"/>
        <item x="8"/>
        <item x="11"/>
        <item x="4"/>
        <item t="default"/>
      </items>
    </pivotField>
    <pivotField name="155 R 12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65 R 13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65/80 R 13 (YT-219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75 R 13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75 R 14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75 R 70 R 15 (YT-567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185/70 R 14 (Premier Taxi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85/70 R 14 (YT-P1)" compact="0" outline="0" multipleItemSelectionAllowed="1" showAll="0">
      <items>
        <item x="0"/>
        <item x="1"/>
        <item t="default"/>
      </items>
    </pivotField>
    <pivotField name="185 R 14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95 R 14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95/70 R 14 C (YT-569)" compact="0" outline="0" multipleItemSelectionAllowed="1" showAll="0">
      <items>
        <item x="0"/>
        <item x="1"/>
        <item x="2"/>
        <item t="default"/>
      </items>
    </pivotField>
    <pivotField name="195 R 15 C (YT-168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95/65 R 15 (YT-P1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205/70 R 15 (YT-579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205/65 R 15 (YT-P1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65 /70 R 16 (YT-7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6.50 R 16 LT (YTB-300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7.00 R 16 (YT-300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6.50 R 16 C (YTB-210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205/85 R 16 (YT-210)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205/85 R 16 (YT-804)" compact="0" outline="0" multipleItemSelectionAllowed="1" showAll="0">
      <items>
        <item x="0"/>
        <item t="default"/>
      </items>
    </pivotField>
    <pivotField name="195/85 R 16 (YT-210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195/85 R 16 (YT-804)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colFields>
    <field x="1"/>
  </col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B25" firstHeaderRow="0" firstDataRow="1" firstDataCol="0"/>
  <pivotFields>
    <pivotField name="Siz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9"/>
        <item x="7"/>
        <item x="8"/>
        <item x="10"/>
        <item x="12"/>
        <item x="13"/>
        <item x="11"/>
        <item x="22"/>
        <item x="15"/>
        <item x="14"/>
        <item x="20"/>
        <item x="21"/>
        <item x="16"/>
        <item x="19"/>
        <item x="17"/>
        <item x="18"/>
        <item t="default"/>
      </items>
    </pivotField>
  </pivotFields>
  <rowFields>
    <field x="0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4" width="6.29"/>
    <col customWidth="1" min="5" max="5" width="5.71"/>
    <col customWidth="1" min="6" max="8" width="5.14"/>
    <col customWidth="1" min="9" max="9" width="7.43"/>
    <col customWidth="1" min="10" max="13" width="5.14"/>
    <col customWidth="1" min="14" max="14" width="6.29"/>
    <col customWidth="1" min="15" max="15" width="5.14"/>
    <col customWidth="1" min="16" max="16" width="6.29"/>
    <col customWidth="1" min="17" max="18" width="5.14"/>
    <col customWidth="1" min="19" max="20" width="4.57"/>
    <col customWidth="1" min="21" max="21" width="10.43"/>
    <col customWidth="1" min="22" max="22" width="11.57"/>
    <col customWidth="1" min="23" max="23" width="10.86"/>
    <col customWidth="1" min="24" max="24" width="10.0"/>
    <col customWidth="1" min="25" max="25" width="9.86"/>
  </cols>
  <sheetData>
    <row r="1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</row>
    <row r="2" ht="56.25" customHeight="1">
      <c r="A2" s="8">
        <v>43647.0</v>
      </c>
      <c r="B2" s="9">
        <v>2887.0</v>
      </c>
      <c r="C2" s="10">
        <v>2829.0</v>
      </c>
      <c r="D2" s="10">
        <v>1542.0</v>
      </c>
      <c r="E2" s="9">
        <v>766.0</v>
      </c>
      <c r="F2" s="9">
        <v>792.0</v>
      </c>
      <c r="G2" s="10">
        <v>405.0</v>
      </c>
      <c r="H2" s="10"/>
      <c r="I2" s="9">
        <v>1966.0</v>
      </c>
      <c r="J2" s="9"/>
      <c r="K2" s="9">
        <v>1044.0</v>
      </c>
      <c r="L2" s="9">
        <v>10.0</v>
      </c>
      <c r="M2" s="9"/>
      <c r="N2" s="9">
        <v>1862.0</v>
      </c>
      <c r="O2" s="9"/>
      <c r="P2" s="9">
        <v>1682.0</v>
      </c>
      <c r="Q2" s="9"/>
      <c r="R2" s="9">
        <v>4.0</v>
      </c>
      <c r="S2" s="9"/>
      <c r="T2" s="9"/>
      <c r="U2" s="9">
        <v>225.0</v>
      </c>
      <c r="V2" s="9"/>
      <c r="W2" s="9"/>
      <c r="X2" s="9"/>
      <c r="Y2" s="9"/>
    </row>
    <row r="3" ht="56.25" customHeight="1">
      <c r="A3" s="8">
        <v>43678.0</v>
      </c>
      <c r="B3" s="9">
        <v>2109.0</v>
      </c>
      <c r="C3" s="10">
        <v>1334.0</v>
      </c>
      <c r="D3" s="10">
        <v>1461.0</v>
      </c>
      <c r="E3" s="9">
        <v>597.0</v>
      </c>
      <c r="F3" s="9">
        <v>278.0</v>
      </c>
      <c r="G3" s="10">
        <v>391.0</v>
      </c>
      <c r="H3" s="10"/>
      <c r="I3" s="9">
        <v>1898.0</v>
      </c>
      <c r="J3" s="9"/>
      <c r="K3" s="9">
        <v>283.0</v>
      </c>
      <c r="L3" s="9">
        <v>636.0</v>
      </c>
      <c r="M3" s="9"/>
      <c r="N3" s="9">
        <v>1054.0</v>
      </c>
      <c r="O3" s="9"/>
      <c r="P3" s="9">
        <v>1349.0</v>
      </c>
      <c r="Q3" s="9"/>
      <c r="R3" s="9">
        <v>384.0</v>
      </c>
      <c r="S3" s="9">
        <v>10.0</v>
      </c>
      <c r="T3" s="9"/>
      <c r="U3" s="9">
        <v>192.0</v>
      </c>
      <c r="V3" s="9"/>
      <c r="W3" s="9"/>
      <c r="X3" s="9">
        <v>3.0</v>
      </c>
      <c r="Y3" s="9"/>
    </row>
    <row r="4" ht="56.25" customHeight="1">
      <c r="A4" s="8">
        <v>43709.0</v>
      </c>
      <c r="B4" s="9">
        <v>2960.0</v>
      </c>
      <c r="C4" s="10">
        <v>2306.0</v>
      </c>
      <c r="D4" s="10">
        <v>1730.0</v>
      </c>
      <c r="E4" s="9">
        <v>696.0</v>
      </c>
      <c r="F4" s="9">
        <v>421.0</v>
      </c>
      <c r="G4" s="10">
        <v>704.0</v>
      </c>
      <c r="H4" s="10"/>
      <c r="I4" s="9">
        <v>2269.0</v>
      </c>
      <c r="J4" s="9"/>
      <c r="K4" s="9">
        <v>388.0</v>
      </c>
      <c r="L4" s="9">
        <v>600.0</v>
      </c>
      <c r="M4" s="9"/>
      <c r="N4" s="9">
        <v>3089.0</v>
      </c>
      <c r="O4" s="9"/>
      <c r="P4" s="9">
        <v>1457.0</v>
      </c>
      <c r="Q4" s="9">
        <v>370.0</v>
      </c>
      <c r="R4" s="9">
        <v>329.0</v>
      </c>
      <c r="S4" s="9"/>
      <c r="T4" s="9"/>
      <c r="U4" s="9">
        <v>357.0</v>
      </c>
      <c r="V4" s="9"/>
      <c r="W4" s="9"/>
      <c r="X4" s="9"/>
      <c r="Y4" s="9"/>
    </row>
    <row r="5" ht="56.25" customHeight="1">
      <c r="A5" s="8">
        <v>43739.0</v>
      </c>
      <c r="B5" s="9">
        <v>2987.0</v>
      </c>
      <c r="C5" s="9">
        <v>2798.0</v>
      </c>
      <c r="D5" s="9">
        <v>2008.0</v>
      </c>
      <c r="E5" s="9">
        <v>992.0</v>
      </c>
      <c r="F5" s="9">
        <v>607.0</v>
      </c>
      <c r="G5" s="9">
        <v>673.0</v>
      </c>
      <c r="H5" s="9">
        <v>425.0</v>
      </c>
      <c r="I5" s="9">
        <v>1913.0</v>
      </c>
      <c r="J5" s="9"/>
      <c r="K5" s="9">
        <v>622.0</v>
      </c>
      <c r="L5" s="9">
        <v>875.0</v>
      </c>
      <c r="M5" s="9">
        <v>300.0</v>
      </c>
      <c r="N5" s="9">
        <v>2030.0</v>
      </c>
      <c r="O5" s="9">
        <v>700.0</v>
      </c>
      <c r="P5" s="9">
        <v>1072.0</v>
      </c>
      <c r="Q5" s="9">
        <v>318.0</v>
      </c>
      <c r="R5" s="9">
        <v>298.0</v>
      </c>
      <c r="S5" s="9"/>
      <c r="T5" s="9"/>
      <c r="U5" s="9">
        <v>226.0</v>
      </c>
      <c r="V5" s="9"/>
      <c r="W5" s="9"/>
      <c r="X5" s="9"/>
      <c r="Y5" s="9"/>
    </row>
    <row r="6" ht="56.25" customHeight="1">
      <c r="A6" s="8">
        <v>43770.0</v>
      </c>
      <c r="B6" s="11">
        <v>5294.0</v>
      </c>
      <c r="C6" s="11">
        <v>3341.0</v>
      </c>
      <c r="D6" s="11">
        <v>1788.0</v>
      </c>
      <c r="E6" s="11">
        <v>861.0</v>
      </c>
      <c r="F6" s="11">
        <v>392.0</v>
      </c>
      <c r="G6" s="11">
        <v>850.0</v>
      </c>
      <c r="H6" s="11">
        <v>126.0</v>
      </c>
      <c r="I6" s="12">
        <v>2554.0</v>
      </c>
      <c r="J6" s="9"/>
      <c r="K6" s="11">
        <v>536.0</v>
      </c>
      <c r="L6" s="11">
        <v>538.0</v>
      </c>
      <c r="M6" s="9"/>
      <c r="N6" s="11">
        <v>2363.0</v>
      </c>
      <c r="O6" s="13">
        <v>135.0</v>
      </c>
      <c r="P6" s="11">
        <v>2167.0</v>
      </c>
      <c r="Q6" s="11">
        <v>205.0</v>
      </c>
      <c r="R6" s="11">
        <v>783.0</v>
      </c>
      <c r="S6" s="11">
        <v>86.0</v>
      </c>
      <c r="T6" s="9"/>
      <c r="U6" s="11">
        <v>306.0</v>
      </c>
      <c r="V6" s="9"/>
      <c r="W6" s="9"/>
      <c r="X6" s="9"/>
      <c r="Y6" s="9"/>
    </row>
    <row r="7" ht="56.25" customHeight="1">
      <c r="A7" s="8">
        <v>43800.0</v>
      </c>
      <c r="B7" s="9">
        <v>2001.0</v>
      </c>
      <c r="C7" s="9">
        <v>2350.0</v>
      </c>
      <c r="D7" s="9">
        <v>1372.0</v>
      </c>
      <c r="E7" s="9">
        <v>523.0</v>
      </c>
      <c r="F7" s="9">
        <v>428.0</v>
      </c>
      <c r="G7" s="9">
        <v>300.0</v>
      </c>
      <c r="H7" s="9">
        <v>4.0</v>
      </c>
      <c r="I7" s="9">
        <v>2707.0</v>
      </c>
      <c r="J7" s="9"/>
      <c r="K7" s="9">
        <v>315.0</v>
      </c>
      <c r="L7" s="9">
        <v>731.0</v>
      </c>
      <c r="M7" s="9"/>
      <c r="N7" s="9">
        <v>2800.0</v>
      </c>
      <c r="O7" s="9">
        <v>167.0</v>
      </c>
      <c r="P7" s="9">
        <v>1493.0</v>
      </c>
      <c r="Q7" s="9">
        <v>187.0</v>
      </c>
      <c r="R7" s="9">
        <v>530.0</v>
      </c>
      <c r="S7" s="9">
        <v>275.0</v>
      </c>
      <c r="T7" s="9"/>
      <c r="U7" s="9">
        <v>183.0</v>
      </c>
      <c r="V7" s="9"/>
      <c r="W7" s="9"/>
      <c r="X7" s="9"/>
      <c r="Y7" s="9"/>
    </row>
    <row r="8" ht="56.25" customHeight="1">
      <c r="A8" s="8">
        <v>43831.0</v>
      </c>
      <c r="B8" s="14">
        <v>2571.0</v>
      </c>
      <c r="C8" s="14">
        <v>2160.0</v>
      </c>
      <c r="D8" s="14">
        <v>2476.0</v>
      </c>
      <c r="E8" s="14">
        <v>1151.0</v>
      </c>
      <c r="F8" s="14">
        <v>211.0</v>
      </c>
      <c r="G8" s="14">
        <v>1034.0</v>
      </c>
      <c r="H8" s="14">
        <v>104.0</v>
      </c>
      <c r="I8" s="14">
        <v>2489.0</v>
      </c>
      <c r="J8" s="14"/>
      <c r="K8" s="14">
        <v>628.0</v>
      </c>
      <c r="L8" s="14">
        <v>523.0</v>
      </c>
      <c r="M8" s="14"/>
      <c r="N8" s="14">
        <v>1948.0</v>
      </c>
      <c r="O8" s="14"/>
      <c r="P8" s="14">
        <v>251.0</v>
      </c>
      <c r="Q8" s="14">
        <v>1747.0</v>
      </c>
      <c r="R8" s="14">
        <v>257.0</v>
      </c>
      <c r="S8" s="14">
        <v>377.0</v>
      </c>
      <c r="T8" s="14">
        <v>80.0</v>
      </c>
      <c r="U8" s="14"/>
      <c r="V8" s="14">
        <v>208.0</v>
      </c>
      <c r="W8" s="14"/>
      <c r="X8" s="14"/>
      <c r="Y8" s="14"/>
    </row>
    <row r="9" ht="60.75" customHeight="1">
      <c r="A9" s="8">
        <v>43862.0</v>
      </c>
      <c r="B9" s="14">
        <v>2385.0</v>
      </c>
      <c r="C9" s="14">
        <v>1934.0</v>
      </c>
      <c r="D9" s="14">
        <v>1420.0</v>
      </c>
      <c r="E9" s="14">
        <v>302.0</v>
      </c>
      <c r="F9" s="14">
        <v>519.0</v>
      </c>
      <c r="G9" s="14">
        <v>888.0</v>
      </c>
      <c r="H9" s="14">
        <v>4.0</v>
      </c>
      <c r="I9" s="14">
        <v>1907.0</v>
      </c>
      <c r="J9" s="14"/>
      <c r="K9" s="14">
        <v>561.0</v>
      </c>
      <c r="L9" s="14">
        <v>733.0</v>
      </c>
      <c r="M9" s="14"/>
      <c r="N9" s="14">
        <v>2541.0</v>
      </c>
      <c r="O9" s="14"/>
      <c r="P9" s="14">
        <v>340.0</v>
      </c>
      <c r="Q9" s="14">
        <v>1809.0</v>
      </c>
      <c r="R9" s="14">
        <v>290.0</v>
      </c>
      <c r="S9" s="14">
        <v>657.0</v>
      </c>
      <c r="T9" s="14">
        <v>128.0</v>
      </c>
      <c r="U9" s="14"/>
      <c r="V9" s="14">
        <v>268.0</v>
      </c>
      <c r="W9" s="14"/>
      <c r="X9" s="14"/>
      <c r="Y9" s="14"/>
    </row>
    <row r="10" ht="43.5" customHeight="1">
      <c r="A10" s="15">
        <v>43891.0</v>
      </c>
      <c r="B10" s="14">
        <v>3352.0</v>
      </c>
      <c r="C10" s="14">
        <v>2985.0</v>
      </c>
      <c r="D10" s="14">
        <v>2524.0</v>
      </c>
      <c r="E10" s="14">
        <v>516.0</v>
      </c>
      <c r="F10" s="14">
        <v>371.0</v>
      </c>
      <c r="G10" s="14">
        <v>848.0</v>
      </c>
      <c r="H10" s="14">
        <v>125.0</v>
      </c>
      <c r="I10" s="14">
        <v>2525.0</v>
      </c>
      <c r="J10" s="14"/>
      <c r="K10" s="14">
        <v>476.0</v>
      </c>
      <c r="L10" s="14">
        <v>1051.0</v>
      </c>
      <c r="M10" s="14"/>
      <c r="N10" s="14">
        <v>3210.0</v>
      </c>
      <c r="O10" s="14"/>
      <c r="P10" s="14">
        <v>249.0</v>
      </c>
      <c r="Q10" s="14">
        <v>924.0</v>
      </c>
      <c r="R10" s="14">
        <v>138.0</v>
      </c>
      <c r="S10" s="14">
        <v>367.0</v>
      </c>
      <c r="T10" s="14">
        <v>120.0</v>
      </c>
      <c r="U10" s="14"/>
      <c r="V10" s="14">
        <v>257.0</v>
      </c>
      <c r="W10" s="14"/>
      <c r="X10" s="14">
        <v>70.0</v>
      </c>
      <c r="Y10" s="14">
        <v>120.0</v>
      </c>
    </row>
    <row r="11" ht="42.75" customHeight="1">
      <c r="A11" s="8">
        <v>43922.0</v>
      </c>
      <c r="B11" s="14">
        <v>1079.0</v>
      </c>
      <c r="C11" s="14">
        <v>920.0</v>
      </c>
      <c r="D11" s="14">
        <v>840.0</v>
      </c>
      <c r="E11" s="14">
        <v>195.0</v>
      </c>
      <c r="F11" s="14">
        <v>120.0</v>
      </c>
      <c r="G11" s="14">
        <v>266.0</v>
      </c>
      <c r="H11" s="14"/>
      <c r="I11" s="14">
        <v>865.0</v>
      </c>
      <c r="J11" s="14"/>
      <c r="K11" s="14">
        <v>290.0</v>
      </c>
      <c r="L11" s="14">
        <v>60.0</v>
      </c>
      <c r="M11" s="14"/>
      <c r="N11" s="14">
        <v>1784.0</v>
      </c>
      <c r="O11" s="14"/>
      <c r="P11" s="14"/>
      <c r="Q11" s="14">
        <v>585.0</v>
      </c>
      <c r="R11" s="14">
        <v>120.0</v>
      </c>
      <c r="S11" s="14">
        <v>220.0</v>
      </c>
      <c r="T11" s="14"/>
      <c r="U11" s="14"/>
      <c r="V11" s="14">
        <v>20.0</v>
      </c>
      <c r="W11" s="14"/>
      <c r="X11" s="14">
        <v>30.0</v>
      </c>
      <c r="Y11" s="14">
        <v>100.0</v>
      </c>
    </row>
    <row r="12" ht="53.25" customHeight="1">
      <c r="A12" s="8">
        <v>43952.0</v>
      </c>
      <c r="B12" s="14">
        <v>2247.0</v>
      </c>
      <c r="C12" s="14">
        <v>1912.0</v>
      </c>
      <c r="D12" s="14">
        <v>1941.0</v>
      </c>
      <c r="E12" s="14">
        <v>205.0</v>
      </c>
      <c r="F12" s="14">
        <v>287.0</v>
      </c>
      <c r="G12" s="14">
        <v>504.0</v>
      </c>
      <c r="H12" s="14">
        <v>5.0</v>
      </c>
      <c r="I12" s="14">
        <v>1495.0</v>
      </c>
      <c r="J12" s="14"/>
      <c r="K12" s="14">
        <v>415.0</v>
      </c>
      <c r="L12" s="14">
        <v>769.0</v>
      </c>
      <c r="M12" s="14"/>
      <c r="N12" s="14">
        <v>2656.0</v>
      </c>
      <c r="O12" s="14"/>
      <c r="P12" s="14">
        <v>2.0</v>
      </c>
      <c r="Q12" s="14">
        <v>1411.0</v>
      </c>
      <c r="R12" s="14">
        <v>200.0</v>
      </c>
      <c r="S12" s="14">
        <v>679.0</v>
      </c>
      <c r="T12" s="14"/>
      <c r="U12" s="14"/>
      <c r="V12" s="14">
        <v>631.0</v>
      </c>
      <c r="W12" s="14"/>
      <c r="X12" s="14">
        <v>54.0</v>
      </c>
      <c r="Y12" s="14">
        <v>20.0</v>
      </c>
    </row>
    <row r="13" ht="42.0" customHeight="1">
      <c r="A13" s="8">
        <v>43983.0</v>
      </c>
      <c r="B13" s="14">
        <v>3847.0</v>
      </c>
      <c r="C13" s="14">
        <v>1377.0</v>
      </c>
      <c r="D13" s="14">
        <v>425.0</v>
      </c>
      <c r="E13" s="14">
        <v>696.0</v>
      </c>
      <c r="F13" s="14">
        <v>521.0</v>
      </c>
      <c r="G13" s="14">
        <v>156.0</v>
      </c>
      <c r="H13" s="14">
        <v>209.0</v>
      </c>
      <c r="I13" s="14">
        <v>1377.0</v>
      </c>
      <c r="J13" s="14">
        <v>1.0</v>
      </c>
      <c r="K13" s="14">
        <v>301.0</v>
      </c>
      <c r="L13" s="14">
        <v>875.0</v>
      </c>
      <c r="M13" s="14">
        <v>8.0</v>
      </c>
      <c r="N13" s="14">
        <v>2025.0</v>
      </c>
      <c r="O13" s="14">
        <v>12.0</v>
      </c>
      <c r="P13" s="14">
        <v>61.0</v>
      </c>
      <c r="Q13" s="14">
        <v>731.0</v>
      </c>
      <c r="R13" s="14">
        <v>120.0</v>
      </c>
      <c r="S13" s="14">
        <v>673.0</v>
      </c>
      <c r="T13" s="14">
        <v>2.0</v>
      </c>
      <c r="U13" s="14"/>
      <c r="V13" s="14">
        <v>538.0</v>
      </c>
      <c r="W13" s="14"/>
      <c r="X13" s="14">
        <v>280.0</v>
      </c>
      <c r="Y13" s="14">
        <v>65.0</v>
      </c>
    </row>
  </sheetData>
  <printOptions/>
  <pageMargins bottom="0.0" footer="0.0" header="0.0" left="0.0" right="0.0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9" t="s">
        <v>26</v>
      </c>
    </row>
    <row r="2">
      <c r="A2" s="20" t="s">
        <v>1</v>
      </c>
    </row>
    <row r="3">
      <c r="A3" s="20" t="s">
        <v>2</v>
      </c>
    </row>
    <row r="4">
      <c r="A4" s="20" t="s">
        <v>3</v>
      </c>
    </row>
    <row r="5">
      <c r="A5" s="20" t="s">
        <v>4</v>
      </c>
    </row>
    <row r="6">
      <c r="A6" s="20" t="s">
        <v>5</v>
      </c>
    </row>
    <row r="7">
      <c r="A7" s="20" t="s">
        <v>6</v>
      </c>
    </row>
    <row r="8">
      <c r="A8" s="20" t="s">
        <v>7</v>
      </c>
    </row>
    <row r="9">
      <c r="A9" s="20" t="s">
        <v>8</v>
      </c>
    </row>
    <row r="10">
      <c r="A10" s="20" t="s">
        <v>9</v>
      </c>
    </row>
    <row r="11">
      <c r="A11" s="20" t="s">
        <v>10</v>
      </c>
    </row>
    <row r="12">
      <c r="A12" s="20" t="s">
        <v>11</v>
      </c>
    </row>
    <row r="13">
      <c r="A13" s="20" t="s">
        <v>12</v>
      </c>
    </row>
    <row r="14">
      <c r="A14" s="20" t="s">
        <v>13</v>
      </c>
    </row>
    <row r="15">
      <c r="A15" s="20" t="s">
        <v>14</v>
      </c>
    </row>
    <row r="16">
      <c r="A16" s="20" t="s">
        <v>15</v>
      </c>
    </row>
    <row r="17">
      <c r="A17" s="20" t="s">
        <v>16</v>
      </c>
    </row>
    <row r="18">
      <c r="A18" s="20" t="s">
        <v>17</v>
      </c>
    </row>
    <row r="19">
      <c r="A19" s="20" t="s">
        <v>18</v>
      </c>
    </row>
    <row r="20">
      <c r="A20" s="20" t="s">
        <v>19</v>
      </c>
    </row>
    <row r="21">
      <c r="A21" s="20" t="s">
        <v>20</v>
      </c>
    </row>
    <row r="22">
      <c r="A22" s="20" t="s">
        <v>21</v>
      </c>
    </row>
    <row r="23">
      <c r="A23" s="20" t="s">
        <v>22</v>
      </c>
    </row>
    <row r="24">
      <c r="A24" s="20" t="s">
        <v>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7" width="8.71"/>
    <col customWidth="1" min="8" max="8" width="12.57"/>
    <col customWidth="1" min="9" max="26" width="8.71"/>
  </cols>
  <sheetData>
    <row r="1">
      <c r="A1" s="21" t="s">
        <v>27</v>
      </c>
      <c r="B1" s="21" t="s">
        <v>28</v>
      </c>
      <c r="C1" s="8">
        <v>43647.0</v>
      </c>
      <c r="D1" s="8">
        <v>43678.0</v>
      </c>
      <c r="E1" s="8">
        <v>43709.0</v>
      </c>
      <c r="F1" s="8">
        <v>43739.0</v>
      </c>
      <c r="G1" s="8">
        <v>43770.0</v>
      </c>
      <c r="H1" s="8">
        <v>43800.0</v>
      </c>
      <c r="I1" s="8">
        <v>43831.0</v>
      </c>
      <c r="J1" s="8">
        <v>43862.0</v>
      </c>
      <c r="K1" s="15">
        <v>43891.0</v>
      </c>
      <c r="L1" s="8">
        <v>43922.0</v>
      </c>
      <c r="M1" s="8">
        <v>43952.0</v>
      </c>
      <c r="N1" s="8">
        <v>43983.0</v>
      </c>
    </row>
    <row r="2">
      <c r="A2" s="22" t="s">
        <v>1</v>
      </c>
      <c r="B2" s="16">
        <f t="shared" ref="B2:B25" si="1">SUM(C2:N2)</f>
        <v>33719</v>
      </c>
      <c r="C2" s="9">
        <v>2887.0</v>
      </c>
      <c r="D2" s="9">
        <v>2109.0</v>
      </c>
      <c r="E2" s="9">
        <v>2960.0</v>
      </c>
      <c r="F2" s="9">
        <v>2987.0</v>
      </c>
      <c r="G2" s="11">
        <v>5294.0</v>
      </c>
      <c r="H2" s="9">
        <v>2001.0</v>
      </c>
      <c r="I2" s="14">
        <v>2571.0</v>
      </c>
      <c r="J2" s="14">
        <v>2385.0</v>
      </c>
      <c r="K2" s="14">
        <v>3352.0</v>
      </c>
      <c r="L2" s="14">
        <v>1079.0</v>
      </c>
      <c r="M2" s="14">
        <v>2247.0</v>
      </c>
      <c r="N2" s="14">
        <v>3847.0</v>
      </c>
    </row>
    <row r="3">
      <c r="A3" s="22" t="s">
        <v>2</v>
      </c>
      <c r="B3" s="16">
        <f t="shared" si="1"/>
        <v>26246</v>
      </c>
      <c r="C3" s="10">
        <v>2829.0</v>
      </c>
      <c r="D3" s="10">
        <v>1334.0</v>
      </c>
      <c r="E3" s="10">
        <v>2306.0</v>
      </c>
      <c r="F3" s="9">
        <v>2798.0</v>
      </c>
      <c r="G3" s="11">
        <v>3341.0</v>
      </c>
      <c r="H3" s="9">
        <v>2350.0</v>
      </c>
      <c r="I3" s="14">
        <v>2160.0</v>
      </c>
      <c r="J3" s="14">
        <v>1934.0</v>
      </c>
      <c r="K3" s="14">
        <v>2985.0</v>
      </c>
      <c r="L3" s="14">
        <v>920.0</v>
      </c>
      <c r="M3" s="14">
        <v>1912.0</v>
      </c>
      <c r="N3" s="14">
        <v>1377.0</v>
      </c>
    </row>
    <row r="4">
      <c r="A4" s="22" t="s">
        <v>3</v>
      </c>
      <c r="B4" s="16">
        <f t="shared" si="1"/>
        <v>19527</v>
      </c>
      <c r="C4" s="10">
        <v>1542.0</v>
      </c>
      <c r="D4" s="10">
        <v>1461.0</v>
      </c>
      <c r="E4" s="10">
        <v>1730.0</v>
      </c>
      <c r="F4" s="9">
        <v>2008.0</v>
      </c>
      <c r="G4" s="11">
        <v>1788.0</v>
      </c>
      <c r="H4" s="9">
        <v>1372.0</v>
      </c>
      <c r="I4" s="14">
        <v>2476.0</v>
      </c>
      <c r="J4" s="14">
        <v>1420.0</v>
      </c>
      <c r="K4" s="14">
        <v>2524.0</v>
      </c>
      <c r="L4" s="14">
        <v>840.0</v>
      </c>
      <c r="M4" s="14">
        <v>1941.0</v>
      </c>
      <c r="N4" s="14">
        <v>425.0</v>
      </c>
    </row>
    <row r="5">
      <c r="A5" s="22" t="s">
        <v>4</v>
      </c>
      <c r="B5" s="16">
        <f t="shared" si="1"/>
        <v>7500</v>
      </c>
      <c r="C5" s="9">
        <v>766.0</v>
      </c>
      <c r="D5" s="9">
        <v>597.0</v>
      </c>
      <c r="E5" s="9">
        <v>696.0</v>
      </c>
      <c r="F5" s="9">
        <v>992.0</v>
      </c>
      <c r="G5" s="11">
        <v>861.0</v>
      </c>
      <c r="H5" s="9">
        <v>523.0</v>
      </c>
      <c r="I5" s="14">
        <v>1151.0</v>
      </c>
      <c r="J5" s="14">
        <v>302.0</v>
      </c>
      <c r="K5" s="14">
        <v>516.0</v>
      </c>
      <c r="L5" s="14">
        <v>195.0</v>
      </c>
      <c r="M5" s="14">
        <v>205.0</v>
      </c>
      <c r="N5" s="14">
        <v>696.0</v>
      </c>
    </row>
    <row r="6">
      <c r="A6" s="22" t="s">
        <v>5</v>
      </c>
      <c r="B6" s="16">
        <f t="shared" si="1"/>
        <v>4947</v>
      </c>
      <c r="C6" s="9">
        <v>792.0</v>
      </c>
      <c r="D6" s="9">
        <v>278.0</v>
      </c>
      <c r="E6" s="9">
        <v>421.0</v>
      </c>
      <c r="F6" s="9">
        <v>607.0</v>
      </c>
      <c r="G6" s="11">
        <v>392.0</v>
      </c>
      <c r="H6" s="9">
        <v>428.0</v>
      </c>
      <c r="I6" s="14">
        <v>211.0</v>
      </c>
      <c r="J6" s="14">
        <v>519.0</v>
      </c>
      <c r="K6" s="14">
        <v>371.0</v>
      </c>
      <c r="L6" s="14">
        <v>120.0</v>
      </c>
      <c r="M6" s="14">
        <v>287.0</v>
      </c>
      <c r="N6" s="14">
        <v>521.0</v>
      </c>
    </row>
    <row r="7">
      <c r="A7" s="22" t="s">
        <v>6</v>
      </c>
      <c r="B7" s="16">
        <f t="shared" si="1"/>
        <v>7019</v>
      </c>
      <c r="C7" s="10">
        <v>405.0</v>
      </c>
      <c r="D7" s="10">
        <v>391.0</v>
      </c>
      <c r="E7" s="10">
        <v>704.0</v>
      </c>
      <c r="F7" s="9">
        <v>673.0</v>
      </c>
      <c r="G7" s="11">
        <v>850.0</v>
      </c>
      <c r="H7" s="9">
        <v>300.0</v>
      </c>
      <c r="I7" s="14">
        <v>1034.0</v>
      </c>
      <c r="J7" s="14">
        <v>888.0</v>
      </c>
      <c r="K7" s="14">
        <v>848.0</v>
      </c>
      <c r="L7" s="14">
        <v>266.0</v>
      </c>
      <c r="M7" s="14">
        <v>504.0</v>
      </c>
      <c r="N7" s="14">
        <v>156.0</v>
      </c>
    </row>
    <row r="8">
      <c r="A8" s="22" t="s">
        <v>7</v>
      </c>
      <c r="B8" s="16">
        <f t="shared" si="1"/>
        <v>1002</v>
      </c>
      <c r="C8" s="10"/>
      <c r="D8" s="10"/>
      <c r="E8" s="10"/>
      <c r="F8" s="9">
        <v>425.0</v>
      </c>
      <c r="G8" s="11">
        <v>126.0</v>
      </c>
      <c r="H8" s="9">
        <v>4.0</v>
      </c>
      <c r="I8" s="14">
        <v>104.0</v>
      </c>
      <c r="J8" s="14">
        <v>4.0</v>
      </c>
      <c r="K8" s="14">
        <v>125.0</v>
      </c>
      <c r="L8" s="14"/>
      <c r="M8" s="14">
        <v>5.0</v>
      </c>
      <c r="N8" s="14">
        <v>209.0</v>
      </c>
    </row>
    <row r="9">
      <c r="A9" s="23" t="s">
        <v>8</v>
      </c>
      <c r="B9" s="16">
        <f t="shared" si="1"/>
        <v>23965</v>
      </c>
      <c r="C9" s="9">
        <v>1966.0</v>
      </c>
      <c r="D9" s="9">
        <v>1898.0</v>
      </c>
      <c r="E9" s="9">
        <v>2269.0</v>
      </c>
      <c r="F9" s="9">
        <v>1913.0</v>
      </c>
      <c r="G9" s="12">
        <v>2554.0</v>
      </c>
      <c r="H9" s="9">
        <v>2707.0</v>
      </c>
      <c r="I9" s="14">
        <v>2489.0</v>
      </c>
      <c r="J9" s="14">
        <v>1907.0</v>
      </c>
      <c r="K9" s="14">
        <v>2525.0</v>
      </c>
      <c r="L9" s="14">
        <v>865.0</v>
      </c>
      <c r="M9" s="14">
        <v>1495.0</v>
      </c>
      <c r="N9" s="14">
        <v>1377.0</v>
      </c>
    </row>
    <row r="10">
      <c r="A10" s="24" t="s">
        <v>9</v>
      </c>
      <c r="B10" s="16">
        <f t="shared" si="1"/>
        <v>1</v>
      </c>
      <c r="C10" s="9"/>
      <c r="D10" s="9"/>
      <c r="E10" s="9"/>
      <c r="F10" s="9"/>
      <c r="G10" s="9"/>
      <c r="H10" s="9"/>
      <c r="I10" s="14"/>
      <c r="J10" s="14"/>
      <c r="K10" s="14"/>
      <c r="L10" s="14"/>
      <c r="M10" s="14"/>
      <c r="N10" s="14">
        <v>1.0</v>
      </c>
    </row>
    <row r="11">
      <c r="A11" s="24" t="s">
        <v>10</v>
      </c>
      <c r="B11" s="16">
        <f t="shared" si="1"/>
        <v>5859</v>
      </c>
      <c r="C11" s="9">
        <v>1044.0</v>
      </c>
      <c r="D11" s="9">
        <v>283.0</v>
      </c>
      <c r="E11" s="9">
        <v>388.0</v>
      </c>
      <c r="F11" s="9">
        <v>622.0</v>
      </c>
      <c r="G11" s="11">
        <v>536.0</v>
      </c>
      <c r="H11" s="9">
        <v>315.0</v>
      </c>
      <c r="I11" s="14">
        <v>628.0</v>
      </c>
      <c r="J11" s="14">
        <v>561.0</v>
      </c>
      <c r="K11" s="14">
        <v>476.0</v>
      </c>
      <c r="L11" s="14">
        <v>290.0</v>
      </c>
      <c r="M11" s="14">
        <v>415.0</v>
      </c>
      <c r="N11" s="14">
        <v>301.0</v>
      </c>
    </row>
    <row r="12">
      <c r="A12" s="22" t="s">
        <v>11</v>
      </c>
      <c r="B12" s="16">
        <f t="shared" si="1"/>
        <v>7401</v>
      </c>
      <c r="C12" s="9">
        <v>10.0</v>
      </c>
      <c r="D12" s="9">
        <v>636.0</v>
      </c>
      <c r="E12" s="9">
        <v>600.0</v>
      </c>
      <c r="F12" s="9">
        <v>875.0</v>
      </c>
      <c r="G12" s="11">
        <v>538.0</v>
      </c>
      <c r="H12" s="9">
        <v>731.0</v>
      </c>
      <c r="I12" s="14">
        <v>523.0</v>
      </c>
      <c r="J12" s="14">
        <v>733.0</v>
      </c>
      <c r="K12" s="14">
        <v>1051.0</v>
      </c>
      <c r="L12" s="14">
        <v>60.0</v>
      </c>
      <c r="M12" s="14">
        <v>769.0</v>
      </c>
      <c r="N12" s="14">
        <v>875.0</v>
      </c>
    </row>
    <row r="13">
      <c r="A13" s="22" t="s">
        <v>12</v>
      </c>
      <c r="B13" s="16">
        <f t="shared" si="1"/>
        <v>308</v>
      </c>
      <c r="C13" s="9"/>
      <c r="D13" s="9"/>
      <c r="E13" s="9"/>
      <c r="F13" s="9">
        <v>300.0</v>
      </c>
      <c r="G13" s="9"/>
      <c r="H13" s="9"/>
      <c r="I13" s="14"/>
      <c r="J13" s="14"/>
      <c r="K13" s="14"/>
      <c r="L13" s="14"/>
      <c r="M13" s="14"/>
      <c r="N13" s="14">
        <v>8.0</v>
      </c>
    </row>
    <row r="14">
      <c r="A14" s="22" t="s">
        <v>13</v>
      </c>
      <c r="B14" s="16">
        <f t="shared" si="1"/>
        <v>27362</v>
      </c>
      <c r="C14" s="9">
        <v>1862.0</v>
      </c>
      <c r="D14" s="9">
        <v>1054.0</v>
      </c>
      <c r="E14" s="9">
        <v>3089.0</v>
      </c>
      <c r="F14" s="9">
        <v>2030.0</v>
      </c>
      <c r="G14" s="11">
        <v>2363.0</v>
      </c>
      <c r="H14" s="9">
        <v>2800.0</v>
      </c>
      <c r="I14" s="14">
        <v>1948.0</v>
      </c>
      <c r="J14" s="14">
        <v>2541.0</v>
      </c>
      <c r="K14" s="14">
        <v>3210.0</v>
      </c>
      <c r="L14" s="14">
        <v>1784.0</v>
      </c>
      <c r="M14" s="14">
        <v>2656.0</v>
      </c>
      <c r="N14" s="14">
        <v>2025.0</v>
      </c>
    </row>
    <row r="15">
      <c r="A15" s="25" t="s">
        <v>14</v>
      </c>
      <c r="B15" s="16">
        <f t="shared" si="1"/>
        <v>1014</v>
      </c>
      <c r="C15" s="9"/>
      <c r="D15" s="9"/>
      <c r="E15" s="9"/>
      <c r="F15" s="9">
        <v>700.0</v>
      </c>
      <c r="G15" s="13">
        <v>135.0</v>
      </c>
      <c r="H15" s="9">
        <v>167.0</v>
      </c>
      <c r="I15" s="14"/>
      <c r="J15" s="14"/>
      <c r="K15" s="14"/>
      <c r="L15" s="14"/>
      <c r="M15" s="14"/>
      <c r="N15" s="14">
        <v>12.0</v>
      </c>
    </row>
    <row r="16">
      <c r="A16" s="22" t="s">
        <v>15</v>
      </c>
      <c r="B16" s="16">
        <f t="shared" si="1"/>
        <v>10123</v>
      </c>
      <c r="C16" s="9">
        <v>1682.0</v>
      </c>
      <c r="D16" s="9">
        <v>1349.0</v>
      </c>
      <c r="E16" s="9">
        <v>1457.0</v>
      </c>
      <c r="F16" s="9">
        <v>1072.0</v>
      </c>
      <c r="G16" s="11">
        <v>2167.0</v>
      </c>
      <c r="H16" s="9">
        <v>1493.0</v>
      </c>
      <c r="I16" s="14">
        <v>251.0</v>
      </c>
      <c r="J16" s="14">
        <v>340.0</v>
      </c>
      <c r="K16" s="14">
        <v>249.0</v>
      </c>
      <c r="L16" s="14"/>
      <c r="M16" s="14">
        <v>2.0</v>
      </c>
      <c r="N16" s="14">
        <v>61.0</v>
      </c>
    </row>
    <row r="17">
      <c r="A17" s="22" t="s">
        <v>16</v>
      </c>
      <c r="B17" s="16">
        <f t="shared" si="1"/>
        <v>8287</v>
      </c>
      <c r="C17" s="9"/>
      <c r="D17" s="9"/>
      <c r="E17" s="9">
        <v>370.0</v>
      </c>
      <c r="F17" s="9">
        <v>318.0</v>
      </c>
      <c r="G17" s="11">
        <v>205.0</v>
      </c>
      <c r="H17" s="9">
        <v>187.0</v>
      </c>
      <c r="I17" s="14">
        <v>1747.0</v>
      </c>
      <c r="J17" s="14">
        <v>1809.0</v>
      </c>
      <c r="K17" s="14">
        <v>924.0</v>
      </c>
      <c r="L17" s="14">
        <v>585.0</v>
      </c>
      <c r="M17" s="14">
        <v>1411.0</v>
      </c>
      <c r="N17" s="14">
        <v>731.0</v>
      </c>
    </row>
    <row r="18">
      <c r="A18" s="24" t="s">
        <v>17</v>
      </c>
      <c r="B18" s="16">
        <f t="shared" si="1"/>
        <v>3453</v>
      </c>
      <c r="C18" s="9">
        <v>4.0</v>
      </c>
      <c r="D18" s="9">
        <v>384.0</v>
      </c>
      <c r="E18" s="9">
        <v>329.0</v>
      </c>
      <c r="F18" s="9">
        <v>298.0</v>
      </c>
      <c r="G18" s="11">
        <v>783.0</v>
      </c>
      <c r="H18" s="9">
        <v>530.0</v>
      </c>
      <c r="I18" s="14">
        <v>257.0</v>
      </c>
      <c r="J18" s="14">
        <v>290.0</v>
      </c>
      <c r="K18" s="14">
        <v>138.0</v>
      </c>
      <c r="L18" s="14">
        <v>120.0</v>
      </c>
      <c r="M18" s="14">
        <v>200.0</v>
      </c>
      <c r="N18" s="14">
        <v>120.0</v>
      </c>
    </row>
    <row r="19">
      <c r="A19" s="22" t="s">
        <v>18</v>
      </c>
      <c r="B19" s="16">
        <f t="shared" si="1"/>
        <v>3344</v>
      </c>
      <c r="C19" s="9"/>
      <c r="D19" s="9">
        <v>10.0</v>
      </c>
      <c r="E19" s="9"/>
      <c r="F19" s="9"/>
      <c r="G19" s="11">
        <v>86.0</v>
      </c>
      <c r="H19" s="9">
        <v>275.0</v>
      </c>
      <c r="I19" s="14">
        <v>377.0</v>
      </c>
      <c r="J19" s="14">
        <v>657.0</v>
      </c>
      <c r="K19" s="14">
        <v>367.0</v>
      </c>
      <c r="L19" s="14">
        <v>220.0</v>
      </c>
      <c r="M19" s="14">
        <v>679.0</v>
      </c>
      <c r="N19" s="14">
        <v>673.0</v>
      </c>
    </row>
    <row r="20">
      <c r="A20" s="26" t="s">
        <v>19</v>
      </c>
      <c r="B20" s="16">
        <f t="shared" si="1"/>
        <v>330</v>
      </c>
      <c r="C20" s="9"/>
      <c r="D20" s="9"/>
      <c r="E20" s="9"/>
      <c r="F20" s="9"/>
      <c r="G20" s="9"/>
      <c r="H20" s="9"/>
      <c r="I20" s="14">
        <v>80.0</v>
      </c>
      <c r="J20" s="14">
        <v>128.0</v>
      </c>
      <c r="K20" s="14">
        <v>120.0</v>
      </c>
      <c r="L20" s="14"/>
      <c r="M20" s="14"/>
      <c r="N20" s="14">
        <v>2.0</v>
      </c>
    </row>
    <row r="21" ht="15.75" customHeight="1">
      <c r="A21" s="27" t="s">
        <v>20</v>
      </c>
      <c r="B21" s="16">
        <f t="shared" si="1"/>
        <v>1489</v>
      </c>
      <c r="C21" s="9">
        <v>225.0</v>
      </c>
      <c r="D21" s="9">
        <v>192.0</v>
      </c>
      <c r="E21" s="9">
        <v>357.0</v>
      </c>
      <c r="F21" s="9">
        <v>226.0</v>
      </c>
      <c r="G21" s="11">
        <v>306.0</v>
      </c>
      <c r="H21" s="9">
        <v>183.0</v>
      </c>
      <c r="I21" s="14"/>
      <c r="J21" s="14"/>
      <c r="K21" s="14"/>
      <c r="L21" s="14"/>
      <c r="M21" s="14"/>
      <c r="N21" s="14"/>
    </row>
    <row r="22" ht="15.75" customHeight="1">
      <c r="A22" s="27" t="s">
        <v>21</v>
      </c>
      <c r="B22" s="16">
        <f t="shared" si="1"/>
        <v>1922</v>
      </c>
      <c r="C22" s="9"/>
      <c r="D22" s="9"/>
      <c r="E22" s="9"/>
      <c r="F22" s="9"/>
      <c r="G22" s="9"/>
      <c r="H22" s="9"/>
      <c r="I22" s="14">
        <v>208.0</v>
      </c>
      <c r="J22" s="14">
        <v>268.0</v>
      </c>
      <c r="K22" s="14">
        <v>257.0</v>
      </c>
      <c r="L22" s="14">
        <v>20.0</v>
      </c>
      <c r="M22" s="14">
        <v>631.0</v>
      </c>
      <c r="N22" s="14">
        <v>538.0</v>
      </c>
    </row>
    <row r="23" ht="15.75" customHeight="1">
      <c r="A23" s="27" t="s">
        <v>22</v>
      </c>
      <c r="B23" s="16">
        <f t="shared" si="1"/>
        <v>0</v>
      </c>
      <c r="C23" s="9"/>
      <c r="D23" s="9"/>
      <c r="E23" s="9"/>
      <c r="F23" s="9"/>
      <c r="G23" s="9"/>
      <c r="H23" s="9"/>
      <c r="I23" s="14"/>
      <c r="J23" s="14"/>
      <c r="K23" s="14"/>
      <c r="L23" s="14"/>
      <c r="M23" s="14"/>
      <c r="N23" s="14"/>
    </row>
    <row r="24" ht="15.75" customHeight="1">
      <c r="A24" s="27" t="s">
        <v>23</v>
      </c>
      <c r="B24" s="16">
        <f t="shared" si="1"/>
        <v>437</v>
      </c>
      <c r="C24" s="9"/>
      <c r="D24" s="9">
        <v>3.0</v>
      </c>
      <c r="E24" s="9"/>
      <c r="F24" s="9"/>
      <c r="G24" s="9"/>
      <c r="H24" s="9"/>
      <c r="I24" s="14"/>
      <c r="J24" s="14"/>
      <c r="K24" s="14">
        <v>70.0</v>
      </c>
      <c r="L24" s="14">
        <v>30.0</v>
      </c>
      <c r="M24" s="14">
        <v>54.0</v>
      </c>
      <c r="N24" s="14">
        <v>280.0</v>
      </c>
    </row>
    <row r="25" ht="15.75" customHeight="1">
      <c r="A25" s="27" t="s">
        <v>24</v>
      </c>
      <c r="B25" s="16">
        <f t="shared" si="1"/>
        <v>305</v>
      </c>
      <c r="C25" s="9"/>
      <c r="D25" s="9"/>
      <c r="E25" s="9"/>
      <c r="F25" s="9"/>
      <c r="G25" s="9"/>
      <c r="H25" s="9"/>
      <c r="I25" s="14"/>
      <c r="J25" s="14"/>
      <c r="K25" s="14">
        <v>120.0</v>
      </c>
      <c r="L25" s="14">
        <v>100.0</v>
      </c>
      <c r="M25" s="14">
        <v>20.0</v>
      </c>
      <c r="N25" s="14">
        <v>65.0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2020-08-17T05:47:07Z</dcterms:created>
  <dc:creator>UNiQUE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