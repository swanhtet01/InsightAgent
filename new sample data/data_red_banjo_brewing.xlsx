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929"/>
  <workbookPr showInkAnnotation="0" autoCompressPictures="0"/>
  <bookViews>
    <workbookView xWindow="0" yWindow="0" windowWidth="25600" windowHeight="16060" tabRatio="500" activeTab="2"/>
  </bookViews>
  <sheets>
    <sheet name="Porter" sheetId="1" r:id="rId1"/>
    <sheet name="Multiple Brews" sheetId="2" r:id="rId2"/>
    <sheet name="Temperature and IPA" sheetId="3" r:id="rId3"/>
  </sheets>
  <definedNames>
    <definedName name="Untitled" localSheetId="2">'Temperature and IPA'!$B$1:$C$62</definedName>
    <definedName name="Untitled_1" localSheetId="2">'Temperature and IPA'!$E$1:$F$62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" i="3" l="1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3" i="3"/>
  <c r="I48" i="2"/>
  <c r="I47" i="2"/>
  <c r="I46" i="2"/>
  <c r="I42" i="2"/>
  <c r="I41" i="2"/>
  <c r="H35" i="2"/>
  <c r="H36" i="2"/>
  <c r="H37" i="2"/>
  <c r="H28" i="2"/>
  <c r="H29" i="2"/>
  <c r="H30" i="2"/>
  <c r="H31" i="2"/>
  <c r="H32" i="2"/>
  <c r="H33" i="2"/>
  <c r="H34" i="2"/>
  <c r="H27" i="2"/>
  <c r="I43" i="2"/>
  <c r="F35" i="2"/>
  <c r="F34" i="2"/>
  <c r="F33" i="2"/>
  <c r="F29" i="2"/>
  <c r="F30" i="2"/>
  <c r="F28" i="2"/>
  <c r="K6" i="1"/>
  <c r="B30" i="2"/>
  <c r="D30" i="2"/>
  <c r="D29" i="2"/>
  <c r="D28" i="2"/>
  <c r="B29" i="2"/>
  <c r="B28" i="2"/>
  <c r="F3" i="1"/>
  <c r="F2" i="1"/>
  <c r="F22" i="1"/>
  <c r="F20" i="1"/>
  <c r="F16" i="1"/>
  <c r="F14" i="1"/>
  <c r="F18" i="1"/>
  <c r="F12" i="1"/>
  <c r="F10" i="1"/>
  <c r="F8" i="1"/>
  <c r="F6" i="1"/>
</calcChain>
</file>

<file path=xl/connections.xml><?xml version="1.0" encoding="utf-8"?>
<connections xmlns="http://schemas.openxmlformats.org/spreadsheetml/2006/main">
  <connection id="1" name="Untitled.csv" type="6" refreshedVersion="0" background="1" saveData="1">
    <textPr fileType="mac" sourceFile="Sapientia2:Users:joansaniuk:Downloads:Untitled.csv" comma="1">
      <textFields>
        <textField/>
      </textFields>
    </textPr>
  </connection>
  <connection id="2" name="Untitled.csv1" type="6" refreshedVersion="0" background="1" saveData="1">
    <textPr fileType="mac" sourceFile="Sapientia2:Users:joansaniuk:Downloads:Untitled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<sst xmlns="http://schemas.openxmlformats.org/spreadsheetml/2006/main" count="44" uniqueCount="29">
  <si>
    <t>Volume (fl.oz.)</t>
  </si>
  <si>
    <t>mean</t>
  </si>
  <si>
    <t>st. dev.</t>
  </si>
  <si>
    <t>median</t>
  </si>
  <si>
    <t>minimum</t>
  </si>
  <si>
    <t>Q1</t>
  </si>
  <si>
    <t>Q3</t>
  </si>
  <si>
    <t>IQR</t>
  </si>
  <si>
    <t>maximum</t>
  </si>
  <si>
    <t>c.v.</t>
  </si>
  <si>
    <t>mean 1-10</t>
  </si>
  <si>
    <t>median 1-10</t>
  </si>
  <si>
    <t xml:space="preserve">Porter No. </t>
  </si>
  <si>
    <t>IPA No.</t>
  </si>
  <si>
    <t>IPA Volume (fl.oz.)</t>
  </si>
  <si>
    <t>mean vol</t>
  </si>
  <si>
    <t>st dev</t>
  </si>
  <si>
    <t>cv</t>
  </si>
  <si>
    <t>Pils. Vol. (fl oz)</t>
  </si>
  <si>
    <t>Pils. No.</t>
  </si>
  <si>
    <t>t</t>
  </si>
  <si>
    <t>lb ci</t>
  </si>
  <si>
    <t>ub ci</t>
  </si>
  <si>
    <t>Conf Level</t>
  </si>
  <si>
    <t>IPA2 No.</t>
  </si>
  <si>
    <t>IPA2 Volume (fl.oz.)</t>
  </si>
  <si>
    <t>High Temp</t>
  </si>
  <si>
    <t>Consumption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</si>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</sst>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136"/>
      <scheme val="minor"/>
    </font>
    <font>
      <u/>
      <sz val="12"/>
      <color theme="10"/>
      <name val="Calibri"/>
      <family val="2"/>
      <charset val="136"/>
      <scheme val="minor"/>
    </font>
    <font>
      <u/>
      <sz val="12"/>
      <color theme="11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16" fontId="0" fillId="0" borderId="0" xfId="0" applyNumberFormat="1"/>
  </cellXfs>
  <cellStyles count="7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queryTables/queryTable1.xml><?xml version="1.0" encoding="utf-8"?>
<queryTable xmlns="http://schemas.openxmlformats.org/spreadsheetml/2006/main" name="Untitled" connectionId="2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Untitled_1" connectionId="1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A2" sqref="A2:B2"/>
    </sheetView>
  </sheetViews>
  <sheetFormatPr baseColWidth="10" defaultRowHeight="15" x14ac:dyDescent="0"/>
  <cols>
    <col min="2" max="2" width="13.5" customWidth="1"/>
  </cols>
  <sheetData>
    <row r="1" spans="1:11">
      <c r="A1" t="s">
        <v>12</v>
      </c>
      <c r="B1" t="s">
        <v>0</v>
      </c>
    </row>
    <row r="2" spans="1:11">
      <c r="A2">
        <v>1</v>
      </c>
      <c r="B2" s="1">
        <v>12.09</v>
      </c>
      <c r="E2" t="s">
        <v>10</v>
      </c>
      <c r="F2" s="1">
        <f>AVERAGE(B2:B11)</f>
        <v>11.904</v>
      </c>
    </row>
    <row r="3" spans="1:11">
      <c r="A3">
        <v>2</v>
      </c>
      <c r="B3" s="1">
        <v>11.89</v>
      </c>
      <c r="E3" t="s">
        <v>11</v>
      </c>
      <c r="F3" s="1">
        <f>MEDIAN(B2:B11)</f>
        <v>11.850000000000001</v>
      </c>
    </row>
    <row r="4" spans="1:11">
      <c r="A4">
        <v>3</v>
      </c>
      <c r="B4" s="1">
        <v>11.63</v>
      </c>
    </row>
    <row r="5" spans="1:11">
      <c r="A5">
        <v>4</v>
      </c>
      <c r="B5" s="1">
        <v>11.65</v>
      </c>
    </row>
    <row r="6" spans="1:11">
      <c r="A6">
        <v>5</v>
      </c>
      <c r="B6" s="1">
        <v>11.69</v>
      </c>
      <c r="E6" t="s">
        <v>1</v>
      </c>
      <c r="F6" s="1">
        <f>AVERAGE(B2:B26)</f>
        <v>11.962400000000001</v>
      </c>
      <c r="K6">
        <f>TINV(0.05,24)</f>
        <v>2.0638985616280254</v>
      </c>
    </row>
    <row r="7" spans="1:11">
      <c r="A7">
        <v>6</v>
      </c>
      <c r="B7" s="1">
        <v>11.73</v>
      </c>
    </row>
    <row r="8" spans="1:11">
      <c r="A8">
        <v>7</v>
      </c>
      <c r="B8" s="1">
        <v>12.21</v>
      </c>
      <c r="E8" t="s">
        <v>2</v>
      </c>
      <c r="F8">
        <f>_xlfn.STDEV.S(B2:B26)</f>
        <v>0.24233723059681386</v>
      </c>
    </row>
    <row r="9" spans="1:11">
      <c r="A9">
        <v>8</v>
      </c>
      <c r="B9" s="1">
        <v>12.22</v>
      </c>
    </row>
    <row r="10" spans="1:11">
      <c r="A10">
        <v>9</v>
      </c>
      <c r="B10" s="1">
        <v>12.12</v>
      </c>
      <c r="E10" t="s">
        <v>3</v>
      </c>
      <c r="F10" s="1">
        <f>MEDIAN(B2:B26)</f>
        <v>11.97</v>
      </c>
    </row>
    <row r="11" spans="1:11">
      <c r="A11">
        <v>10</v>
      </c>
      <c r="B11" s="1">
        <v>11.81</v>
      </c>
    </row>
    <row r="12" spans="1:11">
      <c r="A12">
        <v>11</v>
      </c>
      <c r="B12" s="1">
        <v>11.95</v>
      </c>
      <c r="E12" s="1" t="s">
        <v>4</v>
      </c>
      <c r="F12" s="1">
        <f>MIN(B2:B26)</f>
        <v>11.5</v>
      </c>
    </row>
    <row r="13" spans="1:11">
      <c r="A13">
        <v>12</v>
      </c>
      <c r="B13" s="1">
        <v>12.1</v>
      </c>
    </row>
    <row r="14" spans="1:11">
      <c r="A14">
        <v>13</v>
      </c>
      <c r="B14" s="1">
        <v>12.2</v>
      </c>
      <c r="E14" t="s">
        <v>5</v>
      </c>
      <c r="F14">
        <f>QUARTILE(B2:B26,1)</f>
        <v>11.81</v>
      </c>
    </row>
    <row r="15" spans="1:11">
      <c r="A15">
        <v>14</v>
      </c>
      <c r="B15" s="1">
        <v>11.94</v>
      </c>
    </row>
    <row r="16" spans="1:11">
      <c r="A16">
        <v>15</v>
      </c>
      <c r="B16" s="1">
        <v>12.24</v>
      </c>
      <c r="E16" t="s">
        <v>6</v>
      </c>
      <c r="F16">
        <f>QUARTILE(B2:B26,3)</f>
        <v>12.14</v>
      </c>
    </row>
    <row r="17" spans="1:6">
      <c r="A17">
        <v>16</v>
      </c>
      <c r="B17" s="1">
        <v>12.14</v>
      </c>
    </row>
    <row r="18" spans="1:6">
      <c r="A18">
        <v>17</v>
      </c>
      <c r="B18" s="1">
        <v>12</v>
      </c>
      <c r="E18" t="s">
        <v>7</v>
      </c>
      <c r="F18">
        <f>F16-F14</f>
        <v>0.33000000000000007</v>
      </c>
    </row>
    <row r="19" spans="1:6">
      <c r="A19">
        <v>18</v>
      </c>
      <c r="B19" s="1">
        <v>11.93</v>
      </c>
    </row>
    <row r="20" spans="1:6">
      <c r="A20">
        <v>19</v>
      </c>
      <c r="B20" s="1">
        <v>12.38</v>
      </c>
      <c r="E20" t="s">
        <v>8</v>
      </c>
      <c r="F20" s="1">
        <f>MAX(B2:B26)</f>
        <v>12.38</v>
      </c>
    </row>
    <row r="21" spans="1:6">
      <c r="A21">
        <v>20</v>
      </c>
      <c r="B21" s="1">
        <v>12.3</v>
      </c>
    </row>
    <row r="22" spans="1:6">
      <c r="A22">
        <v>21</v>
      </c>
      <c r="B22" s="1">
        <v>11.56</v>
      </c>
      <c r="E22" t="s">
        <v>9</v>
      </c>
      <c r="F22">
        <f>F8/F6</f>
        <v>2.0258245050893957E-2</v>
      </c>
    </row>
    <row r="23" spans="1:6">
      <c r="A23">
        <v>22</v>
      </c>
      <c r="B23" s="1">
        <v>12</v>
      </c>
    </row>
    <row r="24" spans="1:6">
      <c r="A24">
        <v>23</v>
      </c>
      <c r="B24" s="1">
        <v>11.97</v>
      </c>
    </row>
    <row r="25" spans="1:6">
      <c r="A25">
        <v>24</v>
      </c>
      <c r="B25" s="1">
        <v>11.5</v>
      </c>
    </row>
    <row r="26" spans="1:6">
      <c r="A26">
        <v>25</v>
      </c>
      <c r="B26" s="1">
        <v>11.81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7" workbookViewId="0">
      <selection activeCell="I49" sqref="I49"/>
    </sheetView>
  </sheetViews>
  <sheetFormatPr baseColWidth="10" defaultRowHeight="15" x14ac:dyDescent="0"/>
  <cols>
    <col min="2" max="2" width="13.33203125" customWidth="1"/>
    <col min="4" max="4" width="17.33203125" customWidth="1"/>
  </cols>
  <sheetData>
    <row r="1" spans="1:9">
      <c r="A1" t="s">
        <v>12</v>
      </c>
      <c r="B1" t="s">
        <v>0</v>
      </c>
      <c r="C1" t="s">
        <v>13</v>
      </c>
      <c r="D1" t="s">
        <v>14</v>
      </c>
      <c r="E1" t="s">
        <v>19</v>
      </c>
      <c r="F1" t="s">
        <v>18</v>
      </c>
      <c r="H1" t="s">
        <v>24</v>
      </c>
      <c r="I1" t="s">
        <v>25</v>
      </c>
    </row>
    <row r="2" spans="1:9">
      <c r="A2">
        <v>1</v>
      </c>
      <c r="B2" s="1">
        <v>12.09</v>
      </c>
      <c r="C2">
        <v>1</v>
      </c>
      <c r="D2">
        <v>18.350000000000001</v>
      </c>
      <c r="E2">
        <v>1</v>
      </c>
      <c r="F2" s="1">
        <v>12.21</v>
      </c>
      <c r="H2">
        <v>1</v>
      </c>
      <c r="I2">
        <v>18.350000000000001</v>
      </c>
    </row>
    <row r="3" spans="1:9">
      <c r="A3">
        <v>2</v>
      </c>
      <c r="B3" s="1">
        <v>11.89</v>
      </c>
      <c r="C3">
        <v>2</v>
      </c>
      <c r="D3">
        <v>18.39</v>
      </c>
      <c r="E3">
        <v>2</v>
      </c>
      <c r="F3" s="1">
        <v>12.22</v>
      </c>
      <c r="H3">
        <v>2</v>
      </c>
      <c r="I3">
        <v>18.39</v>
      </c>
    </row>
    <row r="4" spans="1:9">
      <c r="A4">
        <v>3</v>
      </c>
      <c r="B4" s="1">
        <v>11.63</v>
      </c>
      <c r="C4">
        <v>3</v>
      </c>
      <c r="D4">
        <v>17.420000000000002</v>
      </c>
      <c r="E4">
        <v>3</v>
      </c>
      <c r="F4" s="1">
        <v>12.12</v>
      </c>
      <c r="H4">
        <v>3</v>
      </c>
      <c r="I4">
        <v>17.57</v>
      </c>
    </row>
    <row r="5" spans="1:9">
      <c r="A5">
        <v>4</v>
      </c>
      <c r="B5" s="1">
        <v>11.65</v>
      </c>
      <c r="C5">
        <v>4</v>
      </c>
      <c r="D5">
        <v>17.96</v>
      </c>
      <c r="E5">
        <v>4</v>
      </c>
      <c r="F5" s="1">
        <v>11.81</v>
      </c>
      <c r="H5">
        <v>4</v>
      </c>
      <c r="I5">
        <v>18.100000000000001</v>
      </c>
    </row>
    <row r="6" spans="1:9">
      <c r="A6">
        <v>5</v>
      </c>
      <c r="B6" s="1">
        <v>11.69</v>
      </c>
      <c r="C6">
        <v>5</v>
      </c>
      <c r="D6">
        <v>18.380000000000003</v>
      </c>
      <c r="E6">
        <v>5</v>
      </c>
      <c r="F6" s="1">
        <v>11.95</v>
      </c>
      <c r="H6">
        <v>5</v>
      </c>
      <c r="I6">
        <v>18.380000000000003</v>
      </c>
    </row>
    <row r="7" spans="1:9">
      <c r="A7">
        <v>6</v>
      </c>
      <c r="B7" s="1">
        <v>11.73</v>
      </c>
      <c r="C7">
        <v>6</v>
      </c>
      <c r="D7">
        <v>17.420000000000002</v>
      </c>
      <c r="E7">
        <v>6</v>
      </c>
      <c r="F7" s="1">
        <v>12.1</v>
      </c>
      <c r="H7">
        <v>6</v>
      </c>
      <c r="I7">
        <v>17.57</v>
      </c>
    </row>
    <row r="8" spans="1:9">
      <c r="A8">
        <v>7</v>
      </c>
      <c r="B8" s="1">
        <v>12.21</v>
      </c>
      <c r="C8">
        <v>7</v>
      </c>
      <c r="D8">
        <v>18.36</v>
      </c>
      <c r="E8">
        <v>7</v>
      </c>
      <c r="F8" s="1">
        <v>12.2</v>
      </c>
      <c r="H8">
        <v>7</v>
      </c>
      <c r="I8">
        <v>18.36</v>
      </c>
    </row>
    <row r="9" spans="1:9">
      <c r="A9">
        <v>8</v>
      </c>
      <c r="B9" s="1">
        <v>12.22</v>
      </c>
      <c r="C9">
        <v>8</v>
      </c>
      <c r="D9">
        <v>17.420000000000002</v>
      </c>
      <c r="E9">
        <v>8</v>
      </c>
      <c r="F9" s="1">
        <v>12.24</v>
      </c>
      <c r="H9">
        <v>8</v>
      </c>
      <c r="I9">
        <v>17.559999999999999</v>
      </c>
    </row>
    <row r="10" spans="1:9">
      <c r="A10">
        <v>9</v>
      </c>
      <c r="B10" s="1">
        <v>12.12</v>
      </c>
      <c r="C10">
        <v>9</v>
      </c>
      <c r="D10">
        <v>18.39</v>
      </c>
      <c r="E10">
        <v>9</v>
      </c>
      <c r="F10" s="1">
        <v>12.14</v>
      </c>
      <c r="H10">
        <v>9</v>
      </c>
      <c r="I10">
        <v>18.39</v>
      </c>
    </row>
    <row r="11" spans="1:9">
      <c r="A11">
        <v>10</v>
      </c>
      <c r="B11" s="1">
        <v>11.81</v>
      </c>
      <c r="C11">
        <v>10</v>
      </c>
      <c r="D11">
        <v>17.420000000000002</v>
      </c>
      <c r="H11">
        <v>10</v>
      </c>
      <c r="I11">
        <v>17.68</v>
      </c>
    </row>
    <row r="12" spans="1:9">
      <c r="A12">
        <v>11</v>
      </c>
      <c r="B12" s="1">
        <v>11.95</v>
      </c>
      <c r="C12">
        <v>11</v>
      </c>
      <c r="D12">
        <v>17.079999999999998</v>
      </c>
      <c r="H12">
        <v>11</v>
      </c>
      <c r="I12">
        <v>17.48</v>
      </c>
    </row>
    <row r="13" spans="1:9">
      <c r="A13">
        <v>12</v>
      </c>
      <c r="B13" s="1">
        <v>12.1</v>
      </c>
      <c r="C13">
        <v>12</v>
      </c>
      <c r="D13">
        <v>17.48</v>
      </c>
      <c r="H13">
        <v>12</v>
      </c>
      <c r="I13">
        <v>17.77</v>
      </c>
    </row>
    <row r="14" spans="1:9">
      <c r="A14">
        <v>13</v>
      </c>
      <c r="B14" s="1">
        <v>12.2</v>
      </c>
      <c r="C14">
        <v>13</v>
      </c>
      <c r="D14">
        <v>18.329999999999998</v>
      </c>
      <c r="H14">
        <v>13</v>
      </c>
      <c r="I14">
        <v>18.329999999999998</v>
      </c>
    </row>
    <row r="15" spans="1:9">
      <c r="A15">
        <v>14</v>
      </c>
      <c r="B15" s="1">
        <v>11.94</v>
      </c>
      <c r="C15">
        <v>14</v>
      </c>
      <c r="D15">
        <v>17.329999999999998</v>
      </c>
      <c r="H15">
        <v>14</v>
      </c>
      <c r="I15">
        <v>17.7</v>
      </c>
    </row>
    <row r="16" spans="1:9">
      <c r="A16">
        <v>15</v>
      </c>
      <c r="B16" s="1">
        <v>12.24</v>
      </c>
      <c r="C16">
        <v>15</v>
      </c>
      <c r="D16">
        <v>17.200000000000003</v>
      </c>
      <c r="H16">
        <v>15</v>
      </c>
      <c r="I16">
        <v>17.8</v>
      </c>
    </row>
    <row r="17" spans="1:9">
      <c r="A17">
        <v>16</v>
      </c>
      <c r="B17" s="1">
        <v>12.14</v>
      </c>
      <c r="C17">
        <v>16</v>
      </c>
      <c r="D17">
        <v>18.39</v>
      </c>
      <c r="H17">
        <v>16</v>
      </c>
      <c r="I17">
        <v>18.39</v>
      </c>
    </row>
    <row r="18" spans="1:9">
      <c r="A18">
        <v>17</v>
      </c>
      <c r="B18" s="1">
        <v>12</v>
      </c>
      <c r="C18">
        <v>17</v>
      </c>
      <c r="D18">
        <v>17.68</v>
      </c>
      <c r="H18">
        <v>17</v>
      </c>
      <c r="I18">
        <v>17.98</v>
      </c>
    </row>
    <row r="19" spans="1:9">
      <c r="A19">
        <v>18</v>
      </c>
      <c r="B19" s="1">
        <v>11.93</v>
      </c>
      <c r="C19">
        <v>18</v>
      </c>
      <c r="D19">
        <v>18.310000000000002</v>
      </c>
      <c r="H19">
        <v>18</v>
      </c>
      <c r="I19">
        <v>18.310000000000002</v>
      </c>
    </row>
    <row r="20" spans="1:9">
      <c r="A20">
        <v>19</v>
      </c>
      <c r="B20" s="1">
        <v>12.38</v>
      </c>
      <c r="C20">
        <v>19</v>
      </c>
      <c r="D20">
        <v>16.96</v>
      </c>
      <c r="H20">
        <v>19</v>
      </c>
      <c r="I20">
        <v>17.59</v>
      </c>
    </row>
    <row r="21" spans="1:9">
      <c r="A21">
        <v>20</v>
      </c>
      <c r="B21" s="1">
        <v>12.3</v>
      </c>
      <c r="C21">
        <v>20</v>
      </c>
      <c r="D21">
        <v>18.060000000000002</v>
      </c>
      <c r="H21">
        <v>20</v>
      </c>
      <c r="I21">
        <v>18.060000000000002</v>
      </c>
    </row>
    <row r="22" spans="1:9">
      <c r="A22">
        <v>21</v>
      </c>
      <c r="B22" s="1">
        <v>11.56</v>
      </c>
      <c r="C22">
        <v>21</v>
      </c>
      <c r="D22">
        <v>17.39</v>
      </c>
      <c r="H22">
        <v>21</v>
      </c>
      <c r="I22">
        <v>17.559999999999999</v>
      </c>
    </row>
    <row r="23" spans="1:9">
      <c r="A23">
        <v>22</v>
      </c>
      <c r="B23" s="1">
        <v>12</v>
      </c>
      <c r="C23">
        <v>22</v>
      </c>
      <c r="D23">
        <v>18.329999999999998</v>
      </c>
      <c r="H23">
        <v>22</v>
      </c>
      <c r="I23">
        <v>18.329999999999998</v>
      </c>
    </row>
    <row r="24" spans="1:9">
      <c r="A24">
        <v>23</v>
      </c>
      <c r="B24" s="1">
        <v>11.97</v>
      </c>
      <c r="C24">
        <v>23</v>
      </c>
      <c r="D24">
        <v>18.05</v>
      </c>
      <c r="H24">
        <v>23</v>
      </c>
      <c r="I24">
        <v>18.05</v>
      </c>
    </row>
    <row r="25" spans="1:9">
      <c r="A25">
        <v>24</v>
      </c>
      <c r="B25" s="1">
        <v>11.5</v>
      </c>
      <c r="C25">
        <v>24</v>
      </c>
      <c r="D25">
        <v>17.62</v>
      </c>
      <c r="H25">
        <v>24</v>
      </c>
      <c r="I25">
        <v>17.829999999999998</v>
      </c>
    </row>
    <row r="26" spans="1:9">
      <c r="A26">
        <v>25</v>
      </c>
      <c r="B26" s="1">
        <v>11.81</v>
      </c>
      <c r="C26">
        <v>25</v>
      </c>
      <c r="D26">
        <v>17.829999999999998</v>
      </c>
      <c r="H26">
        <v>25</v>
      </c>
      <c r="I26">
        <v>18.010000000000002</v>
      </c>
    </row>
    <row r="27" spans="1:9">
      <c r="H27">
        <f>H26+1</f>
        <v>26</v>
      </c>
      <c r="I27">
        <v>18.350000000000001</v>
      </c>
    </row>
    <row r="28" spans="1:9">
      <c r="A28" t="s">
        <v>15</v>
      </c>
      <c r="B28">
        <f>TRUNC(AVERAGE(B2:B26),2)</f>
        <v>11.96</v>
      </c>
      <c r="C28" t="s">
        <v>15</v>
      </c>
      <c r="D28">
        <f>TRUNC(AVERAGE(D2:D26),2)</f>
        <v>17.82</v>
      </c>
      <c r="E28" t="s">
        <v>15</v>
      </c>
      <c r="F28">
        <f>TRUNC(AVERAGE(F2:F26),2)</f>
        <v>12.11</v>
      </c>
      <c r="H28">
        <f t="shared" ref="H28:H37" si="0">H27+1</f>
        <v>27</v>
      </c>
      <c r="I28">
        <v>18.39</v>
      </c>
    </row>
    <row r="29" spans="1:9">
      <c r="A29" t="s">
        <v>16</v>
      </c>
      <c r="B29">
        <f>TRUNC(_xlfn.STDEV.S(B2:B26),2)</f>
        <v>0.24</v>
      </c>
      <c r="C29" t="s">
        <v>16</v>
      </c>
      <c r="D29">
        <f>TRUNC(_xlfn.STDEV.S(D2:D26),2)</f>
        <v>0.48</v>
      </c>
      <c r="E29" t="s">
        <v>16</v>
      </c>
      <c r="F29">
        <f>TRUNC(_xlfn.STDEV.S(F2:F26),2)</f>
        <v>0.14000000000000001</v>
      </c>
      <c r="H29">
        <f t="shared" si="0"/>
        <v>28</v>
      </c>
      <c r="I29">
        <v>17.57</v>
      </c>
    </row>
    <row r="30" spans="1:9">
      <c r="A30" t="s">
        <v>17</v>
      </c>
      <c r="B30">
        <f>TRUNC(B29/B28,3)</f>
        <v>0.02</v>
      </c>
      <c r="C30" t="s">
        <v>17</v>
      </c>
      <c r="D30">
        <f>TRUNC(D29/D28,3)</f>
        <v>2.5999999999999999E-2</v>
      </c>
      <c r="E30" t="s">
        <v>17</v>
      </c>
      <c r="F30">
        <f>TRUNC(F29/F28,3)</f>
        <v>1.0999999999999999E-2</v>
      </c>
      <c r="H30">
        <f t="shared" si="0"/>
        <v>29</v>
      </c>
      <c r="I30">
        <v>18.100000000000001</v>
      </c>
    </row>
    <row r="31" spans="1:9">
      <c r="H31">
        <f t="shared" si="0"/>
        <v>30</v>
      </c>
      <c r="I31">
        <v>18.380000000000003</v>
      </c>
    </row>
    <row r="32" spans="1:9">
      <c r="E32" t="s">
        <v>23</v>
      </c>
      <c r="F32">
        <v>0.95</v>
      </c>
      <c r="H32">
        <f t="shared" si="0"/>
        <v>31</v>
      </c>
      <c r="I32">
        <v>18.329999999999998</v>
      </c>
    </row>
    <row r="33" spans="5:9">
      <c r="E33" t="s">
        <v>20</v>
      </c>
      <c r="F33">
        <f>TINV(0.05,8)</f>
        <v>2.3060041352041671</v>
      </c>
      <c r="H33">
        <f t="shared" si="0"/>
        <v>32</v>
      </c>
      <c r="I33">
        <v>18.05</v>
      </c>
    </row>
    <row r="34" spans="5:9">
      <c r="E34" t="s">
        <v>21</v>
      </c>
      <c r="F34">
        <f>F28-F33*F29/SQRT(9)</f>
        <v>12.002386473690471</v>
      </c>
      <c r="H34">
        <f t="shared" si="0"/>
        <v>33</v>
      </c>
      <c r="I34">
        <v>18.21</v>
      </c>
    </row>
    <row r="35" spans="5:9">
      <c r="E35" t="s">
        <v>22</v>
      </c>
      <c r="F35">
        <f>F28+F33*F29/SQRT(9)</f>
        <v>12.217613526309528</v>
      </c>
      <c r="H35">
        <f>H34+1</f>
        <v>34</v>
      </c>
      <c r="I35">
        <v>18.059999999999999</v>
      </c>
    </row>
    <row r="36" spans="5:9">
      <c r="H36">
        <f t="shared" si="0"/>
        <v>35</v>
      </c>
      <c r="I36">
        <v>18.03</v>
      </c>
    </row>
    <row r="37" spans="5:9">
      <c r="H37">
        <f t="shared" si="0"/>
        <v>36</v>
      </c>
      <c r="I37">
        <v>18.010000000000002</v>
      </c>
    </row>
    <row r="41" spans="5:9">
      <c r="H41" t="s">
        <v>15</v>
      </c>
      <c r="I41">
        <f>TRUNC(AVERAGE(I2:I37),2)</f>
        <v>18.02</v>
      </c>
    </row>
    <row r="42" spans="5:9">
      <c r="H42" t="s">
        <v>16</v>
      </c>
      <c r="I42">
        <f>TRUNC(_xlfn.STDEV.S(I2:I37),2)</f>
        <v>0.31</v>
      </c>
    </row>
    <row r="43" spans="5:9">
      <c r="H43" t="s">
        <v>17</v>
      </c>
      <c r="I43">
        <f>TRUNC(I42/I41,3)</f>
        <v>1.7000000000000001E-2</v>
      </c>
    </row>
    <row r="45" spans="5:9">
      <c r="H45" t="s">
        <v>23</v>
      </c>
      <c r="I45">
        <v>0.95</v>
      </c>
    </row>
    <row r="46" spans="5:9">
      <c r="H46" t="s">
        <v>20</v>
      </c>
      <c r="I46">
        <f>TINV(0.05,35)</f>
        <v>2.0301079282503438</v>
      </c>
    </row>
    <row r="47" spans="5:9">
      <c r="H47" t="s">
        <v>21</v>
      </c>
      <c r="I47">
        <f>I41-I46*I42/SQRT(36)</f>
        <v>17.915111090373731</v>
      </c>
    </row>
    <row r="48" spans="5:9">
      <c r="H48" t="s">
        <v>22</v>
      </c>
      <c r="I48">
        <f>I41+I46*I42/SQRT(36)</f>
        <v>18.124888909626268</v>
      </c>
    </row>
  </sheetData>
  <pageMargins left="0.75" right="0.75" top="1" bottom="1" header="0.5" footer="0.5"/>
  <pageSetup orientation="portrait" horizontalDpi="4294967292" verticalDpi="4294967292"/>
  <ignoredErrors>
    <ignoredError sqref="F28" emptyCellReferenc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workbookViewId="0">
      <selection sqref="A1:C62"/>
    </sheetView>
  </sheetViews>
  <sheetFormatPr baseColWidth="10" defaultRowHeight="15" x14ac:dyDescent="0"/>
  <cols>
    <col min="2" max="3" width="12.1640625" bestFit="1" customWidth="1"/>
    <col min="5" max="6" width="12.1640625" bestFit="1" customWidth="1"/>
  </cols>
  <sheetData>
    <row r="1" spans="1:3">
      <c r="A1" t="s">
        <v>28</v>
      </c>
      <c r="B1" t="s">
        <v>26</v>
      </c>
      <c r="C1" t="s">
        <v>27</v>
      </c>
    </row>
    <row r="2" spans="1:3">
      <c r="A2" s="2">
        <v>43952</v>
      </c>
      <c r="B2">
        <v>74</v>
      </c>
      <c r="C2">
        <v>168</v>
      </c>
    </row>
    <row r="3" spans="1:3">
      <c r="A3" s="2">
        <f>A2+1</f>
        <v>43953</v>
      </c>
      <c r="B3">
        <v>68</v>
      </c>
      <c r="C3">
        <v>155</v>
      </c>
    </row>
    <row r="4" spans="1:3">
      <c r="A4" s="2">
        <f t="shared" ref="A4:A62" si="0">A3+1</f>
        <v>43954</v>
      </c>
      <c r="B4">
        <v>69</v>
      </c>
      <c r="C4">
        <v>158</v>
      </c>
    </row>
    <row r="5" spans="1:3">
      <c r="A5" s="2">
        <f t="shared" si="0"/>
        <v>43955</v>
      </c>
      <c r="B5">
        <v>70</v>
      </c>
      <c r="C5">
        <v>161</v>
      </c>
    </row>
    <row r="6" spans="1:3">
      <c r="A6" s="2">
        <f t="shared" si="0"/>
        <v>43956</v>
      </c>
      <c r="B6">
        <v>73</v>
      </c>
      <c r="C6">
        <v>165</v>
      </c>
    </row>
    <row r="7" spans="1:3">
      <c r="A7" s="2">
        <f t="shared" si="0"/>
        <v>43957</v>
      </c>
      <c r="B7">
        <v>68</v>
      </c>
      <c r="C7">
        <v>157</v>
      </c>
    </row>
    <row r="8" spans="1:3">
      <c r="A8" s="2">
        <f t="shared" si="0"/>
        <v>43958</v>
      </c>
      <c r="B8">
        <v>71</v>
      </c>
      <c r="C8">
        <v>160</v>
      </c>
    </row>
    <row r="9" spans="1:3">
      <c r="A9" s="2">
        <f t="shared" si="0"/>
        <v>43959</v>
      </c>
      <c r="B9">
        <v>73</v>
      </c>
      <c r="C9">
        <v>166</v>
      </c>
    </row>
    <row r="10" spans="1:3">
      <c r="A10" s="2">
        <f t="shared" si="0"/>
        <v>43960</v>
      </c>
      <c r="B10">
        <v>67</v>
      </c>
      <c r="C10">
        <v>154</v>
      </c>
    </row>
    <row r="11" spans="1:3">
      <c r="A11" s="2">
        <f t="shared" si="0"/>
        <v>43961</v>
      </c>
      <c r="B11">
        <v>70</v>
      </c>
      <c r="C11">
        <v>160</v>
      </c>
    </row>
    <row r="12" spans="1:3">
      <c r="A12" s="2">
        <f t="shared" si="0"/>
        <v>43962</v>
      </c>
      <c r="B12">
        <v>68</v>
      </c>
      <c r="C12">
        <v>159</v>
      </c>
    </row>
    <row r="13" spans="1:3">
      <c r="A13" s="2">
        <f t="shared" si="0"/>
        <v>43963</v>
      </c>
      <c r="B13">
        <v>66</v>
      </c>
      <c r="C13">
        <v>156</v>
      </c>
    </row>
    <row r="14" spans="1:3">
      <c r="A14" s="2">
        <f t="shared" si="0"/>
        <v>43964</v>
      </c>
      <c r="B14">
        <v>65</v>
      </c>
      <c r="C14">
        <v>150</v>
      </c>
    </row>
    <row r="15" spans="1:3">
      <c r="A15" s="2">
        <f t="shared" si="0"/>
        <v>43965</v>
      </c>
      <c r="B15">
        <v>65</v>
      </c>
      <c r="C15">
        <v>153</v>
      </c>
    </row>
    <row r="16" spans="1:3">
      <c r="A16" s="2">
        <f t="shared" si="0"/>
        <v>43966</v>
      </c>
      <c r="B16">
        <v>71</v>
      </c>
      <c r="C16">
        <v>161</v>
      </c>
    </row>
    <row r="17" spans="1:3">
      <c r="A17" s="2">
        <f t="shared" si="0"/>
        <v>43967</v>
      </c>
      <c r="B17">
        <v>67</v>
      </c>
      <c r="C17">
        <v>153</v>
      </c>
    </row>
    <row r="18" spans="1:3">
      <c r="A18" s="2">
        <f t="shared" si="0"/>
        <v>43968</v>
      </c>
      <c r="B18">
        <v>66</v>
      </c>
      <c r="C18">
        <v>151</v>
      </c>
    </row>
    <row r="19" spans="1:3">
      <c r="A19" s="2">
        <f t="shared" si="0"/>
        <v>43969</v>
      </c>
      <c r="B19">
        <v>72</v>
      </c>
      <c r="C19">
        <v>168</v>
      </c>
    </row>
    <row r="20" spans="1:3">
      <c r="A20" s="2">
        <f t="shared" si="0"/>
        <v>43970</v>
      </c>
      <c r="B20">
        <v>67</v>
      </c>
      <c r="C20">
        <v>156</v>
      </c>
    </row>
    <row r="21" spans="1:3">
      <c r="A21" s="2">
        <f t="shared" si="0"/>
        <v>43971</v>
      </c>
      <c r="B21">
        <v>65</v>
      </c>
      <c r="C21">
        <v>154</v>
      </c>
    </row>
    <row r="22" spans="1:3">
      <c r="A22" s="2">
        <f t="shared" si="0"/>
        <v>43972</v>
      </c>
      <c r="B22">
        <v>70</v>
      </c>
      <c r="C22">
        <v>166</v>
      </c>
    </row>
    <row r="23" spans="1:3">
      <c r="A23" s="2">
        <f t="shared" si="0"/>
        <v>43973</v>
      </c>
      <c r="B23">
        <v>73</v>
      </c>
      <c r="C23">
        <v>169</v>
      </c>
    </row>
    <row r="24" spans="1:3">
      <c r="A24" s="2">
        <f t="shared" si="0"/>
        <v>43974</v>
      </c>
      <c r="B24">
        <v>72</v>
      </c>
      <c r="C24">
        <v>161</v>
      </c>
    </row>
    <row r="25" spans="1:3">
      <c r="A25" s="2">
        <f t="shared" si="0"/>
        <v>43975</v>
      </c>
      <c r="B25">
        <v>68</v>
      </c>
      <c r="C25">
        <v>157</v>
      </c>
    </row>
    <row r="26" spans="1:3">
      <c r="A26" s="2">
        <f t="shared" si="0"/>
        <v>43976</v>
      </c>
      <c r="B26">
        <v>65</v>
      </c>
      <c r="C26">
        <v>149</v>
      </c>
    </row>
    <row r="27" spans="1:3">
      <c r="A27" s="2">
        <f t="shared" si="0"/>
        <v>43977</v>
      </c>
      <c r="B27">
        <v>74</v>
      </c>
      <c r="C27">
        <v>167</v>
      </c>
    </row>
    <row r="28" spans="1:3">
      <c r="A28" s="2">
        <f t="shared" si="0"/>
        <v>43978</v>
      </c>
      <c r="B28">
        <v>67</v>
      </c>
      <c r="C28">
        <v>157</v>
      </c>
    </row>
    <row r="29" spans="1:3">
      <c r="A29" s="2">
        <f t="shared" si="0"/>
        <v>43979</v>
      </c>
      <c r="B29">
        <v>68</v>
      </c>
      <c r="C29">
        <v>158</v>
      </c>
    </row>
    <row r="30" spans="1:3">
      <c r="A30" s="2">
        <f t="shared" si="0"/>
        <v>43980</v>
      </c>
      <c r="B30">
        <v>73</v>
      </c>
      <c r="C30">
        <v>168</v>
      </c>
    </row>
    <row r="31" spans="1:3">
      <c r="A31" s="2">
        <f t="shared" si="0"/>
        <v>43981</v>
      </c>
      <c r="B31">
        <v>65</v>
      </c>
      <c r="C31">
        <v>159</v>
      </c>
    </row>
    <row r="32" spans="1:3">
      <c r="A32" s="2">
        <f t="shared" si="0"/>
        <v>43982</v>
      </c>
      <c r="B32">
        <v>65</v>
      </c>
      <c r="C32">
        <v>155</v>
      </c>
    </row>
    <row r="33" spans="1:3">
      <c r="A33" s="2">
        <f t="shared" si="0"/>
        <v>43983</v>
      </c>
      <c r="B33">
        <v>74</v>
      </c>
      <c r="C33">
        <v>164</v>
      </c>
    </row>
    <row r="34" spans="1:3">
      <c r="A34" s="2">
        <f t="shared" si="0"/>
        <v>43984</v>
      </c>
      <c r="B34">
        <v>68</v>
      </c>
      <c r="C34">
        <v>157</v>
      </c>
    </row>
    <row r="35" spans="1:3">
      <c r="A35" s="2">
        <f t="shared" si="0"/>
        <v>43985</v>
      </c>
      <c r="B35">
        <v>72</v>
      </c>
      <c r="C35">
        <v>166</v>
      </c>
    </row>
    <row r="36" spans="1:3">
      <c r="A36" s="2">
        <f t="shared" si="0"/>
        <v>43986</v>
      </c>
      <c r="B36">
        <v>69</v>
      </c>
      <c r="C36">
        <v>154</v>
      </c>
    </row>
    <row r="37" spans="1:3">
      <c r="A37" s="2">
        <f t="shared" si="0"/>
        <v>43987</v>
      </c>
      <c r="B37">
        <v>73</v>
      </c>
      <c r="C37">
        <v>160</v>
      </c>
    </row>
    <row r="38" spans="1:3">
      <c r="A38" s="2">
        <f t="shared" si="0"/>
        <v>43988</v>
      </c>
      <c r="B38">
        <v>73</v>
      </c>
      <c r="C38">
        <v>166</v>
      </c>
    </row>
    <row r="39" spans="1:3">
      <c r="A39" s="2">
        <f t="shared" si="0"/>
        <v>43989</v>
      </c>
      <c r="B39">
        <v>68</v>
      </c>
      <c r="C39">
        <v>155</v>
      </c>
    </row>
    <row r="40" spans="1:3">
      <c r="A40" s="2">
        <f t="shared" si="0"/>
        <v>43990</v>
      </c>
      <c r="B40">
        <v>69</v>
      </c>
      <c r="C40">
        <v>159</v>
      </c>
    </row>
    <row r="41" spans="1:3">
      <c r="A41" s="2">
        <f t="shared" si="0"/>
        <v>43991</v>
      </c>
      <c r="B41">
        <v>73</v>
      </c>
      <c r="C41">
        <v>164</v>
      </c>
    </row>
    <row r="42" spans="1:3">
      <c r="A42" s="2">
        <f t="shared" si="0"/>
        <v>43992</v>
      </c>
      <c r="B42">
        <v>71</v>
      </c>
      <c r="C42">
        <v>156</v>
      </c>
    </row>
    <row r="43" spans="1:3">
      <c r="A43" s="2">
        <f t="shared" si="0"/>
        <v>43993</v>
      </c>
      <c r="B43">
        <v>66</v>
      </c>
      <c r="C43">
        <v>155</v>
      </c>
    </row>
    <row r="44" spans="1:3">
      <c r="A44" s="2">
        <f t="shared" si="0"/>
        <v>43994</v>
      </c>
      <c r="B44">
        <v>71</v>
      </c>
      <c r="C44">
        <v>169</v>
      </c>
    </row>
    <row r="45" spans="1:3">
      <c r="A45" s="2">
        <f t="shared" si="0"/>
        <v>43995</v>
      </c>
      <c r="B45">
        <v>69</v>
      </c>
      <c r="C45">
        <v>158</v>
      </c>
    </row>
    <row r="46" spans="1:3">
      <c r="A46" s="2">
        <f t="shared" si="0"/>
        <v>43996</v>
      </c>
      <c r="B46">
        <v>68</v>
      </c>
      <c r="C46">
        <v>159</v>
      </c>
    </row>
    <row r="47" spans="1:3">
      <c r="A47" s="2">
        <f t="shared" si="0"/>
        <v>43997</v>
      </c>
      <c r="B47">
        <v>70</v>
      </c>
      <c r="C47">
        <v>155</v>
      </c>
    </row>
    <row r="48" spans="1:3">
      <c r="A48" s="2">
        <f t="shared" si="0"/>
        <v>43998</v>
      </c>
      <c r="B48">
        <v>70</v>
      </c>
      <c r="C48">
        <v>165</v>
      </c>
    </row>
    <row r="49" spans="1:3">
      <c r="A49" s="2">
        <f t="shared" si="0"/>
        <v>43999</v>
      </c>
      <c r="B49">
        <v>74</v>
      </c>
      <c r="C49">
        <v>160</v>
      </c>
    </row>
    <row r="50" spans="1:3">
      <c r="A50" s="2">
        <f t="shared" si="0"/>
        <v>44000</v>
      </c>
      <c r="B50">
        <v>68</v>
      </c>
      <c r="C50">
        <v>159</v>
      </c>
    </row>
    <row r="51" spans="1:3">
      <c r="A51" s="2">
        <f t="shared" si="0"/>
        <v>44001</v>
      </c>
      <c r="B51">
        <v>69</v>
      </c>
      <c r="C51">
        <v>157</v>
      </c>
    </row>
    <row r="52" spans="1:3">
      <c r="A52" s="2">
        <f t="shared" si="0"/>
        <v>44002</v>
      </c>
      <c r="B52">
        <v>68</v>
      </c>
      <c r="C52">
        <v>157</v>
      </c>
    </row>
    <row r="53" spans="1:3">
      <c r="A53" s="2">
        <f t="shared" si="0"/>
        <v>44003</v>
      </c>
      <c r="B53">
        <v>67</v>
      </c>
      <c r="C53">
        <v>153</v>
      </c>
    </row>
    <row r="54" spans="1:3">
      <c r="A54" s="2">
        <f t="shared" si="0"/>
        <v>44004</v>
      </c>
      <c r="B54">
        <v>65</v>
      </c>
      <c r="C54">
        <v>158</v>
      </c>
    </row>
    <row r="55" spans="1:3">
      <c r="A55" s="2">
        <f t="shared" si="0"/>
        <v>44005</v>
      </c>
      <c r="B55">
        <v>72</v>
      </c>
      <c r="C55">
        <v>165</v>
      </c>
    </row>
    <row r="56" spans="1:3">
      <c r="A56" s="2">
        <f t="shared" si="0"/>
        <v>44006</v>
      </c>
      <c r="B56">
        <v>65</v>
      </c>
      <c r="C56">
        <v>148</v>
      </c>
    </row>
    <row r="57" spans="1:3">
      <c r="A57" s="2">
        <f t="shared" si="0"/>
        <v>44007</v>
      </c>
      <c r="B57">
        <v>67</v>
      </c>
      <c r="C57">
        <v>159</v>
      </c>
    </row>
    <row r="58" spans="1:3">
      <c r="A58" s="2">
        <f t="shared" si="0"/>
        <v>44008</v>
      </c>
      <c r="B58">
        <v>74</v>
      </c>
      <c r="C58">
        <v>171</v>
      </c>
    </row>
    <row r="59" spans="1:3">
      <c r="A59" s="2">
        <f t="shared" si="0"/>
        <v>44009</v>
      </c>
      <c r="B59">
        <v>72</v>
      </c>
      <c r="C59">
        <v>160</v>
      </c>
    </row>
    <row r="60" spans="1:3">
      <c r="A60" s="2">
        <f t="shared" si="0"/>
        <v>44010</v>
      </c>
      <c r="B60">
        <v>68</v>
      </c>
      <c r="C60">
        <v>159</v>
      </c>
    </row>
    <row r="61" spans="1:3">
      <c r="A61" s="2">
        <f t="shared" si="0"/>
        <v>44011</v>
      </c>
      <c r="B61">
        <v>74</v>
      </c>
      <c r="C61">
        <v>166</v>
      </c>
    </row>
    <row r="62" spans="1:3">
      <c r="A62" s="2">
        <f t="shared" si="0"/>
        <v>44012</v>
      </c>
      <c r="B62">
        <v>69</v>
      </c>
      <c r="C62">
        <v>159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Porter</vt:lpstr>
      <vt:lpstr>Multiple Brews</vt:lpstr>
      <vt:lpstr>Temperature and IPA</vt:lpstr>
    </vt:vector>
  </TitlesOfParts>
  <Company>Rev. Dr. Joan M. Saniuk, Ph.D.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Saniuk</dc:creator>
  <cp:lastModifiedBy>Joan Saniuk</cp:lastModifiedBy>
  <dcterms:created xsi:type="dcterms:W3CDTF">2020-04-14T00:57:30Z</dcterms:created>
  <dcterms:modified xsi:type="dcterms:W3CDTF">2020-04-23T15:48:17Z</dcterms:modified>
</cp:coreProperties>
</file>