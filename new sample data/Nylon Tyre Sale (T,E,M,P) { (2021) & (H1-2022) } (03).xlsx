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-Cust Sale (H1-2021)"/>
    <sheet r:id="rId2" sheetId="2" name="4-Cust Sale (H2-2021)"/>
    <sheet r:id="rId3" sheetId="3" name="4-Cust Sale (H1-2022)"/>
  </sheets>
  <definedNames>
    <definedName name="apple">#REF!</definedName>
  </definedNames>
  <calcPr fullCalcOnLoad="1"/>
</workbook>
</file>

<file path=xl/sharedStrings.xml><?xml version="1.0" encoding="utf-8"?>
<sst xmlns="http://schemas.openxmlformats.org/spreadsheetml/2006/main" count="396" uniqueCount="138">
  <si>
    <t>4-Customer Yangon Tyre (Nylon) Sale (H1-2022)</t>
  </si>
  <si>
    <t>Date-11-7-2022</t>
  </si>
  <si>
    <t>No.</t>
  </si>
  <si>
    <t>Code</t>
  </si>
  <si>
    <t>Description</t>
  </si>
  <si>
    <t>U Tommy (H1-2022)</t>
  </si>
  <si>
    <t>U Eisat (H1-2022)</t>
  </si>
  <si>
    <t>U Mg Mg (H1-2022)</t>
  </si>
  <si>
    <t>Mann Power (H1-2022)</t>
  </si>
  <si>
    <t>Qty</t>
  </si>
  <si>
    <t>Amount</t>
  </si>
  <si>
    <t>001</t>
  </si>
  <si>
    <t>5.00-12 (8PR) With Tube (Rib)</t>
  </si>
  <si>
    <t>002</t>
  </si>
  <si>
    <t>5.00-12 (10PR) With Tube (R/L)</t>
  </si>
  <si>
    <t>003</t>
  </si>
  <si>
    <t>6.00-12 (8PR) With Tube (AG) 555</t>
  </si>
  <si>
    <t>004</t>
  </si>
  <si>
    <t>6.00-16 (10PR) With Tube (AG) 555</t>
  </si>
  <si>
    <t>005</t>
  </si>
  <si>
    <t>5.50-13 (8PR) With Tube (Rib)</t>
  </si>
  <si>
    <t>006</t>
  </si>
  <si>
    <t>5.50-13 (12PR) With Tube (Lug)</t>
  </si>
  <si>
    <t>007</t>
  </si>
  <si>
    <t>6.00-13 (8PR) With Tube (Rib) H.W</t>
  </si>
  <si>
    <t>008</t>
  </si>
  <si>
    <t>6.00-13 (10PR) With Tube (Rib)</t>
  </si>
  <si>
    <t>009</t>
  </si>
  <si>
    <t>6.00-13 (10PR) With Tube (Lug)</t>
  </si>
  <si>
    <t>010</t>
  </si>
  <si>
    <t>6.00-14 (8PR) With Tube (Rib)</t>
  </si>
  <si>
    <t>011</t>
  </si>
  <si>
    <t>6.00-14 (8PR) With Tube (Lug)</t>
  </si>
  <si>
    <t>012</t>
  </si>
  <si>
    <t>6.50-14 (10PR) With Tube (Rib)</t>
  </si>
  <si>
    <t>013</t>
  </si>
  <si>
    <t>6.00-15 (10PR) With Tube (Rib)</t>
  </si>
  <si>
    <t>014</t>
  </si>
  <si>
    <t>6.00-15 (10PR) With Tube (Lug)</t>
  </si>
  <si>
    <t>015</t>
  </si>
  <si>
    <t>6.50-15 (12PR) With Tube (Rib)</t>
  </si>
  <si>
    <t>016</t>
  </si>
  <si>
    <t>6.50-15 (12PR) With Tube (Lug)</t>
  </si>
  <si>
    <t>017</t>
  </si>
  <si>
    <t>7.00-15 (10PR) With Tube (Grip)</t>
  </si>
  <si>
    <t>018</t>
  </si>
  <si>
    <t>7.00-15 (14PR) With Tube &amp; Flap (Rib)</t>
  </si>
  <si>
    <t>019</t>
  </si>
  <si>
    <t>7.50-15 (16PR) With Tube &amp; Flap (Rib)</t>
  </si>
  <si>
    <t>020</t>
  </si>
  <si>
    <t>6.50-16 (12PR) With Tube &amp; Flap (Rib)</t>
  </si>
  <si>
    <t>021</t>
  </si>
  <si>
    <t>6.50-16 (12PR) With Tube &amp; Flap (Lug)</t>
  </si>
  <si>
    <t>022</t>
  </si>
  <si>
    <t>7.00-16 (12PR) With Tube &amp; Flap (Rib) H.W</t>
  </si>
  <si>
    <t>023</t>
  </si>
  <si>
    <t>7.00-16 (12PR) With Tube &amp; Flap (Rib) 727</t>
  </si>
  <si>
    <t>024</t>
  </si>
  <si>
    <t>7.00-16 (12PR) With Tube (Grip)</t>
  </si>
  <si>
    <t>025</t>
  </si>
  <si>
    <t>7.00-16 (14PR) With Tube &amp; Flap (Rib)</t>
  </si>
  <si>
    <t>026</t>
  </si>
  <si>
    <t>7.00-16 (14PR) With Tube &amp; Flap (Lug)</t>
  </si>
  <si>
    <t>027</t>
  </si>
  <si>
    <t>7.50-16 (16PR) With Tube &amp; Flap (Rib)</t>
  </si>
  <si>
    <t>028</t>
  </si>
  <si>
    <t>7.50-16 (16PR) With Tube &amp; Flap (Lug) 713</t>
  </si>
  <si>
    <t>029</t>
  </si>
  <si>
    <t>7.50-16 (16PR) With Tube &amp; Flap (Lug) 747</t>
  </si>
  <si>
    <t>030</t>
  </si>
  <si>
    <t>8.25-16 (14PR) With Tube &amp; Flap (Rib) H.W</t>
  </si>
  <si>
    <t>031</t>
  </si>
  <si>
    <t>8.25-16 (18PR) With Tube &amp; Flap (Lug) 713</t>
  </si>
  <si>
    <t>032</t>
  </si>
  <si>
    <t>8.25-16 (18PR) With Tube &amp; Flap (Lug) 747</t>
  </si>
  <si>
    <t>033</t>
  </si>
  <si>
    <t>8.25-16 (18PR) With Tube &amp; Flap (Lug) 737</t>
  </si>
  <si>
    <t>034</t>
  </si>
  <si>
    <t>6.50-20 (8PR) With Tube (AG) 575</t>
  </si>
  <si>
    <t>035</t>
  </si>
  <si>
    <t>8.25-20 (16PR) With Tube &amp; Flap (Rib)</t>
  </si>
  <si>
    <t>036</t>
  </si>
  <si>
    <t>8.25-20 (18PR) With Tube &amp; Flap (Lug) 747</t>
  </si>
  <si>
    <t>037</t>
  </si>
  <si>
    <t>8.25-20 (18PR) With Tube &amp; Flap (Lug) 737</t>
  </si>
  <si>
    <t>038</t>
  </si>
  <si>
    <t>9.00-20 (16PR) With Tube &amp; Flap (Rib)</t>
  </si>
  <si>
    <t>039</t>
  </si>
  <si>
    <t>9.00-20 (16PR) With Tube &amp; Flap (Lug) 746</t>
  </si>
  <si>
    <t>040</t>
  </si>
  <si>
    <t>9.00-20 (18PR) With Tube &amp; Flap (Lug) 747</t>
  </si>
  <si>
    <t>041</t>
  </si>
  <si>
    <t>9.00-20 (18PR) With Tube &amp; Flap (Lug) 737</t>
  </si>
  <si>
    <t>042</t>
  </si>
  <si>
    <t>7.50-16 (10PR) With Tube (AG) 555</t>
  </si>
  <si>
    <t>043</t>
  </si>
  <si>
    <t>11.00-20 (18PR) With Tube &amp; Flap (Lug) 747</t>
  </si>
  <si>
    <t>044</t>
  </si>
  <si>
    <t>10.00-20 (18PR) With Tube &amp; Flap (Lug) 747</t>
  </si>
  <si>
    <t>045</t>
  </si>
  <si>
    <t>9.5-24 (8PR) With Tube (AG) 357</t>
  </si>
  <si>
    <t>046</t>
  </si>
  <si>
    <t>4.00-8 (6PR) With Tube (Lug) (713)</t>
  </si>
  <si>
    <t>047</t>
  </si>
  <si>
    <t>12.4-24 (8PR) With Tube (AG) 357</t>
  </si>
  <si>
    <t>048</t>
  </si>
  <si>
    <t>12.4-24 (12PR) With Tube (AG) 357</t>
  </si>
  <si>
    <t>049</t>
  </si>
  <si>
    <t>10.00-20 (18PR) With Tube &amp; Flap (Lug) 737</t>
  </si>
  <si>
    <t>050</t>
  </si>
  <si>
    <t>4.00-8 (6PR) With Tube (Rib) (748)</t>
  </si>
  <si>
    <t>051</t>
  </si>
  <si>
    <t>8.3-24 (8PR) With Tube (AG) 357</t>
  </si>
  <si>
    <t>052</t>
  </si>
  <si>
    <t>11.2-24 (8PR) With Tube (AG) 135</t>
  </si>
  <si>
    <t>053</t>
  </si>
  <si>
    <t>11.2-24 (12PR) With Tube (AG) 135</t>
  </si>
  <si>
    <t>054</t>
  </si>
  <si>
    <t>5.00-12 (12PR) With Tube (Lug) 747</t>
  </si>
  <si>
    <t>055</t>
  </si>
  <si>
    <t>8.00-18 (8PR) With Tube (AG) 555</t>
  </si>
  <si>
    <t>056</t>
  </si>
  <si>
    <t>9.5-24 (12PR) With Tube (AG) 357</t>
  </si>
  <si>
    <t>057</t>
  </si>
  <si>
    <t>7.50-16 (14PR) With Tube (Grip) (YT-723)</t>
  </si>
  <si>
    <t>Total</t>
  </si>
  <si>
    <t>Yangon Tyre (Nylon) Sale (H2-2022)</t>
  </si>
  <si>
    <t>Date-15-7-2022</t>
  </si>
  <si>
    <t>No</t>
  </si>
  <si>
    <t>U Tommy (H2-2021)</t>
  </si>
  <si>
    <t>U Eisat (H2-2021)</t>
  </si>
  <si>
    <t>U Mg Mg (H2-2021)</t>
  </si>
  <si>
    <t>Mann Power (H2-2021)</t>
  </si>
  <si>
    <t xml:space="preserve">4-Customer Yangon Tyre (Nylon) Sale (H1-2021) </t>
  </si>
  <si>
    <t>U Tommy (H1-2021)</t>
  </si>
  <si>
    <t>U Eisat (H1-2021)</t>
  </si>
  <si>
    <t>U Mg Mg (H1-2021)</t>
  </si>
  <si>
    <t>Mann Power (H1-2021)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</si>
</sst>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mm-yyyy"/>
  </numFmts>
  <fonts count="7" x14ac:knownFonts="1">
    <font>
      <sz val="11"/>
      <color theme="1"/>
      <name val="Calibri"/>
      <family val="2"/>
      <scheme val="minor"/>
    </font>
    <font>
      <b/>
      <sz val="11"/>
      <color rgb="FF1a10de"/>
      <name val="Pyidaungsu"/>
      <family val="2"/>
    </font>
    <font>
      <sz val="11"/>
      <color rgb="FF1a10de"/>
      <name val="Pyidaungsu"/>
      <family val="2"/>
    </font>
    <font>
      <b/>
      <sz val="11"/>
      <color rgb="FF0000cc"/>
      <name val="Pyidaungsu"/>
      <family val="2"/>
    </font>
    <font>
      <sz val="11"/>
      <color rgb="FF0000cc"/>
      <name val="Pyidaungsu"/>
      <family val="2"/>
    </font>
    <font>
      <b/>
      <sz val="11"/>
      <color rgb="FF0000ff"/>
      <name val="Pyidaungsu"/>
      <family val="2"/>
    </font>
    <font>
      <sz val="11"/>
      <color rgb="FF0000ff"/>
      <name val="Pyidaungsu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xfId="0" numFmtId="0" borderId="0" fontId="0" fillId="0"/>
    <xf xfId="0" numFmtId="3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49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3" applyNumberFormat="1" borderId="3" applyBorder="1" fontId="1" applyFont="1" fillId="0" applyAlignment="1">
      <alignment horizontal="center" vertical="top"/>
    </xf>
    <xf xfId="0" numFmtId="49" applyNumberFormat="1" borderId="3" applyBorder="1" fontId="1" applyFont="1" fillId="0" applyAlignment="1">
      <alignment horizontal="center" vertical="top" wrapText="1"/>
    </xf>
    <xf xfId="0" numFmtId="0" borderId="3" applyBorder="1" fontId="1" applyFont="1" fillId="0" applyAlignment="1">
      <alignment horizontal="center" vertical="top" wrapText="1"/>
    </xf>
    <xf xfId="0" numFmtId="3" applyNumberFormat="1" borderId="4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3" applyNumberFormat="1" borderId="5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 wrapText="1"/>
    </xf>
    <xf xfId="0" numFmtId="0" borderId="3" applyBorder="1" fontId="1" applyFont="1" fillId="0" applyAlignment="1">
      <alignment horizontal="center" wrapText="1"/>
    </xf>
    <xf xfId="0" numFmtId="3" applyNumberFormat="1" borderId="3" applyBorder="1" fontId="2" applyFont="1" fillId="0" applyAlignment="1">
      <alignment horizontal="center"/>
    </xf>
    <xf xfId="0" numFmtId="49" applyNumberFormat="1" borderId="3" applyBorder="1" fontId="2" applyFont="1" fillId="0" applyAlignment="1">
      <alignment horizontal="center" wrapText="1"/>
    </xf>
    <xf xfId="0" numFmtId="0" borderId="3" applyBorder="1" fontId="2" applyFont="1" fillId="0" applyAlignment="1">
      <alignment horizontal="left" wrapText="1"/>
    </xf>
    <xf xfId="0" numFmtId="3" applyNumberFormat="1" borderId="3" applyBorder="1" fontId="2" applyFont="1" fillId="0" applyAlignment="1">
      <alignment horizontal="center" wrapText="1"/>
    </xf>
    <xf xfId="0" numFmtId="3" applyNumberFormat="1" borderId="3" applyBorder="1" fontId="2" applyFont="1" fillId="0" applyAlignment="1">
      <alignment horizontal="right" wrapText="1"/>
    </xf>
    <xf xfId="0" numFmtId="3" applyNumberFormat="1" borderId="6" applyBorder="1" fontId="2" applyFont="1" fillId="0" applyAlignment="1">
      <alignment horizontal="center"/>
    </xf>
    <xf xfId="0" numFmtId="49" applyNumberFormat="1" borderId="6" applyBorder="1" fontId="2" applyFont="1" fillId="0" applyAlignment="1">
      <alignment horizontal="center" wrapText="1"/>
    </xf>
    <xf xfId="0" numFmtId="0" borderId="6" applyBorder="1" fontId="2" applyFont="1" fillId="0" applyAlignment="1">
      <alignment horizontal="left" wrapText="1"/>
    </xf>
    <xf xfId="0" numFmtId="49" applyNumberFormat="1" borderId="3" applyBorder="1" fontId="2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9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center"/>
    </xf>
    <xf xfId="0" numFmtId="49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49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right"/>
    </xf>
    <xf xfId="0" numFmtId="3" applyNumberFormat="1" borderId="3" applyBorder="1" fontId="3" applyFont="1" fillId="0" applyAlignment="1">
      <alignment horizontal="center" vertical="top" wrapText="1"/>
    </xf>
    <xf xfId="0" numFmtId="49" applyNumberFormat="1" borderId="3" applyBorder="1" fontId="4" applyFont="1" fillId="0" applyAlignment="1">
      <alignment horizontal="center" vertical="top"/>
    </xf>
    <xf xfId="0" numFmtId="0" borderId="3" applyBorder="1" fontId="3" applyFont="1" fillId="0" applyAlignment="1">
      <alignment horizontal="center" vertical="top" wrapText="1"/>
    </xf>
    <xf xfId="0" numFmtId="3" applyNumberFormat="1" borderId="3" applyBorder="1" fontId="3" applyFont="1" fillId="0" applyAlignment="1">
      <alignment horizontal="center"/>
    </xf>
    <xf xfId="0" numFmtId="164" applyNumberFormat="1" borderId="3" applyBorder="1" fontId="3" applyFont="1" fillId="0" applyAlignment="1">
      <alignment horizontal="center"/>
    </xf>
    <xf xfId="0" numFmtId="3" applyNumberFormat="1" borderId="3" applyBorder="1" fontId="5" applyFont="1" fillId="0" applyAlignment="1">
      <alignment horizontal="center" wrapText="1"/>
    </xf>
    <xf xfId="0" numFmtId="164" applyNumberFormat="1" borderId="3" applyBorder="1" fontId="5" applyFont="1" fillId="0" applyAlignment="1">
      <alignment horizontal="center"/>
    </xf>
    <xf xfId="0" numFmtId="3" applyNumberFormat="1" borderId="5" applyBorder="1" fontId="5" applyFont="1" fillId="0" applyAlignment="1">
      <alignment horizontal="center" wrapText="1"/>
    </xf>
    <xf xfId="0" numFmtId="164" applyNumberFormat="1" borderId="4" applyBorder="1" fontId="5" applyFont="1" fillId="0" applyAlignment="1">
      <alignment horizontal="center" wrapText="1"/>
    </xf>
    <xf xfId="0" numFmtId="3" applyNumberFormat="1" borderId="3" applyBorder="1" fontId="3" applyFont="1" fillId="0" applyAlignment="1">
      <alignment horizontal="center" wrapText="1"/>
    </xf>
    <xf xfId="0" numFmtId="3" applyNumberFormat="1" borderId="3" applyBorder="1" fontId="4" applyFont="1" fillId="0" applyAlignment="1">
      <alignment horizontal="center"/>
    </xf>
    <xf xfId="0" numFmtId="0" borderId="3" applyBorder="1" fontId="3" applyFont="1" fillId="0" applyAlignment="1">
      <alignment horizontal="center" wrapText="1"/>
    </xf>
    <xf xfId="0" numFmtId="0" borderId="0" fontId="0" fillId="0" applyAlignment="1">
      <alignment wrapText="1"/>
    </xf>
    <xf xfId="0" numFmtId="3" applyNumberFormat="1" borderId="3" applyBorder="1" fontId="4" applyFont="1" fillId="0" applyAlignment="1">
      <alignment horizontal="center" wrapText="1"/>
    </xf>
    <xf xfId="0" numFmtId="49" applyNumberFormat="1" borderId="3" applyBorder="1" fontId="4" applyFont="1" fillId="0" applyAlignment="1">
      <alignment horizontal="center" wrapText="1"/>
    </xf>
    <xf xfId="0" numFmtId="0" borderId="3" applyBorder="1" fontId="4" applyFont="1" fillId="0" applyAlignment="1">
      <alignment horizontal="left" wrapText="1"/>
    </xf>
    <xf xfId="0" numFmtId="3" applyNumberFormat="1" borderId="3" applyBorder="1" fontId="4" applyFont="1" fillId="0" applyAlignment="1">
      <alignment horizontal="right" wrapText="1"/>
    </xf>
    <xf xfId="0" numFmtId="3" applyNumberFormat="1" borderId="3" applyBorder="1" fontId="6" applyFont="1" fillId="0" applyAlignment="1">
      <alignment horizontal="center" wrapText="1"/>
    </xf>
    <xf xfId="0" numFmtId="3" applyNumberFormat="1" borderId="3" applyBorder="1" fontId="6" applyFont="1" fillId="0" applyAlignment="1">
      <alignment horizontal="right" wrapText="1"/>
    </xf>
    <xf xfId="0" numFmtId="3" applyNumberFormat="1" borderId="5" applyBorder="1" fontId="3" applyFont="1" fillId="0" applyAlignment="1">
      <alignment horizontal="center" wrapText="1"/>
    </xf>
    <xf xfId="0" numFmtId="49" applyNumberFormat="1" borderId="7" applyBorder="1" fontId="3" applyFont="1" fillId="0" applyAlignment="1">
      <alignment horizontal="center" wrapText="1"/>
    </xf>
    <xf xfId="0" numFmtId="0" borderId="4" applyBorder="1" fontId="3" applyFont="1" fillId="0" applyAlignment="1">
      <alignment horizontal="center" wrapText="1"/>
    </xf>
    <xf xfId="0" numFmtId="3" applyNumberFormat="1" borderId="3" applyBorder="1" fontId="3" applyFont="1" fillId="0" applyAlignment="1">
      <alignment horizontal="right"/>
    </xf>
    <xf xfId="0" numFmtId="3" applyNumberFormat="1" borderId="3" applyBorder="1" fontId="5" applyFont="1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3" applyNumberFormat="1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3" applyNumberFormat="1" borderId="1" applyBorder="1" fontId="6" applyFont="1" fillId="0" applyAlignment="1">
      <alignment horizontal="left"/>
    </xf>
    <xf xfId="0" numFmtId="3" applyNumberFormat="1" borderId="1" applyBorder="1" fontId="6" applyFont="1" fillId="0" applyAlignment="1">
      <alignment horizontal="right"/>
    </xf>
    <xf xfId="0" numFmtId="3" applyNumberFormat="1" borderId="2" applyBorder="1" fontId="1" applyFont="1" fillId="0" applyAlignment="1">
      <alignment horizontal="center"/>
    </xf>
    <xf xfId="0" numFmtId="3" applyNumberFormat="1" borderId="6" applyBorder="1" fontId="1" applyFont="1" fillId="0" applyAlignment="1">
      <alignment horizontal="center" vertical="top"/>
    </xf>
    <xf xfId="0" numFmtId="49" applyNumberFormat="1" borderId="6" applyBorder="1" fontId="1" applyFont="1" fillId="0" applyAlignment="1">
      <alignment horizontal="center" vertical="top" wrapText="1"/>
    </xf>
    <xf xfId="0" numFmtId="0" borderId="6" applyBorder="1" fontId="1" applyFont="1" fillId="0" applyAlignment="1">
      <alignment horizontal="center" vertical="top" wrapText="1"/>
    </xf>
    <xf xfId="0" numFmtId="3" applyNumberFormat="1" borderId="8" applyBorder="1" fontId="1" applyFont="1" fillId="0" applyAlignment="1">
      <alignment horizontal="center"/>
    </xf>
    <xf xfId="0" numFmtId="3" applyNumberFormat="1" borderId="8" applyBorder="1" fontId="1" applyFont="1" fillId="0" applyAlignment="1">
      <alignment horizontal="center" wrapText="1"/>
    </xf>
    <xf xfId="0" numFmtId="0" borderId="8" applyBorder="1" fontId="1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23"/>
  <sheetViews>
    <sheetView workbookViewId="0"/>
  </sheetViews>
  <sheetFormatPr defaultRowHeight="15" x14ac:dyDescent="0.25"/>
  <cols>
    <col min="1" max="1" style="31" width="6.2907142857142855" customWidth="1" bestFit="1"/>
    <col min="2" max="2" style="32" width="7.862142857142857" customWidth="1" bestFit="1"/>
    <col min="3" max="3" style="33" width="40.86214285714286" customWidth="1" bestFit="1"/>
    <col min="4" max="4" style="31" width="8.43357142857143" customWidth="1" bestFit="1"/>
    <col min="5" max="5" style="31" width="14.862142857142858" customWidth="1" bestFit="1"/>
    <col min="6" max="6" style="31" width="8.43357142857143" customWidth="1" bestFit="1"/>
    <col min="7" max="7" style="31" width="14.862142857142858" customWidth="1" bestFit="1"/>
    <col min="8" max="8" style="31" width="8.43357142857143" customWidth="1" bestFit="1"/>
    <col min="9" max="9" style="31" width="14.862142857142858" customWidth="1" bestFit="1"/>
    <col min="10" max="10" style="31" width="8.43357142857143" customWidth="1" bestFit="1"/>
    <col min="11" max="11" style="31" width="14.862142857142858" customWidth="1" bestFit="1"/>
  </cols>
  <sheetData>
    <row x14ac:dyDescent="0.25" r="1" customHeight="1" ht="18.75">
      <c r="A1" s="1"/>
      <c r="B1" s="2"/>
      <c r="C1" s="3"/>
      <c r="D1" s="1"/>
      <c r="E1" s="1"/>
      <c r="F1" s="1"/>
      <c r="G1" s="1"/>
      <c r="H1" s="1"/>
      <c r="I1" s="1"/>
      <c r="J1" s="1"/>
      <c r="K1" s="1"/>
    </row>
    <row x14ac:dyDescent="0.25" r="2" customHeight="1" ht="25.5">
      <c r="A2" s="4" t="s">
        <v>133</v>
      </c>
      <c r="B2" s="5"/>
      <c r="C2" s="6"/>
      <c r="D2" s="4"/>
      <c r="E2" s="4"/>
      <c r="F2" s="4"/>
      <c r="G2" s="4"/>
      <c r="H2" s="4"/>
      <c r="I2" s="4"/>
      <c r="J2" s="4"/>
      <c r="K2" s="4"/>
    </row>
    <row x14ac:dyDescent="0.25" r="3" customHeight="1" ht="25.5">
      <c r="A3" s="4"/>
      <c r="B3" s="5"/>
      <c r="C3" s="6"/>
      <c r="D3" s="71"/>
      <c r="E3" s="71"/>
      <c r="F3" s="71"/>
      <c r="G3" s="71"/>
      <c r="H3" s="71"/>
      <c r="I3" s="7" t="s">
        <v>1</v>
      </c>
      <c r="J3" s="7"/>
      <c r="K3" s="7"/>
    </row>
    <row x14ac:dyDescent="0.25" r="4" customHeight="1" ht="25.5">
      <c r="A4" s="72" t="s">
        <v>2</v>
      </c>
      <c r="B4" s="73" t="s">
        <v>3</v>
      </c>
      <c r="C4" s="74" t="s">
        <v>4</v>
      </c>
      <c r="D4" s="12" t="s">
        <v>134</v>
      </c>
      <c r="E4" s="12"/>
      <c r="F4" s="12" t="s">
        <v>135</v>
      </c>
      <c r="G4" s="12"/>
      <c r="H4" s="13" t="s">
        <v>136</v>
      </c>
      <c r="I4" s="11"/>
      <c r="J4" s="12" t="s">
        <v>137</v>
      </c>
      <c r="K4" s="12"/>
    </row>
    <row x14ac:dyDescent="0.25" r="5" customHeight="1" ht="25.5">
      <c r="A5" s="75"/>
      <c r="B5" s="76"/>
      <c r="C5" s="77"/>
      <c r="D5" s="12" t="s">
        <v>9</v>
      </c>
      <c r="E5" s="14" t="s">
        <v>10</v>
      </c>
      <c r="F5" s="12" t="s">
        <v>9</v>
      </c>
      <c r="G5" s="14" t="s">
        <v>10</v>
      </c>
      <c r="H5" s="12" t="s">
        <v>9</v>
      </c>
      <c r="I5" s="14" t="s">
        <v>10</v>
      </c>
      <c r="J5" s="12" t="s">
        <v>9</v>
      </c>
      <c r="K5" s="14" t="s">
        <v>10</v>
      </c>
    </row>
    <row x14ac:dyDescent="0.25" r="6" customHeight="1" ht="25.5">
      <c r="A6" s="16">
        <v>1</v>
      </c>
      <c r="B6" s="17" t="s">
        <v>11</v>
      </c>
      <c r="C6" s="18" t="s">
        <v>12</v>
      </c>
      <c r="D6" s="16">
        <v>220</v>
      </c>
      <c r="E6" s="19">
        <v>7958000</v>
      </c>
      <c r="F6" s="16">
        <v>843</v>
      </c>
      <c r="G6" s="20">
        <v>30534750</v>
      </c>
      <c r="H6" s="16">
        <v>270</v>
      </c>
      <c r="I6" s="19">
        <v>9835100</v>
      </c>
      <c r="J6" s="16">
        <v>270</v>
      </c>
      <c r="K6" s="19">
        <v>9746500</v>
      </c>
    </row>
    <row x14ac:dyDescent="0.25" r="7" customHeight="1" ht="25.5">
      <c r="A7" s="16">
        <v>2</v>
      </c>
      <c r="B7" s="17" t="s">
        <v>13</v>
      </c>
      <c r="C7" s="18" t="s">
        <v>14</v>
      </c>
      <c r="D7" s="16">
        <v>2885</v>
      </c>
      <c r="E7" s="19">
        <v>110094980</v>
      </c>
      <c r="F7" s="16">
        <v>6295</v>
      </c>
      <c r="G7" s="20">
        <v>236893240</v>
      </c>
      <c r="H7" s="16">
        <v>3158</v>
      </c>
      <c r="I7" s="19">
        <v>119848180</v>
      </c>
      <c r="J7" s="16">
        <v>2750</v>
      </c>
      <c r="K7" s="19">
        <v>104291900</v>
      </c>
    </row>
    <row x14ac:dyDescent="0.25" r="8" customHeight="1" ht="25.5">
      <c r="A8" s="16">
        <v>3</v>
      </c>
      <c r="B8" s="17" t="s">
        <v>15</v>
      </c>
      <c r="C8" s="18" t="s">
        <v>16</v>
      </c>
      <c r="D8" s="16">
        <v>1745</v>
      </c>
      <c r="E8" s="19">
        <v>75502250</v>
      </c>
      <c r="F8" s="16">
        <v>4218</v>
      </c>
      <c r="G8" s="20">
        <v>184280000</v>
      </c>
      <c r="H8" s="16">
        <v>1003</v>
      </c>
      <c r="I8" s="19">
        <v>43962450</v>
      </c>
      <c r="J8" s="16">
        <v>2035</v>
      </c>
      <c r="K8" s="19">
        <v>89347950</v>
      </c>
    </row>
    <row x14ac:dyDescent="0.25" r="9" customHeight="1" ht="25.5">
      <c r="A9" s="16">
        <v>4</v>
      </c>
      <c r="B9" s="17" t="s">
        <v>17</v>
      </c>
      <c r="C9" s="18" t="s">
        <v>18</v>
      </c>
      <c r="D9" s="16">
        <v>75</v>
      </c>
      <c r="E9" s="19">
        <v>4680000</v>
      </c>
      <c r="F9" s="16">
        <v>262</v>
      </c>
      <c r="G9" s="20">
        <v>14393600</v>
      </c>
      <c r="H9" s="16">
        <v>80</v>
      </c>
      <c r="I9" s="19">
        <v>4946240</v>
      </c>
      <c r="J9" s="16">
        <v>60</v>
      </c>
      <c r="K9" s="19">
        <v>3744000</v>
      </c>
    </row>
    <row x14ac:dyDescent="0.25" r="10" customHeight="1" ht="25.5">
      <c r="A10" s="16">
        <v>5</v>
      </c>
      <c r="B10" s="17" t="s">
        <v>19</v>
      </c>
      <c r="C10" s="18" t="s">
        <v>20</v>
      </c>
      <c r="D10" s="16">
        <v>20</v>
      </c>
      <c r="E10" s="19">
        <v>958000</v>
      </c>
      <c r="F10" s="16">
        <v>52</v>
      </c>
      <c r="G10" s="20">
        <v>2482000</v>
      </c>
      <c r="H10" s="16">
        <v>41</v>
      </c>
      <c r="I10" s="19">
        <v>1958630</v>
      </c>
      <c r="J10" s="16">
        <v>20</v>
      </c>
      <c r="K10" s="19">
        <v>958000</v>
      </c>
    </row>
    <row x14ac:dyDescent="0.25" r="11" customHeight="1" ht="25.5">
      <c r="A11" s="16">
        <v>6</v>
      </c>
      <c r="B11" s="17" t="s">
        <v>21</v>
      </c>
      <c r="C11" s="18" t="s">
        <v>22</v>
      </c>
      <c r="D11" s="16">
        <v>610</v>
      </c>
      <c r="E11" s="19">
        <v>28327200</v>
      </c>
      <c r="F11" s="16">
        <v>968</v>
      </c>
      <c r="G11" s="20">
        <v>45192400</v>
      </c>
      <c r="H11" s="16">
        <v>713</v>
      </c>
      <c r="I11" s="19">
        <v>33094160</v>
      </c>
      <c r="J11" s="16">
        <v>540</v>
      </c>
      <c r="K11" s="19">
        <v>24675200</v>
      </c>
    </row>
    <row x14ac:dyDescent="0.25" r="12" customHeight="1" ht="25.5">
      <c r="A12" s="16">
        <v>7</v>
      </c>
      <c r="B12" s="17" t="s">
        <v>23</v>
      </c>
      <c r="C12" s="18" t="s">
        <v>24</v>
      </c>
      <c r="D12" s="16">
        <v>20</v>
      </c>
      <c r="E12" s="19">
        <v>960400</v>
      </c>
      <c r="F12" s="16">
        <v>152</v>
      </c>
      <c r="G12" s="20">
        <v>7301000</v>
      </c>
      <c r="H12" s="16">
        <v>50</v>
      </c>
      <c r="I12" s="19">
        <v>2401000</v>
      </c>
      <c r="J12" s="16">
        <v>100</v>
      </c>
      <c r="K12" s="19">
        <v>4802000</v>
      </c>
    </row>
    <row x14ac:dyDescent="0.25" r="13" customHeight="1" ht="25.5">
      <c r="A13" s="16">
        <v>8</v>
      </c>
      <c r="B13" s="17" t="s">
        <v>25</v>
      </c>
      <c r="C13" s="18" t="s">
        <v>26</v>
      </c>
      <c r="D13" s="16">
        <v>150</v>
      </c>
      <c r="E13" s="19">
        <v>8505000</v>
      </c>
      <c r="F13" s="16">
        <v>130</v>
      </c>
      <c r="G13" s="20">
        <v>7371000</v>
      </c>
      <c r="H13" s="16">
        <v>100</v>
      </c>
      <c r="I13" s="19">
        <v>5670000</v>
      </c>
      <c r="J13" s="16">
        <v>165</v>
      </c>
      <c r="K13" s="19">
        <v>9355500</v>
      </c>
    </row>
    <row x14ac:dyDescent="0.25" r="14" customHeight="1" ht="25.5">
      <c r="A14" s="16">
        <v>9</v>
      </c>
      <c r="B14" s="17" t="s">
        <v>27</v>
      </c>
      <c r="C14" s="18" t="s">
        <v>28</v>
      </c>
      <c r="D14" s="16">
        <v>140</v>
      </c>
      <c r="E14" s="19">
        <v>8400000</v>
      </c>
      <c r="F14" s="16">
        <v>500</v>
      </c>
      <c r="G14" s="20">
        <v>28187750</v>
      </c>
      <c r="H14" s="16">
        <v>156</v>
      </c>
      <c r="I14" s="19">
        <v>9188660</v>
      </c>
      <c r="J14" s="16">
        <v>155</v>
      </c>
      <c r="K14" s="19">
        <v>8641000</v>
      </c>
    </row>
    <row x14ac:dyDescent="0.25" r="15" customHeight="1" ht="25.5">
      <c r="A15" s="16">
        <v>10</v>
      </c>
      <c r="B15" s="17" t="s">
        <v>29</v>
      </c>
      <c r="C15" s="18" t="s">
        <v>30</v>
      </c>
      <c r="D15" s="16">
        <v>265</v>
      </c>
      <c r="E15" s="19">
        <v>14799750</v>
      </c>
      <c r="F15" s="16">
        <v>437</v>
      </c>
      <c r="G15" s="20">
        <v>24435570</v>
      </c>
      <c r="H15" s="16">
        <v>146</v>
      </c>
      <c r="I15" s="19">
        <v>8172380</v>
      </c>
      <c r="J15" s="16">
        <v>180</v>
      </c>
      <c r="K15" s="19">
        <v>9760900</v>
      </c>
    </row>
    <row x14ac:dyDescent="0.25" r="16" customHeight="1" ht="25.5">
      <c r="A16" s="16">
        <v>11</v>
      </c>
      <c r="B16" s="17" t="s">
        <v>31</v>
      </c>
      <c r="C16" s="18" t="s">
        <v>32</v>
      </c>
      <c r="D16" s="16">
        <v>1585</v>
      </c>
      <c r="E16" s="19">
        <v>87578280</v>
      </c>
      <c r="F16" s="16">
        <v>3385</v>
      </c>
      <c r="G16" s="20">
        <v>187446960</v>
      </c>
      <c r="H16" s="16">
        <v>975</v>
      </c>
      <c r="I16" s="19">
        <v>53238600</v>
      </c>
      <c r="J16" s="16">
        <v>600</v>
      </c>
      <c r="K16" s="19">
        <v>33102000</v>
      </c>
    </row>
    <row x14ac:dyDescent="0.25" r="17" customHeight="1" ht="25.5">
      <c r="A17" s="16">
        <v>12</v>
      </c>
      <c r="B17" s="17" t="s">
        <v>33</v>
      </c>
      <c r="C17" s="18" t="s">
        <v>34</v>
      </c>
      <c r="D17" s="16">
        <v>220</v>
      </c>
      <c r="E17" s="19">
        <v>15761000</v>
      </c>
      <c r="F17" s="16">
        <v>373</v>
      </c>
      <c r="G17" s="20">
        <v>26519820</v>
      </c>
      <c r="H17" s="16">
        <v>78</v>
      </c>
      <c r="I17" s="19">
        <v>5848120</v>
      </c>
      <c r="J17" s="16">
        <v>65</v>
      </c>
      <c r="K17" s="19">
        <v>4652900</v>
      </c>
    </row>
    <row x14ac:dyDescent="0.25" r="18" customHeight="1" ht="25.5">
      <c r="A18" s="16">
        <v>13</v>
      </c>
      <c r="B18" s="17" t="s">
        <v>35</v>
      </c>
      <c r="C18" s="18" t="s">
        <v>36</v>
      </c>
      <c r="D18" s="16">
        <v>1435</v>
      </c>
      <c r="E18" s="19">
        <v>87759500</v>
      </c>
      <c r="F18" s="16">
        <v>2531</v>
      </c>
      <c r="G18" s="20">
        <v>154332260</v>
      </c>
      <c r="H18" s="16">
        <v>1476</v>
      </c>
      <c r="I18" s="19">
        <v>90138060</v>
      </c>
      <c r="J18" s="16">
        <v>1375</v>
      </c>
      <c r="K18" s="19">
        <v>83864650</v>
      </c>
    </row>
    <row x14ac:dyDescent="0.25" r="19" customHeight="1" ht="25.5">
      <c r="A19" s="16">
        <v>14</v>
      </c>
      <c r="B19" s="17" t="s">
        <v>37</v>
      </c>
      <c r="C19" s="18" t="s">
        <v>38</v>
      </c>
      <c r="D19" s="16">
        <v>1865</v>
      </c>
      <c r="E19" s="19">
        <v>119917650</v>
      </c>
      <c r="F19" s="16">
        <v>3150</v>
      </c>
      <c r="G19" s="20">
        <v>203730100</v>
      </c>
      <c r="H19" s="16">
        <v>2074</v>
      </c>
      <c r="I19" s="19">
        <v>133159200</v>
      </c>
      <c r="J19" s="16">
        <v>1850</v>
      </c>
      <c r="K19" s="19">
        <v>120425900</v>
      </c>
    </row>
    <row x14ac:dyDescent="0.25" r="20" customHeight="1" ht="25.5">
      <c r="A20" s="16">
        <v>15</v>
      </c>
      <c r="B20" s="17" t="s">
        <v>39</v>
      </c>
      <c r="C20" s="18" t="s">
        <v>40</v>
      </c>
      <c r="D20" s="16">
        <v>20</v>
      </c>
      <c r="E20" s="19">
        <v>1283800</v>
      </c>
      <c r="F20" s="16">
        <v>112</v>
      </c>
      <c r="G20" s="20">
        <v>7198450</v>
      </c>
      <c r="H20" s="16">
        <v>6</v>
      </c>
      <c r="I20" s="19">
        <v>385140</v>
      </c>
      <c r="J20" s="16"/>
      <c r="K20" s="19"/>
    </row>
    <row x14ac:dyDescent="0.25" r="21" customHeight="1" ht="25.5">
      <c r="A21" s="16">
        <v>16</v>
      </c>
      <c r="B21" s="17" t="s">
        <v>41</v>
      </c>
      <c r="C21" s="18" t="s">
        <v>42</v>
      </c>
      <c r="D21" s="16">
        <v>20</v>
      </c>
      <c r="E21" s="19">
        <v>1303400</v>
      </c>
      <c r="F21" s="16">
        <v>170</v>
      </c>
      <c r="G21" s="20">
        <v>11078900</v>
      </c>
      <c r="H21" s="16">
        <v>4</v>
      </c>
      <c r="I21" s="19">
        <v>260680</v>
      </c>
      <c r="J21" s="16"/>
      <c r="K21" s="19"/>
    </row>
    <row x14ac:dyDescent="0.25" r="22" customHeight="1" ht="25.5">
      <c r="A22" s="16">
        <v>17</v>
      </c>
      <c r="B22" s="17" t="s">
        <v>43</v>
      </c>
      <c r="C22" s="18" t="s">
        <v>44</v>
      </c>
      <c r="D22" s="16">
        <v>310</v>
      </c>
      <c r="E22" s="19">
        <v>30334600</v>
      </c>
      <c r="F22" s="16">
        <v>712</v>
      </c>
      <c r="G22" s="20">
        <v>68959200</v>
      </c>
      <c r="H22" s="16">
        <v>240</v>
      </c>
      <c r="I22" s="19">
        <v>23405050</v>
      </c>
      <c r="J22" s="16">
        <v>425</v>
      </c>
      <c r="K22" s="19">
        <v>42016000</v>
      </c>
    </row>
    <row x14ac:dyDescent="0.25" r="23" customHeight="1" ht="25.5">
      <c r="A23" s="16">
        <v>18</v>
      </c>
      <c r="B23" s="17" t="s">
        <v>45</v>
      </c>
      <c r="C23" s="18" t="s">
        <v>46</v>
      </c>
      <c r="D23" s="16">
        <v>135</v>
      </c>
      <c r="E23" s="19">
        <v>13810500</v>
      </c>
      <c r="F23" s="16">
        <v>280</v>
      </c>
      <c r="G23" s="20">
        <v>28599360</v>
      </c>
      <c r="H23" s="16">
        <v>116</v>
      </c>
      <c r="I23" s="19">
        <v>11799840</v>
      </c>
      <c r="J23" s="16">
        <v>235</v>
      </c>
      <c r="K23" s="19">
        <v>24040500</v>
      </c>
    </row>
    <row x14ac:dyDescent="0.25" r="24" customHeight="1" ht="25.5">
      <c r="A24" s="16">
        <v>19</v>
      </c>
      <c r="B24" s="17" t="s">
        <v>47</v>
      </c>
      <c r="C24" s="18" t="s">
        <v>48</v>
      </c>
      <c r="D24" s="16">
        <v>130</v>
      </c>
      <c r="E24" s="19">
        <v>14622400</v>
      </c>
      <c r="F24" s="16">
        <v>395</v>
      </c>
      <c r="G24" s="20">
        <v>43261920</v>
      </c>
      <c r="H24" s="16">
        <v>186</v>
      </c>
      <c r="I24" s="19">
        <v>20704320</v>
      </c>
      <c r="J24" s="16">
        <v>100</v>
      </c>
      <c r="K24" s="19">
        <v>11440000</v>
      </c>
    </row>
    <row x14ac:dyDescent="0.25" r="25" customHeight="1" ht="25.5">
      <c r="A25" s="16">
        <v>20</v>
      </c>
      <c r="B25" s="17" t="s">
        <v>49</v>
      </c>
      <c r="C25" s="18" t="s">
        <v>50</v>
      </c>
      <c r="D25" s="16">
        <v>502</v>
      </c>
      <c r="E25" s="19">
        <v>40276080</v>
      </c>
      <c r="F25" s="16">
        <v>1172</v>
      </c>
      <c r="G25" s="20">
        <v>93810600</v>
      </c>
      <c r="H25" s="16">
        <v>561</v>
      </c>
      <c r="I25" s="19">
        <v>44825040</v>
      </c>
      <c r="J25" s="16">
        <v>545</v>
      </c>
      <c r="K25" s="19">
        <v>43836000</v>
      </c>
    </row>
    <row x14ac:dyDescent="0.25" r="26" customHeight="1" ht="25.5">
      <c r="A26" s="16">
        <v>21</v>
      </c>
      <c r="B26" s="17" t="s">
        <v>51</v>
      </c>
      <c r="C26" s="18" t="s">
        <v>52</v>
      </c>
      <c r="D26" s="16">
        <v>1676</v>
      </c>
      <c r="E26" s="19">
        <v>135001520</v>
      </c>
      <c r="F26" s="16">
        <v>3111</v>
      </c>
      <c r="G26" s="20">
        <v>252006840</v>
      </c>
      <c r="H26" s="16">
        <v>1210</v>
      </c>
      <c r="I26" s="19">
        <v>96395800</v>
      </c>
      <c r="J26" s="16">
        <v>1029</v>
      </c>
      <c r="K26" s="19">
        <v>83480880</v>
      </c>
    </row>
    <row x14ac:dyDescent="0.25" r="27" customHeight="1" ht="25.5">
      <c r="A27" s="16">
        <v>22</v>
      </c>
      <c r="B27" s="17" t="s">
        <v>53</v>
      </c>
      <c r="C27" s="18" t="s">
        <v>54</v>
      </c>
      <c r="D27" s="16">
        <v>427</v>
      </c>
      <c r="E27" s="19">
        <v>37918750</v>
      </c>
      <c r="F27" s="16">
        <v>1253</v>
      </c>
      <c r="G27" s="20">
        <v>110820250</v>
      </c>
      <c r="H27" s="16">
        <v>478</v>
      </c>
      <c r="I27" s="19">
        <v>42819500</v>
      </c>
      <c r="J27" s="16">
        <v>235</v>
      </c>
      <c r="K27" s="19">
        <v>21575500</v>
      </c>
    </row>
    <row x14ac:dyDescent="0.25" r="28" customHeight="1" ht="25.5">
      <c r="A28" s="16">
        <v>23</v>
      </c>
      <c r="B28" s="17" t="s">
        <v>55</v>
      </c>
      <c r="C28" s="18" t="s">
        <v>56</v>
      </c>
      <c r="D28" s="16"/>
      <c r="E28" s="19"/>
      <c r="F28" s="16"/>
      <c r="G28" s="20"/>
      <c r="H28" s="16"/>
      <c r="I28" s="19"/>
      <c r="J28" s="16"/>
      <c r="K28" s="19"/>
    </row>
    <row x14ac:dyDescent="0.25" r="29" customHeight="1" ht="25.5">
      <c r="A29" s="16">
        <v>24</v>
      </c>
      <c r="B29" s="17" t="s">
        <v>57</v>
      </c>
      <c r="C29" s="18" t="s">
        <v>58</v>
      </c>
      <c r="D29" s="16"/>
      <c r="E29" s="19"/>
      <c r="F29" s="16">
        <v>297</v>
      </c>
      <c r="G29" s="20">
        <v>28819840</v>
      </c>
      <c r="H29" s="16"/>
      <c r="I29" s="19"/>
      <c r="J29" s="16"/>
      <c r="K29" s="19"/>
    </row>
    <row x14ac:dyDescent="0.25" r="30" customHeight="1" ht="25.5">
      <c r="A30" s="16">
        <v>25</v>
      </c>
      <c r="B30" s="17" t="s">
        <v>59</v>
      </c>
      <c r="C30" s="18" t="s">
        <v>60</v>
      </c>
      <c r="D30" s="16">
        <v>668</v>
      </c>
      <c r="E30" s="19">
        <v>65472240</v>
      </c>
      <c r="F30" s="16">
        <v>1103</v>
      </c>
      <c r="G30" s="20">
        <v>108030230</v>
      </c>
      <c r="H30" s="16">
        <v>449</v>
      </c>
      <c r="I30" s="19">
        <v>43320320</v>
      </c>
      <c r="J30" s="16">
        <v>520</v>
      </c>
      <c r="K30" s="19">
        <v>50849700</v>
      </c>
    </row>
    <row x14ac:dyDescent="0.25" r="31" customHeight="1" ht="25.5">
      <c r="A31" s="16">
        <v>26</v>
      </c>
      <c r="B31" s="17" t="s">
        <v>61</v>
      </c>
      <c r="C31" s="18" t="s">
        <v>62</v>
      </c>
      <c r="D31" s="16">
        <v>2577</v>
      </c>
      <c r="E31" s="19">
        <v>256473820</v>
      </c>
      <c r="F31" s="16">
        <v>4525</v>
      </c>
      <c r="G31" s="20">
        <v>451389500</v>
      </c>
      <c r="H31" s="16">
        <v>2264</v>
      </c>
      <c r="I31" s="19">
        <v>225270860</v>
      </c>
      <c r="J31" s="16">
        <v>2148</v>
      </c>
      <c r="K31" s="19">
        <v>213504760</v>
      </c>
    </row>
    <row x14ac:dyDescent="0.25" r="32" customHeight="1" ht="25.5">
      <c r="A32" s="16">
        <v>27</v>
      </c>
      <c r="B32" s="17" t="s">
        <v>63</v>
      </c>
      <c r="C32" s="18" t="s">
        <v>64</v>
      </c>
      <c r="D32" s="16">
        <v>464</v>
      </c>
      <c r="E32" s="19">
        <v>54880640</v>
      </c>
      <c r="F32" s="16">
        <v>897</v>
      </c>
      <c r="G32" s="20">
        <v>105089610</v>
      </c>
      <c r="H32" s="16">
        <v>406</v>
      </c>
      <c r="I32" s="19">
        <v>47729110</v>
      </c>
      <c r="J32" s="16">
        <v>399</v>
      </c>
      <c r="K32" s="19">
        <v>46860900</v>
      </c>
    </row>
    <row x14ac:dyDescent="0.25" r="33" customHeight="1" ht="25.5">
      <c r="A33" s="16">
        <v>28</v>
      </c>
      <c r="B33" s="17" t="s">
        <v>65</v>
      </c>
      <c r="C33" s="18" t="s">
        <v>66</v>
      </c>
      <c r="D33" s="16">
        <v>1458</v>
      </c>
      <c r="E33" s="19">
        <v>182077680</v>
      </c>
      <c r="F33" s="16">
        <v>2792</v>
      </c>
      <c r="G33" s="20">
        <v>350986680</v>
      </c>
      <c r="H33" s="16">
        <v>1183</v>
      </c>
      <c r="I33" s="19">
        <v>148003080</v>
      </c>
      <c r="J33" s="16">
        <v>1390</v>
      </c>
      <c r="K33" s="19">
        <v>174923600</v>
      </c>
    </row>
    <row x14ac:dyDescent="0.25" r="34" customHeight="1" ht="25.5">
      <c r="A34" s="16">
        <v>29</v>
      </c>
      <c r="B34" s="17" t="s">
        <v>67</v>
      </c>
      <c r="C34" s="18" t="s">
        <v>68</v>
      </c>
      <c r="D34" s="16">
        <v>282</v>
      </c>
      <c r="E34" s="19">
        <v>37817000</v>
      </c>
      <c r="F34" s="16">
        <v>679</v>
      </c>
      <c r="G34" s="20">
        <v>91267800</v>
      </c>
      <c r="H34" s="16">
        <v>356</v>
      </c>
      <c r="I34" s="19">
        <v>47980400</v>
      </c>
      <c r="J34" s="16">
        <v>467</v>
      </c>
      <c r="K34" s="19">
        <v>63915800</v>
      </c>
    </row>
    <row x14ac:dyDescent="0.25" r="35" customHeight="1" ht="25.5">
      <c r="A35" s="16">
        <v>30</v>
      </c>
      <c r="B35" s="17" t="s">
        <v>69</v>
      </c>
      <c r="C35" s="18" t="s">
        <v>70</v>
      </c>
      <c r="D35" s="16">
        <v>428</v>
      </c>
      <c r="E35" s="19">
        <v>63738780</v>
      </c>
      <c r="F35" s="16">
        <v>707</v>
      </c>
      <c r="G35" s="20">
        <v>107787010</v>
      </c>
      <c r="H35" s="16">
        <v>373</v>
      </c>
      <c r="I35" s="19">
        <v>55646030</v>
      </c>
      <c r="J35" s="16">
        <v>380</v>
      </c>
      <c r="K35" s="19">
        <v>58523940</v>
      </c>
    </row>
    <row x14ac:dyDescent="0.25" r="36" customHeight="1" ht="25.5">
      <c r="A36" s="16">
        <v>31</v>
      </c>
      <c r="B36" s="17" t="s">
        <v>71</v>
      </c>
      <c r="C36" s="18" t="s">
        <v>72</v>
      </c>
      <c r="D36" s="16">
        <v>453</v>
      </c>
      <c r="E36" s="19">
        <v>66684830</v>
      </c>
      <c r="F36" s="16">
        <v>1225</v>
      </c>
      <c r="G36" s="20">
        <v>181227390</v>
      </c>
      <c r="H36" s="16">
        <v>545</v>
      </c>
      <c r="I36" s="19">
        <v>81306700</v>
      </c>
      <c r="J36" s="16">
        <v>376</v>
      </c>
      <c r="K36" s="19">
        <v>54227320</v>
      </c>
    </row>
    <row x14ac:dyDescent="0.25" r="37" customHeight="1" ht="25.5">
      <c r="A37" s="16">
        <v>32</v>
      </c>
      <c r="B37" s="17" t="s">
        <v>73</v>
      </c>
      <c r="C37" s="18" t="s">
        <v>74</v>
      </c>
      <c r="D37" s="16">
        <v>2042</v>
      </c>
      <c r="E37" s="19">
        <v>321829380</v>
      </c>
      <c r="F37" s="16">
        <v>4220</v>
      </c>
      <c r="G37" s="20">
        <v>662597100</v>
      </c>
      <c r="H37" s="16">
        <v>2569</v>
      </c>
      <c r="I37" s="19">
        <v>400847760</v>
      </c>
      <c r="J37" s="16">
        <v>2149</v>
      </c>
      <c r="K37" s="19">
        <v>342707760</v>
      </c>
    </row>
    <row x14ac:dyDescent="0.25" r="38" customHeight="1" ht="25.5">
      <c r="A38" s="21">
        <v>33</v>
      </c>
      <c r="B38" s="22" t="s">
        <v>75</v>
      </c>
      <c r="C38" s="23" t="s">
        <v>76</v>
      </c>
      <c r="D38" s="16">
        <v>175</v>
      </c>
      <c r="E38" s="19">
        <v>29744000</v>
      </c>
      <c r="F38" s="16">
        <v>712</v>
      </c>
      <c r="G38" s="20">
        <v>117500800</v>
      </c>
      <c r="H38" s="16">
        <f>108+154</f>
      </c>
      <c r="I38" s="19">
        <f>16934400+27104000</f>
      </c>
      <c r="J38" s="16">
        <v>345</v>
      </c>
      <c r="K38" s="19">
        <v>57148800</v>
      </c>
    </row>
    <row x14ac:dyDescent="0.25" r="39" customHeight="1" ht="25.5">
      <c r="A39" s="16">
        <v>34</v>
      </c>
      <c r="B39" s="17" t="s">
        <v>77</v>
      </c>
      <c r="C39" s="18" t="s">
        <v>78</v>
      </c>
      <c r="D39" s="16">
        <v>65</v>
      </c>
      <c r="E39" s="19">
        <v>5973500</v>
      </c>
      <c r="F39" s="16">
        <v>247</v>
      </c>
      <c r="G39" s="20">
        <v>21360600</v>
      </c>
      <c r="H39" s="16">
        <v>44</v>
      </c>
      <c r="I39" s="19">
        <v>3882040</v>
      </c>
      <c r="J39" s="16"/>
      <c r="K39" s="19"/>
    </row>
    <row x14ac:dyDescent="0.25" r="40" customHeight="1" ht="25.5">
      <c r="A40" s="16">
        <v>35</v>
      </c>
      <c r="B40" s="17" t="s">
        <v>79</v>
      </c>
      <c r="C40" s="18" t="s">
        <v>80</v>
      </c>
      <c r="D40" s="16">
        <v>35</v>
      </c>
      <c r="E40" s="19">
        <v>6692000</v>
      </c>
      <c r="F40" s="16">
        <v>87</v>
      </c>
      <c r="G40" s="20">
        <v>16634400</v>
      </c>
      <c r="H40" s="16">
        <v>30</v>
      </c>
      <c r="I40" s="19">
        <v>5736000</v>
      </c>
      <c r="J40" s="16">
        <v>10</v>
      </c>
      <c r="K40" s="19">
        <v>1912000</v>
      </c>
    </row>
    <row x14ac:dyDescent="0.25" r="41" customHeight="1" ht="25.5">
      <c r="A41" s="16">
        <v>36</v>
      </c>
      <c r="B41" s="17" t="s">
        <v>81</v>
      </c>
      <c r="C41" s="18" t="s">
        <v>82</v>
      </c>
      <c r="D41" s="16">
        <v>619</v>
      </c>
      <c r="E41" s="19">
        <v>117565560</v>
      </c>
      <c r="F41" s="16">
        <v>1573</v>
      </c>
      <c r="G41" s="20">
        <v>293043720</v>
      </c>
      <c r="H41" s="16">
        <f>711+536</f>
      </c>
      <c r="I41" s="19">
        <f>127510740+105305700</f>
      </c>
      <c r="J41" s="16">
        <v>610</v>
      </c>
      <c r="K41" s="19">
        <v>114427500</v>
      </c>
    </row>
    <row x14ac:dyDescent="0.25" r="42" customHeight="1" ht="25.5">
      <c r="A42" s="16">
        <v>37</v>
      </c>
      <c r="B42" s="17" t="s">
        <v>83</v>
      </c>
      <c r="C42" s="18" t="s">
        <v>84</v>
      </c>
      <c r="D42" s="16">
        <v>30</v>
      </c>
      <c r="E42" s="19">
        <v>5964000</v>
      </c>
      <c r="F42" s="16">
        <v>139</v>
      </c>
      <c r="G42" s="20">
        <v>27633200</v>
      </c>
      <c r="H42" s="16">
        <v>22</v>
      </c>
      <c r="I42" s="19">
        <v>4355120</v>
      </c>
      <c r="J42" s="16">
        <v>50</v>
      </c>
      <c r="K42" s="19">
        <v>9940000</v>
      </c>
    </row>
    <row x14ac:dyDescent="0.25" r="43" customHeight="1" ht="25.5">
      <c r="A43" s="16">
        <v>38</v>
      </c>
      <c r="B43" s="17" t="s">
        <v>85</v>
      </c>
      <c r="C43" s="18" t="s">
        <v>86</v>
      </c>
      <c r="D43" s="16">
        <v>20</v>
      </c>
      <c r="E43" s="19">
        <v>3812200</v>
      </c>
      <c r="F43" s="16">
        <v>89</v>
      </c>
      <c r="G43" s="20">
        <v>17354090</v>
      </c>
      <c r="H43" s="16">
        <v>46</v>
      </c>
      <c r="I43" s="19">
        <v>8962960</v>
      </c>
      <c r="J43" s="16">
        <v>10</v>
      </c>
      <c r="K43" s="19">
        <v>1906100</v>
      </c>
    </row>
    <row x14ac:dyDescent="0.25" r="44" customHeight="1" ht="25.5">
      <c r="A44" s="16">
        <v>39</v>
      </c>
      <c r="B44" s="17" t="s">
        <v>87</v>
      </c>
      <c r="C44" s="18" t="s">
        <v>88</v>
      </c>
      <c r="D44" s="16">
        <v>27</v>
      </c>
      <c r="E44" s="19">
        <v>4921560</v>
      </c>
      <c r="F44" s="16">
        <v>166</v>
      </c>
      <c r="G44" s="20">
        <v>30258480</v>
      </c>
      <c r="H44" s="16">
        <v>15</v>
      </c>
      <c r="I44" s="19">
        <v>2734200</v>
      </c>
      <c r="J44" s="16"/>
      <c r="K44" s="19"/>
    </row>
    <row x14ac:dyDescent="0.25" r="45" customHeight="1" ht="25.5">
      <c r="A45" s="16">
        <v>40</v>
      </c>
      <c r="B45" s="17" t="s">
        <v>89</v>
      </c>
      <c r="C45" s="18" t="s">
        <v>90</v>
      </c>
      <c r="D45" s="16">
        <v>315</v>
      </c>
      <c r="E45" s="19">
        <v>63323100</v>
      </c>
      <c r="F45" s="16">
        <v>494</v>
      </c>
      <c r="G45" s="20">
        <v>99075580</v>
      </c>
      <c r="H45" s="16">
        <v>340</v>
      </c>
      <c r="I45" s="19">
        <v>68827900</v>
      </c>
      <c r="J45" s="16">
        <v>300</v>
      </c>
      <c r="K45" s="19">
        <v>60730500</v>
      </c>
    </row>
    <row x14ac:dyDescent="0.25" r="46" customHeight="1" ht="25.5">
      <c r="A46" s="16">
        <v>41</v>
      </c>
      <c r="B46" s="17" t="s">
        <v>91</v>
      </c>
      <c r="C46" s="18" t="s">
        <v>92</v>
      </c>
      <c r="D46" s="16"/>
      <c r="E46" s="19"/>
      <c r="F46" s="16">
        <v>387</v>
      </c>
      <c r="G46" s="20">
        <v>78126920</v>
      </c>
      <c r="H46" s="16">
        <v>50</v>
      </c>
      <c r="I46" s="19">
        <v>9898000</v>
      </c>
      <c r="J46" s="16"/>
      <c r="K46" s="19"/>
    </row>
    <row x14ac:dyDescent="0.25" r="47" customHeight="1" ht="25.5">
      <c r="A47" s="16">
        <v>42</v>
      </c>
      <c r="B47" s="17" t="s">
        <v>93</v>
      </c>
      <c r="C47" s="18" t="s">
        <v>94</v>
      </c>
      <c r="D47" s="16">
        <v>355</v>
      </c>
      <c r="E47" s="19">
        <v>29938100</v>
      </c>
      <c r="F47" s="16">
        <v>1130</v>
      </c>
      <c r="G47" s="20">
        <v>97035300</v>
      </c>
      <c r="H47" s="16">
        <v>475</v>
      </c>
      <c r="I47" s="19">
        <v>40545500</v>
      </c>
      <c r="J47" s="16">
        <v>565</v>
      </c>
      <c r="K47" s="19">
        <v>49368400</v>
      </c>
    </row>
    <row x14ac:dyDescent="0.25" r="48" customHeight="1" ht="25.5">
      <c r="A48" s="16">
        <v>43</v>
      </c>
      <c r="B48" s="17" t="s">
        <v>95</v>
      </c>
      <c r="C48" s="18" t="s">
        <v>96</v>
      </c>
      <c r="D48" s="16">
        <v>165</v>
      </c>
      <c r="E48" s="19">
        <v>43533500</v>
      </c>
      <c r="F48" s="16">
        <v>458</v>
      </c>
      <c r="G48" s="20">
        <v>119054200</v>
      </c>
      <c r="H48" s="16">
        <v>235</v>
      </c>
      <c r="I48" s="19">
        <v>61601500</v>
      </c>
      <c r="J48" s="16">
        <v>160</v>
      </c>
      <c r="K48" s="19">
        <v>41916000</v>
      </c>
    </row>
    <row x14ac:dyDescent="0.25" r="49" customHeight="1" ht="25.5">
      <c r="A49" s="16">
        <v>44</v>
      </c>
      <c r="B49" s="17" t="s">
        <v>97</v>
      </c>
      <c r="C49" s="18" t="s">
        <v>98</v>
      </c>
      <c r="D49" s="16">
        <v>95</v>
      </c>
      <c r="E49" s="19">
        <v>23416220</v>
      </c>
      <c r="F49" s="16">
        <v>221</v>
      </c>
      <c r="G49" s="20">
        <v>54330640</v>
      </c>
      <c r="H49" s="16">
        <v>115</v>
      </c>
      <c r="I49" s="19">
        <v>28467480</v>
      </c>
      <c r="J49" s="16">
        <v>7</v>
      </c>
      <c r="K49" s="19">
        <v>1673000</v>
      </c>
    </row>
    <row x14ac:dyDescent="0.25" r="50" customHeight="1" ht="25.5">
      <c r="A50" s="16">
        <v>45</v>
      </c>
      <c r="B50" s="17" t="s">
        <v>99</v>
      </c>
      <c r="C50" s="18" t="s">
        <v>100</v>
      </c>
      <c r="D50" s="16">
        <v>16</v>
      </c>
      <c r="E50" s="19">
        <v>2679070</v>
      </c>
      <c r="F50" s="16">
        <v>135</v>
      </c>
      <c r="G50" s="20">
        <v>22257960</v>
      </c>
      <c r="H50" s="16">
        <v>70</v>
      </c>
      <c r="I50" s="19">
        <v>12129070</v>
      </c>
      <c r="J50" s="16">
        <v>20</v>
      </c>
      <c r="K50" s="19">
        <v>3500000</v>
      </c>
    </row>
    <row x14ac:dyDescent="0.25" r="51" customHeight="1" ht="25.5">
      <c r="A51" s="16">
        <v>46</v>
      </c>
      <c r="B51" s="17" t="s">
        <v>101</v>
      </c>
      <c r="C51" s="18" t="s">
        <v>102</v>
      </c>
      <c r="D51" s="16">
        <v>450</v>
      </c>
      <c r="E51" s="19">
        <v>6258000</v>
      </c>
      <c r="F51" s="16">
        <v>3670</v>
      </c>
      <c r="G51" s="20">
        <v>51020200</v>
      </c>
      <c r="H51" s="16">
        <v>290</v>
      </c>
      <c r="I51" s="19">
        <v>4037600</v>
      </c>
      <c r="J51" s="16">
        <v>500</v>
      </c>
      <c r="K51" s="19">
        <v>6958000</v>
      </c>
    </row>
    <row x14ac:dyDescent="0.25" r="52" customHeight="1" ht="25.5">
      <c r="A52" s="16">
        <v>47</v>
      </c>
      <c r="B52" s="17" t="s">
        <v>103</v>
      </c>
      <c r="C52" s="18" t="s">
        <v>104</v>
      </c>
      <c r="D52" s="16"/>
      <c r="E52" s="19"/>
      <c r="F52" s="16">
        <v>174</v>
      </c>
      <c r="G52" s="20">
        <v>40491200</v>
      </c>
      <c r="H52" s="16">
        <v>14</v>
      </c>
      <c r="I52" s="19">
        <v>3091700</v>
      </c>
      <c r="J52" s="16">
        <v>10</v>
      </c>
      <c r="K52" s="19">
        <v>2405000</v>
      </c>
    </row>
    <row x14ac:dyDescent="0.25" r="53" customHeight="1" ht="25.5">
      <c r="A53" s="16">
        <v>48</v>
      </c>
      <c r="B53" s="17" t="s">
        <v>105</v>
      </c>
      <c r="C53" s="18" t="s">
        <v>106</v>
      </c>
      <c r="D53" s="16">
        <v>36</v>
      </c>
      <c r="E53" s="19">
        <v>8869980</v>
      </c>
      <c r="F53" s="16">
        <v>260</v>
      </c>
      <c r="G53" s="20">
        <v>63612100</v>
      </c>
      <c r="H53" s="16">
        <v>65</v>
      </c>
      <c r="I53" s="19">
        <v>16080420</v>
      </c>
      <c r="J53" s="16">
        <v>20</v>
      </c>
      <c r="K53" s="19">
        <v>5230000</v>
      </c>
    </row>
    <row x14ac:dyDescent="0.25" r="54" customHeight="1" ht="25.5">
      <c r="A54" s="16">
        <v>49</v>
      </c>
      <c r="B54" s="17" t="s">
        <v>107</v>
      </c>
      <c r="C54" s="18" t="s">
        <v>108</v>
      </c>
      <c r="D54" s="16">
        <v>57</v>
      </c>
      <c r="E54" s="19">
        <v>13081500</v>
      </c>
      <c r="F54" s="16">
        <v>1</v>
      </c>
      <c r="G54" s="20">
        <v>272900</v>
      </c>
      <c r="H54" s="16">
        <v>2</v>
      </c>
      <c r="I54" s="19">
        <v>499800</v>
      </c>
      <c r="J54" s="16"/>
      <c r="K54" s="19"/>
    </row>
    <row x14ac:dyDescent="0.25" r="55" customHeight="1" ht="25.5">
      <c r="A55" s="16">
        <v>50</v>
      </c>
      <c r="B55" s="17" t="s">
        <v>109</v>
      </c>
      <c r="C55" s="18" t="s">
        <v>110</v>
      </c>
      <c r="D55" s="16">
        <v>510</v>
      </c>
      <c r="E55" s="19">
        <v>7575000</v>
      </c>
      <c r="F55" s="16">
        <v>2300</v>
      </c>
      <c r="G55" s="20">
        <v>34245000</v>
      </c>
      <c r="H55" s="16">
        <v>410</v>
      </c>
      <c r="I55" s="19">
        <v>6108000</v>
      </c>
      <c r="J55" s="16">
        <v>300</v>
      </c>
      <c r="K55" s="19">
        <v>4500000</v>
      </c>
    </row>
    <row x14ac:dyDescent="0.25" r="56" customHeight="1" ht="25.5">
      <c r="A56" s="16">
        <v>51</v>
      </c>
      <c r="B56" s="17" t="s">
        <v>111</v>
      </c>
      <c r="C56" s="18" t="s">
        <v>112</v>
      </c>
      <c r="D56" s="16"/>
      <c r="E56" s="19"/>
      <c r="F56" s="16">
        <v>55</v>
      </c>
      <c r="G56" s="20">
        <v>7142200</v>
      </c>
      <c r="H56" s="16">
        <v>2</v>
      </c>
      <c r="I56" s="19">
        <v>241800</v>
      </c>
      <c r="J56" s="16"/>
      <c r="K56" s="19"/>
    </row>
    <row x14ac:dyDescent="0.25" r="57" customHeight="1" ht="25.5">
      <c r="A57" s="16">
        <v>52</v>
      </c>
      <c r="B57" s="17" t="s">
        <v>113</v>
      </c>
      <c r="C57" s="18" t="s">
        <v>114</v>
      </c>
      <c r="D57" s="16">
        <v>8</v>
      </c>
      <c r="E57" s="19">
        <v>1512000</v>
      </c>
      <c r="F57" s="16">
        <v>109</v>
      </c>
      <c r="G57" s="20">
        <v>20007000</v>
      </c>
      <c r="H57" s="16">
        <v>19</v>
      </c>
      <c r="I57" s="19">
        <v>3310200</v>
      </c>
      <c r="J57" s="16">
        <v>10</v>
      </c>
      <c r="K57" s="19">
        <v>1890000</v>
      </c>
    </row>
    <row x14ac:dyDescent="0.25" r="58" customHeight="1" ht="25.5">
      <c r="A58" s="16">
        <v>53</v>
      </c>
      <c r="B58" s="17" t="s">
        <v>115</v>
      </c>
      <c r="C58" s="18" t="s">
        <v>116</v>
      </c>
      <c r="D58" s="16"/>
      <c r="E58" s="19"/>
      <c r="F58" s="16">
        <v>14</v>
      </c>
      <c r="G58" s="20">
        <v>2512000</v>
      </c>
      <c r="H58" s="16"/>
      <c r="I58" s="19"/>
      <c r="J58" s="16"/>
      <c r="K58" s="19"/>
    </row>
    <row x14ac:dyDescent="0.25" r="59" customHeight="1" ht="25.5">
      <c r="A59" s="16">
        <v>54</v>
      </c>
      <c r="B59" s="17" t="s">
        <v>117</v>
      </c>
      <c r="C59" s="18" t="s">
        <v>118</v>
      </c>
      <c r="D59" s="16">
        <v>1310</v>
      </c>
      <c r="E59" s="19">
        <v>53379400</v>
      </c>
      <c r="F59" s="16">
        <v>3507</v>
      </c>
      <c r="G59" s="20">
        <v>142338610</v>
      </c>
      <c r="H59" s="16">
        <v>1804</v>
      </c>
      <c r="I59" s="19">
        <v>72523720</v>
      </c>
      <c r="J59" s="16">
        <v>1865</v>
      </c>
      <c r="K59" s="19">
        <v>75687600</v>
      </c>
    </row>
    <row x14ac:dyDescent="0.25" r="60" customHeight="1" ht="25.5">
      <c r="A60" s="16">
        <v>55</v>
      </c>
      <c r="B60" s="17" t="s">
        <v>119</v>
      </c>
      <c r="C60" s="18" t="s">
        <v>120</v>
      </c>
      <c r="D60" s="16">
        <v>6</v>
      </c>
      <c r="E60" s="19">
        <v>630000</v>
      </c>
      <c r="F60" s="16">
        <v>123</v>
      </c>
      <c r="G60" s="20">
        <v>12915000</v>
      </c>
      <c r="H60" s="16">
        <v>30</v>
      </c>
      <c r="I60" s="19">
        <v>3150000</v>
      </c>
      <c r="J60" s="16"/>
      <c r="K60" s="19"/>
    </row>
    <row x14ac:dyDescent="0.25" r="61" customHeight="1" ht="25.5">
      <c r="A61" s="16">
        <v>56</v>
      </c>
      <c r="B61" s="17" t="s">
        <v>121</v>
      </c>
      <c r="C61" s="18" t="s">
        <v>122</v>
      </c>
      <c r="D61" s="16"/>
      <c r="E61" s="19"/>
      <c r="F61" s="16">
        <v>40</v>
      </c>
      <c r="G61" s="20">
        <v>7400000</v>
      </c>
      <c r="H61" s="16">
        <v>10</v>
      </c>
      <c r="I61" s="19">
        <v>1850000</v>
      </c>
      <c r="J61" s="16"/>
      <c r="K61" s="19"/>
    </row>
    <row x14ac:dyDescent="0.25" r="62" customHeight="1" ht="25.5">
      <c r="A62" s="16">
        <v>57</v>
      </c>
      <c r="B62" s="17" t="s">
        <v>123</v>
      </c>
      <c r="C62" s="18" t="s">
        <v>124</v>
      </c>
      <c r="D62" s="16"/>
      <c r="E62" s="19"/>
      <c r="F62" s="16"/>
      <c r="G62" s="20"/>
      <c r="H62" s="16"/>
      <c r="I62" s="19"/>
      <c r="J62" s="16"/>
      <c r="K62" s="19"/>
    </row>
    <row x14ac:dyDescent="0.25" r="63" customHeight="1" ht="25.5">
      <c r="A63" s="16" t="s">
        <v>125</v>
      </c>
      <c r="B63" s="24"/>
      <c r="C63" s="25"/>
      <c r="D63" s="16">
        <f>SUM(D6:D62)</f>
      </c>
      <c r="E63" s="19">
        <f>SUM(E6:E62)</f>
      </c>
      <c r="F63" s="16">
        <f>SUM(F6:F62)</f>
      </c>
      <c r="G63" s="26">
        <f>SUM(G6:G62)</f>
      </c>
      <c r="H63" s="16">
        <f>SUM(H6:H62)</f>
      </c>
      <c r="I63" s="16">
        <f>SUM(I6:I62)</f>
      </c>
      <c r="J63" s="16">
        <f>SUM(J6:J62)</f>
      </c>
      <c r="K63" s="26">
        <f>SUM(K6:K62)</f>
      </c>
    </row>
    <row x14ac:dyDescent="0.25" r="64" customHeight="1" ht="25.5">
      <c r="A64" s="1"/>
      <c r="B64" s="2"/>
      <c r="C64" s="3"/>
      <c r="D64" s="1"/>
      <c r="E64" s="28"/>
      <c r="F64" s="27"/>
      <c r="G64" s="28"/>
      <c r="H64" s="1"/>
      <c r="I64" s="28"/>
      <c r="J64" s="1"/>
      <c r="K64" s="1"/>
    </row>
    <row x14ac:dyDescent="0.25" r="65" customHeight="1" ht="25.5">
      <c r="A65" s="1"/>
      <c r="B65" s="2"/>
      <c r="C65" s="3"/>
      <c r="D65" s="1"/>
      <c r="E65" s="1"/>
      <c r="F65" s="1"/>
      <c r="G65" s="1"/>
      <c r="H65" s="1"/>
      <c r="I65" s="1"/>
      <c r="J65" s="27"/>
      <c r="K65" s="27"/>
    </row>
    <row x14ac:dyDescent="0.25" r="66" customHeight="1" ht="25.5">
      <c r="A66" s="1"/>
      <c r="B66" s="30"/>
      <c r="C66" s="3"/>
      <c r="D66" s="1"/>
      <c r="E66" s="28"/>
      <c r="F66" s="1"/>
      <c r="G66" s="1"/>
      <c r="H66" s="1"/>
      <c r="I66" s="1"/>
      <c r="J66" s="27"/>
      <c r="K66" s="28"/>
    </row>
    <row x14ac:dyDescent="0.25" r="67" customHeight="1" ht="25.5">
      <c r="A67" s="1"/>
      <c r="B67" s="30"/>
      <c r="C67" s="3"/>
      <c r="D67" s="1"/>
      <c r="E67" s="28"/>
      <c r="F67" s="1"/>
      <c r="G67" s="1"/>
      <c r="H67" s="1"/>
      <c r="I67" s="1"/>
      <c r="J67" s="27"/>
      <c r="K67" s="28"/>
    </row>
    <row x14ac:dyDescent="0.25" r="68" customHeight="1" ht="25.5">
      <c r="A68" s="1"/>
      <c r="B68" s="30"/>
      <c r="C68" s="3"/>
      <c r="D68" s="1"/>
      <c r="E68" s="28"/>
      <c r="F68" s="1"/>
      <c r="G68" s="1"/>
      <c r="H68" s="1"/>
      <c r="I68" s="1"/>
      <c r="J68" s="27"/>
      <c r="K68" s="28"/>
    </row>
    <row x14ac:dyDescent="0.25" r="69" customHeight="1" ht="25.5">
      <c r="A69" s="1"/>
      <c r="B69" s="30"/>
      <c r="C69" s="3"/>
      <c r="D69" s="1"/>
      <c r="E69" s="28"/>
      <c r="F69" s="1"/>
      <c r="G69" s="1"/>
      <c r="H69" s="1"/>
      <c r="I69" s="1"/>
      <c r="J69" s="27"/>
      <c r="K69" s="28"/>
    </row>
    <row x14ac:dyDescent="0.25" r="70" customHeight="1" ht="25.5">
      <c r="A70" s="1"/>
      <c r="B70" s="30"/>
      <c r="C70" s="3"/>
      <c r="D70" s="1"/>
      <c r="E70" s="28"/>
      <c r="F70" s="1"/>
      <c r="G70" s="1"/>
      <c r="H70" s="1"/>
      <c r="I70" s="1"/>
      <c r="J70" s="27"/>
      <c r="K70" s="28"/>
    </row>
    <row x14ac:dyDescent="0.25" r="71" customHeight="1" ht="25.5">
      <c r="A71" s="1"/>
      <c r="B71" s="30"/>
      <c r="C71" s="3"/>
      <c r="D71" s="1"/>
      <c r="E71" s="28"/>
      <c r="F71" s="1"/>
      <c r="G71" s="1"/>
      <c r="H71" s="1"/>
      <c r="I71" s="1"/>
      <c r="J71" s="27"/>
      <c r="K71" s="28"/>
    </row>
    <row x14ac:dyDescent="0.25" r="72" customHeight="1" ht="25.5">
      <c r="A72" s="1"/>
      <c r="B72" s="30"/>
      <c r="C72" s="3"/>
      <c r="D72" s="1"/>
      <c r="E72" s="28"/>
      <c r="F72" s="1"/>
      <c r="G72" s="1"/>
      <c r="H72" s="1"/>
      <c r="I72" s="1"/>
      <c r="J72" s="1"/>
      <c r="K72" s="1"/>
    </row>
    <row x14ac:dyDescent="0.25" r="73" customHeight="1" ht="25.5">
      <c r="A73" s="1"/>
      <c r="B73" s="30"/>
      <c r="C73" s="3"/>
      <c r="D73" s="1"/>
      <c r="E73" s="28"/>
      <c r="F73" s="1"/>
      <c r="G73" s="1"/>
      <c r="H73" s="1"/>
      <c r="I73" s="1"/>
      <c r="J73" s="1"/>
      <c r="K73" s="1"/>
    </row>
    <row x14ac:dyDescent="0.25" r="74" customHeight="1" ht="25.5">
      <c r="A74" s="1"/>
      <c r="B74" s="30"/>
      <c r="C74" s="3"/>
      <c r="D74" s="1"/>
      <c r="E74" s="28"/>
      <c r="F74" s="1"/>
      <c r="G74" s="1"/>
      <c r="H74" s="1"/>
      <c r="I74" s="1"/>
      <c r="J74" s="1"/>
      <c r="K74" s="1"/>
    </row>
    <row x14ac:dyDescent="0.25" r="75" customHeight="1" ht="25.5">
      <c r="A75" s="1"/>
      <c r="B75" s="30"/>
      <c r="C75" s="3"/>
      <c r="D75" s="1"/>
      <c r="E75" s="28"/>
      <c r="F75" s="1"/>
      <c r="G75" s="1"/>
      <c r="H75" s="1"/>
      <c r="I75" s="1"/>
      <c r="J75" s="1"/>
      <c r="K75" s="1"/>
    </row>
    <row x14ac:dyDescent="0.25" r="76" customHeight="1" ht="25.5">
      <c r="A76" s="1"/>
      <c r="B76" s="30"/>
      <c r="C76" s="3"/>
      <c r="D76" s="1"/>
      <c r="E76" s="28"/>
      <c r="F76" s="1"/>
      <c r="G76" s="1"/>
      <c r="H76" s="1"/>
      <c r="I76" s="1"/>
      <c r="J76" s="1"/>
      <c r="K76" s="1"/>
    </row>
    <row x14ac:dyDescent="0.25" r="77" customHeight="1" ht="25.5">
      <c r="A77" s="1"/>
      <c r="B77" s="30"/>
      <c r="C77" s="3"/>
      <c r="D77" s="1"/>
      <c r="E77" s="28"/>
      <c r="F77" s="1"/>
      <c r="G77" s="1"/>
      <c r="H77" s="1"/>
      <c r="I77" s="1"/>
      <c r="J77" s="1"/>
      <c r="K77" s="1"/>
    </row>
    <row x14ac:dyDescent="0.25" r="78" customHeight="1" ht="25.5">
      <c r="A78" s="1"/>
      <c r="B78" s="30"/>
      <c r="C78" s="3"/>
      <c r="D78" s="1"/>
      <c r="E78" s="28"/>
      <c r="F78" s="1"/>
      <c r="G78" s="1"/>
      <c r="H78" s="1"/>
      <c r="I78" s="1"/>
      <c r="J78" s="1"/>
      <c r="K78" s="1"/>
    </row>
    <row x14ac:dyDescent="0.25" r="79" customHeight="1" ht="25.5">
      <c r="A79" s="1"/>
      <c r="B79" s="30"/>
      <c r="C79" s="3"/>
      <c r="D79" s="1"/>
      <c r="E79" s="28"/>
      <c r="F79" s="1"/>
      <c r="G79" s="1"/>
      <c r="H79" s="1"/>
      <c r="I79" s="1"/>
      <c r="J79" s="1"/>
      <c r="K79" s="1"/>
    </row>
    <row x14ac:dyDescent="0.25" r="80" customHeight="1" ht="25.5">
      <c r="A80" s="1"/>
      <c r="B80" s="30"/>
      <c r="C80" s="3"/>
      <c r="D80" s="1"/>
      <c r="E80" s="28"/>
      <c r="F80" s="1"/>
      <c r="G80" s="1"/>
      <c r="H80" s="1"/>
      <c r="I80" s="1"/>
      <c r="J80" s="1"/>
      <c r="K80" s="1"/>
    </row>
    <row x14ac:dyDescent="0.25" r="81" customHeight="1" ht="25.5">
      <c r="A81" s="1"/>
      <c r="B81" s="30"/>
      <c r="C81" s="3"/>
      <c r="D81" s="1"/>
      <c r="E81" s="28"/>
      <c r="F81" s="1"/>
      <c r="G81" s="1"/>
      <c r="H81" s="1"/>
      <c r="I81" s="1"/>
      <c r="J81" s="1"/>
      <c r="K81" s="1"/>
    </row>
    <row x14ac:dyDescent="0.25" r="82" customHeight="1" ht="25.5">
      <c r="A82" s="1"/>
      <c r="B82" s="30"/>
      <c r="C82" s="3"/>
      <c r="D82" s="1"/>
      <c r="E82" s="28"/>
      <c r="F82" s="1"/>
      <c r="G82" s="1"/>
      <c r="H82" s="1"/>
      <c r="I82" s="1"/>
      <c r="J82" s="1"/>
      <c r="K82" s="1"/>
    </row>
    <row x14ac:dyDescent="0.25" r="83" customHeight="1" ht="25.5">
      <c r="A83" s="1"/>
      <c r="B83" s="30"/>
      <c r="C83" s="3"/>
      <c r="D83" s="1"/>
      <c r="E83" s="28"/>
      <c r="F83" s="1"/>
      <c r="G83" s="1"/>
      <c r="H83" s="1"/>
      <c r="I83" s="1"/>
      <c r="J83" s="1"/>
      <c r="K83" s="1"/>
    </row>
    <row x14ac:dyDescent="0.25" r="84" customHeight="1" ht="25.5">
      <c r="A84" s="1"/>
      <c r="B84" s="30"/>
      <c r="C84" s="3"/>
      <c r="D84" s="1"/>
      <c r="E84" s="28"/>
      <c r="F84" s="1"/>
      <c r="G84" s="1"/>
      <c r="H84" s="1"/>
      <c r="I84" s="1"/>
      <c r="J84" s="1"/>
      <c r="K84" s="1"/>
    </row>
    <row x14ac:dyDescent="0.25" r="85" customHeight="1" ht="25.5">
      <c r="A85" s="1"/>
      <c r="B85" s="30"/>
      <c r="C85" s="3"/>
      <c r="D85" s="1"/>
      <c r="E85" s="28"/>
      <c r="F85" s="1"/>
      <c r="G85" s="1"/>
      <c r="H85" s="1"/>
      <c r="I85" s="1"/>
      <c r="J85" s="1"/>
      <c r="K85" s="1"/>
    </row>
    <row x14ac:dyDescent="0.25" r="86" customHeight="1" ht="25.5">
      <c r="A86" s="1"/>
      <c r="B86" s="30"/>
      <c r="C86" s="3"/>
      <c r="D86" s="1"/>
      <c r="E86" s="28"/>
      <c r="F86" s="1"/>
      <c r="G86" s="1"/>
      <c r="H86" s="1"/>
      <c r="I86" s="1"/>
      <c r="J86" s="1"/>
      <c r="K86" s="1"/>
    </row>
    <row x14ac:dyDescent="0.25" r="87" customHeight="1" ht="25.5">
      <c r="A87" s="1"/>
      <c r="B87" s="30"/>
      <c r="C87" s="3"/>
      <c r="D87" s="1"/>
      <c r="E87" s="28"/>
      <c r="F87" s="1"/>
      <c r="G87" s="1"/>
      <c r="H87" s="1"/>
      <c r="I87" s="1"/>
      <c r="J87" s="1"/>
      <c r="K87" s="1"/>
    </row>
    <row x14ac:dyDescent="0.25" r="88" customHeight="1" ht="25.5">
      <c r="A88" s="1"/>
      <c r="B88" s="30"/>
      <c r="C88" s="3"/>
      <c r="D88" s="1"/>
      <c r="E88" s="28"/>
      <c r="F88" s="1"/>
      <c r="G88" s="1"/>
      <c r="H88" s="1"/>
      <c r="I88" s="1"/>
      <c r="J88" s="1"/>
      <c r="K88" s="1"/>
    </row>
    <row x14ac:dyDescent="0.25" r="89" customHeight="1" ht="25.5">
      <c r="A89" s="1"/>
      <c r="B89" s="30"/>
      <c r="C89" s="3"/>
      <c r="D89" s="1"/>
      <c r="E89" s="28"/>
      <c r="F89" s="1"/>
      <c r="G89" s="1"/>
      <c r="H89" s="1"/>
      <c r="I89" s="1"/>
      <c r="J89" s="1"/>
      <c r="K89" s="1"/>
    </row>
    <row x14ac:dyDescent="0.25" r="90" customHeight="1" ht="25.5">
      <c r="A90" s="1"/>
      <c r="B90" s="30"/>
      <c r="C90" s="3"/>
      <c r="D90" s="1"/>
      <c r="E90" s="28"/>
      <c r="F90" s="1"/>
      <c r="G90" s="1"/>
      <c r="H90" s="1"/>
      <c r="I90" s="1"/>
      <c r="J90" s="1"/>
      <c r="K90" s="1"/>
    </row>
    <row x14ac:dyDescent="0.25" r="91" customHeight="1" ht="25.5">
      <c r="A91" s="1"/>
      <c r="B91" s="30"/>
      <c r="C91" s="3"/>
      <c r="D91" s="1"/>
      <c r="E91" s="28"/>
      <c r="F91" s="1"/>
      <c r="G91" s="1"/>
      <c r="H91" s="1"/>
      <c r="I91" s="1"/>
      <c r="J91" s="1"/>
      <c r="K91" s="1"/>
    </row>
    <row x14ac:dyDescent="0.25" r="92" customHeight="1" ht="25.5">
      <c r="A92" s="1"/>
      <c r="B92" s="30"/>
      <c r="C92" s="3"/>
      <c r="D92" s="1"/>
      <c r="E92" s="28"/>
      <c r="F92" s="1"/>
      <c r="G92" s="1"/>
      <c r="H92" s="1"/>
      <c r="I92" s="1"/>
      <c r="J92" s="1"/>
      <c r="K92" s="1"/>
    </row>
    <row x14ac:dyDescent="0.25" r="93" customHeight="1" ht="25.5">
      <c r="A93" s="1"/>
      <c r="B93" s="30"/>
      <c r="C93" s="3"/>
      <c r="D93" s="1"/>
      <c r="E93" s="28"/>
      <c r="F93" s="1"/>
      <c r="G93" s="1"/>
      <c r="H93" s="1"/>
      <c r="I93" s="1"/>
      <c r="J93" s="1"/>
      <c r="K93" s="1"/>
    </row>
    <row x14ac:dyDescent="0.25" r="94" customHeight="1" ht="25.5">
      <c r="A94" s="1"/>
      <c r="B94" s="30"/>
      <c r="C94" s="3"/>
      <c r="D94" s="1"/>
      <c r="E94" s="28"/>
      <c r="F94" s="1"/>
      <c r="G94" s="1"/>
      <c r="H94" s="1"/>
      <c r="I94" s="1"/>
      <c r="J94" s="1"/>
      <c r="K94" s="1"/>
    </row>
    <row x14ac:dyDescent="0.25" r="95" customHeight="1" ht="25.5">
      <c r="A95" s="1"/>
      <c r="B95" s="30"/>
      <c r="C95" s="3"/>
      <c r="D95" s="1"/>
      <c r="E95" s="28"/>
      <c r="F95" s="1"/>
      <c r="G95" s="1"/>
      <c r="H95" s="1"/>
      <c r="I95" s="1"/>
      <c r="J95" s="1"/>
      <c r="K95" s="1"/>
    </row>
    <row x14ac:dyDescent="0.25" r="96" customHeight="1" ht="25.5">
      <c r="A96" s="1"/>
      <c r="B96" s="30"/>
      <c r="C96" s="3"/>
      <c r="D96" s="1"/>
      <c r="E96" s="28"/>
      <c r="F96" s="1"/>
      <c r="G96" s="1"/>
      <c r="H96" s="1"/>
      <c r="I96" s="1"/>
      <c r="J96" s="1"/>
      <c r="K96" s="1"/>
    </row>
    <row x14ac:dyDescent="0.25" r="97" customHeight="1" ht="25.5">
      <c r="A97" s="1"/>
      <c r="B97" s="30"/>
      <c r="C97" s="3"/>
      <c r="D97" s="1"/>
      <c r="E97" s="28"/>
      <c r="F97" s="1"/>
      <c r="G97" s="1"/>
      <c r="H97" s="1"/>
      <c r="I97" s="1"/>
      <c r="J97" s="1"/>
      <c r="K97" s="1"/>
    </row>
    <row x14ac:dyDescent="0.25" r="98" customHeight="1" ht="25.5">
      <c r="A98" s="1"/>
      <c r="B98" s="30"/>
      <c r="C98" s="3"/>
      <c r="D98" s="1"/>
      <c r="E98" s="28"/>
      <c r="F98" s="1"/>
      <c r="G98" s="1"/>
      <c r="H98" s="1"/>
      <c r="I98" s="1"/>
      <c r="J98" s="1"/>
      <c r="K98" s="1"/>
    </row>
    <row x14ac:dyDescent="0.25" r="99" customHeight="1" ht="25.5">
      <c r="A99" s="1"/>
      <c r="B99" s="30"/>
      <c r="C99" s="3"/>
      <c r="D99" s="1"/>
      <c r="E99" s="28"/>
      <c r="F99" s="1"/>
      <c r="G99" s="1"/>
      <c r="H99" s="1"/>
      <c r="I99" s="1"/>
      <c r="J99" s="1"/>
      <c r="K99" s="1"/>
    </row>
    <row x14ac:dyDescent="0.25" r="100" customHeight="1" ht="25.5">
      <c r="A100" s="1"/>
      <c r="B100" s="30"/>
      <c r="C100" s="3"/>
      <c r="D100" s="1"/>
      <c r="E100" s="28"/>
      <c r="F100" s="1"/>
      <c r="G100" s="1"/>
      <c r="H100" s="1"/>
      <c r="I100" s="1"/>
      <c r="J100" s="1"/>
      <c r="K100" s="1"/>
    </row>
    <row x14ac:dyDescent="0.25" r="101" customHeight="1" ht="25.5">
      <c r="A101" s="1"/>
      <c r="B101" s="30"/>
      <c r="C101" s="3"/>
      <c r="D101" s="1"/>
      <c r="E101" s="28"/>
      <c r="F101" s="1"/>
      <c r="G101" s="1"/>
      <c r="H101" s="1"/>
      <c r="I101" s="1"/>
      <c r="J101" s="1"/>
      <c r="K101" s="1"/>
    </row>
    <row x14ac:dyDescent="0.25" r="102" customHeight="1" ht="25.5">
      <c r="A102" s="1"/>
      <c r="B102" s="30"/>
      <c r="C102" s="3"/>
      <c r="D102" s="1"/>
      <c r="E102" s="28"/>
      <c r="F102" s="1"/>
      <c r="G102" s="1"/>
      <c r="H102" s="1"/>
      <c r="I102" s="1"/>
      <c r="J102" s="1"/>
      <c r="K102" s="1"/>
    </row>
    <row x14ac:dyDescent="0.25" r="103" customHeight="1" ht="25.5">
      <c r="A103" s="1"/>
      <c r="B103" s="30"/>
      <c r="C103" s="3"/>
      <c r="D103" s="1"/>
      <c r="E103" s="28"/>
      <c r="F103" s="1"/>
      <c r="G103" s="1"/>
      <c r="H103" s="1"/>
      <c r="I103" s="1"/>
      <c r="J103" s="1"/>
      <c r="K103" s="1"/>
    </row>
    <row x14ac:dyDescent="0.25" r="104" customHeight="1" ht="25.5">
      <c r="A104" s="1"/>
      <c r="B104" s="30"/>
      <c r="C104" s="3"/>
      <c r="D104" s="1"/>
      <c r="E104" s="28"/>
      <c r="F104" s="1"/>
      <c r="G104" s="1"/>
      <c r="H104" s="1"/>
      <c r="I104" s="1"/>
      <c r="J104" s="1"/>
      <c r="K104" s="1"/>
    </row>
    <row x14ac:dyDescent="0.25" r="105" customHeight="1" ht="25.5">
      <c r="A105" s="1"/>
      <c r="B105" s="30"/>
      <c r="C105" s="3"/>
      <c r="D105" s="1"/>
      <c r="E105" s="28"/>
      <c r="F105" s="1"/>
      <c r="G105" s="1"/>
      <c r="H105" s="1"/>
      <c r="I105" s="1"/>
      <c r="J105" s="1"/>
      <c r="K105" s="1"/>
    </row>
    <row x14ac:dyDescent="0.25" r="106" customHeight="1" ht="25.5">
      <c r="A106" s="1"/>
      <c r="B106" s="30"/>
      <c r="C106" s="3"/>
      <c r="D106" s="1"/>
      <c r="E106" s="28"/>
      <c r="F106" s="1"/>
      <c r="G106" s="1"/>
      <c r="H106" s="1"/>
      <c r="I106" s="1"/>
      <c r="J106" s="1"/>
      <c r="K106" s="1"/>
    </row>
    <row x14ac:dyDescent="0.25" r="107" customHeight="1" ht="25.5">
      <c r="A107" s="1"/>
      <c r="B107" s="30"/>
      <c r="C107" s="3"/>
      <c r="D107" s="1"/>
      <c r="E107" s="28"/>
      <c r="F107" s="1"/>
      <c r="G107" s="1"/>
      <c r="H107" s="1"/>
      <c r="I107" s="1"/>
      <c r="J107" s="1"/>
      <c r="K107" s="1"/>
    </row>
    <row x14ac:dyDescent="0.25" r="108" customHeight="1" ht="25.5">
      <c r="A108" s="1"/>
      <c r="B108" s="30"/>
      <c r="C108" s="3"/>
      <c r="D108" s="1"/>
      <c r="E108" s="28"/>
      <c r="F108" s="1"/>
      <c r="G108" s="1"/>
      <c r="H108" s="1"/>
      <c r="I108" s="1"/>
      <c r="J108" s="1"/>
      <c r="K108" s="1"/>
    </row>
    <row x14ac:dyDescent="0.25" r="109" customHeight="1" ht="25.5">
      <c r="A109" s="1"/>
      <c r="B109" s="30"/>
      <c r="C109" s="3"/>
      <c r="D109" s="1"/>
      <c r="E109" s="28"/>
      <c r="F109" s="1"/>
      <c r="G109" s="1"/>
      <c r="H109" s="1"/>
      <c r="I109" s="1"/>
      <c r="J109" s="1"/>
      <c r="K109" s="1"/>
    </row>
    <row x14ac:dyDescent="0.25" r="110" customHeight="1" ht="25.5">
      <c r="A110" s="1"/>
      <c r="B110" s="30"/>
      <c r="C110" s="3"/>
      <c r="D110" s="1"/>
      <c r="E110" s="28"/>
      <c r="F110" s="1"/>
      <c r="G110" s="1"/>
      <c r="H110" s="1"/>
      <c r="I110" s="1"/>
      <c r="J110" s="1"/>
      <c r="K110" s="1"/>
    </row>
    <row x14ac:dyDescent="0.25" r="111" customHeight="1" ht="25.5">
      <c r="A111" s="1"/>
      <c r="B111" s="30"/>
      <c r="C111" s="3"/>
      <c r="D111" s="1"/>
      <c r="E111" s="28"/>
      <c r="F111" s="1"/>
      <c r="G111" s="1"/>
      <c r="H111" s="1"/>
      <c r="I111" s="1"/>
      <c r="J111" s="1"/>
      <c r="K111" s="1"/>
    </row>
    <row x14ac:dyDescent="0.25" r="112" customHeight="1" ht="25.5">
      <c r="A112" s="1"/>
      <c r="B112" s="30"/>
      <c r="C112" s="3"/>
      <c r="D112" s="1"/>
      <c r="E112" s="28"/>
      <c r="F112" s="1"/>
      <c r="G112" s="1"/>
      <c r="H112" s="1"/>
      <c r="I112" s="1"/>
      <c r="J112" s="1"/>
      <c r="K112" s="1"/>
    </row>
    <row x14ac:dyDescent="0.25" r="113" customHeight="1" ht="25.5">
      <c r="A113" s="1"/>
      <c r="B113" s="30"/>
      <c r="C113" s="3"/>
      <c r="D113" s="1"/>
      <c r="E113" s="28"/>
      <c r="F113" s="1"/>
      <c r="G113" s="1"/>
      <c r="H113" s="1"/>
      <c r="I113" s="1"/>
      <c r="J113" s="1"/>
      <c r="K113" s="1"/>
    </row>
    <row x14ac:dyDescent="0.25" r="114" customHeight="1" ht="25.5">
      <c r="A114" s="1"/>
      <c r="B114" s="30"/>
      <c r="C114" s="3"/>
      <c r="D114" s="1"/>
      <c r="E114" s="28"/>
      <c r="F114" s="1"/>
      <c r="G114" s="1"/>
      <c r="H114" s="1"/>
      <c r="I114" s="1"/>
      <c r="J114" s="1"/>
      <c r="K114" s="1"/>
    </row>
    <row x14ac:dyDescent="0.25" r="115" customHeight="1" ht="25.5">
      <c r="A115" s="1"/>
      <c r="B115" s="30"/>
      <c r="C115" s="3"/>
      <c r="D115" s="1"/>
      <c r="E115" s="28"/>
      <c r="F115" s="1"/>
      <c r="G115" s="1"/>
      <c r="H115" s="1"/>
      <c r="I115" s="1"/>
      <c r="J115" s="1"/>
      <c r="K115" s="1"/>
    </row>
    <row x14ac:dyDescent="0.25" r="116" customHeight="1" ht="25.5">
      <c r="A116" s="1"/>
      <c r="B116" s="30"/>
      <c r="C116" s="3"/>
      <c r="D116" s="1"/>
      <c r="E116" s="28"/>
      <c r="F116" s="1"/>
      <c r="G116" s="1"/>
      <c r="H116" s="1"/>
      <c r="I116" s="1"/>
      <c r="J116" s="1"/>
      <c r="K116" s="1"/>
    </row>
    <row x14ac:dyDescent="0.25" r="117" customHeight="1" ht="25.5">
      <c r="A117" s="1"/>
      <c r="B117" s="30"/>
      <c r="C117" s="3"/>
      <c r="D117" s="1"/>
      <c r="E117" s="28"/>
      <c r="F117" s="1"/>
      <c r="G117" s="1"/>
      <c r="H117" s="1"/>
      <c r="I117" s="1"/>
      <c r="J117" s="1"/>
      <c r="K117" s="1"/>
    </row>
    <row x14ac:dyDescent="0.25" r="118" customHeight="1" ht="25.5">
      <c r="A118" s="1"/>
      <c r="B118" s="30"/>
      <c r="C118" s="3"/>
      <c r="D118" s="1"/>
      <c r="E118" s="28"/>
      <c r="F118" s="1"/>
      <c r="G118" s="1"/>
      <c r="H118" s="1"/>
      <c r="I118" s="1"/>
      <c r="J118" s="1"/>
      <c r="K118" s="1"/>
    </row>
    <row x14ac:dyDescent="0.25" r="119" customHeight="1" ht="25.5">
      <c r="A119" s="1"/>
      <c r="B119" s="30"/>
      <c r="C119" s="3"/>
      <c r="D119" s="1"/>
      <c r="E119" s="28"/>
      <c r="F119" s="1"/>
      <c r="G119" s="1"/>
      <c r="H119" s="1"/>
      <c r="I119" s="1"/>
      <c r="J119" s="1"/>
      <c r="K119" s="1"/>
    </row>
    <row x14ac:dyDescent="0.25" r="120" customHeight="1" ht="25.5">
      <c r="A120" s="1"/>
      <c r="B120" s="30"/>
      <c r="C120" s="3"/>
      <c r="D120" s="1"/>
      <c r="E120" s="28"/>
      <c r="F120" s="1"/>
      <c r="G120" s="1"/>
      <c r="H120" s="1"/>
      <c r="I120" s="1"/>
      <c r="J120" s="1"/>
      <c r="K120" s="1"/>
    </row>
    <row x14ac:dyDescent="0.25" r="121" customHeight="1" ht="25.5">
      <c r="A121" s="1"/>
      <c r="B121" s="30"/>
      <c r="C121" s="3"/>
      <c r="D121" s="1"/>
      <c r="E121" s="28"/>
      <c r="F121" s="1"/>
      <c r="G121" s="1"/>
      <c r="H121" s="1"/>
      <c r="I121" s="1"/>
      <c r="J121" s="1"/>
      <c r="K121" s="1"/>
    </row>
    <row x14ac:dyDescent="0.25" r="122" customHeight="1" ht="25.5">
      <c r="A122" s="1"/>
      <c r="B122" s="30"/>
      <c r="C122" s="3"/>
      <c r="D122" s="1"/>
      <c r="E122" s="28"/>
      <c r="F122" s="1"/>
      <c r="G122" s="1"/>
      <c r="H122" s="1"/>
      <c r="I122" s="1"/>
      <c r="J122" s="1"/>
      <c r="K122" s="1"/>
    </row>
    <row x14ac:dyDescent="0.25" r="123" customHeight="1" ht="25.5">
      <c r="A123" s="1"/>
      <c r="B123" s="30"/>
      <c r="C123" s="3"/>
      <c r="D123" s="1"/>
      <c r="E123" s="28"/>
      <c r="F123" s="1"/>
      <c r="G123" s="1"/>
      <c r="H123" s="1"/>
      <c r="I123" s="1"/>
      <c r="J123" s="1"/>
      <c r="K123" s="1"/>
    </row>
  </sheetData>
  <mergeCells count="10">
    <mergeCell ref="A2:K2"/>
    <mergeCell ref="I3:K3"/>
    <mergeCell ref="A4:A5"/>
    <mergeCell ref="B4:B5"/>
    <mergeCell ref="C4:C5"/>
    <mergeCell ref="D4:E4"/>
    <mergeCell ref="F4:G4"/>
    <mergeCell ref="H4:I4"/>
    <mergeCell ref="J4:K4"/>
    <mergeCell ref="A63:C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25"/>
  <sheetViews>
    <sheetView workbookViewId="0"/>
  </sheetViews>
  <sheetFormatPr defaultRowHeight="15" x14ac:dyDescent="0.25"/>
  <cols>
    <col min="1" max="1" style="31" width="4.433571428571429" customWidth="1" bestFit="1"/>
    <col min="2" max="2" style="32" width="8.43357142857143" customWidth="1" bestFit="1"/>
    <col min="3" max="3" style="33" width="43.005" customWidth="1" bestFit="1"/>
    <col min="4" max="4" style="31" width="7.862142857142857" customWidth="1" bestFit="1"/>
    <col min="5" max="5" style="31" width="15.290714285714287" customWidth="1" bestFit="1"/>
    <col min="6" max="6" style="31" width="7.862142857142857" customWidth="1" bestFit="1"/>
    <col min="7" max="7" style="31" width="15.290714285714287" customWidth="1" bestFit="1"/>
    <col min="8" max="8" style="31" width="7.862142857142857" customWidth="1" bestFit="1"/>
    <col min="9" max="9" style="31" width="15.290714285714287" customWidth="1" bestFit="1"/>
    <col min="10" max="10" style="31" width="7.862142857142857" customWidth="1" bestFit="1"/>
    <col min="11" max="11" style="31" width="15.290714285714287" customWidth="1" bestFit="1"/>
  </cols>
  <sheetData>
    <row x14ac:dyDescent="0.25" r="1" customHeight="1" ht="18.75">
      <c r="A1" s="1"/>
      <c r="B1" s="2"/>
      <c r="C1" s="3"/>
      <c r="D1" s="1"/>
      <c r="E1" s="1"/>
      <c r="F1" s="1"/>
      <c r="G1" s="1"/>
      <c r="H1" s="1"/>
      <c r="I1" s="1"/>
      <c r="J1" s="1"/>
      <c r="K1" s="1"/>
    </row>
    <row x14ac:dyDescent="0.25" r="2" customHeight="1" ht="24.75">
      <c r="A2" s="34" t="s">
        <v>126</v>
      </c>
      <c r="B2" s="35"/>
      <c r="C2" s="36"/>
      <c r="D2" s="34"/>
      <c r="E2" s="34"/>
      <c r="F2" s="34"/>
      <c r="G2" s="34"/>
      <c r="H2" s="34"/>
      <c r="I2" s="34"/>
      <c r="J2" s="34"/>
      <c r="K2" s="34"/>
    </row>
    <row x14ac:dyDescent="0.25" r="3" customHeight="1" ht="24.75">
      <c r="A3" s="37"/>
      <c r="B3" s="38"/>
      <c r="C3" s="39"/>
      <c r="D3" s="37"/>
      <c r="E3" s="37"/>
      <c r="F3" s="37"/>
      <c r="G3" s="37"/>
      <c r="H3" s="37"/>
      <c r="I3" s="40" t="s">
        <v>127</v>
      </c>
      <c r="J3" s="40"/>
      <c r="K3" s="40"/>
    </row>
    <row x14ac:dyDescent="0.25" r="4" customHeight="1" ht="24.75">
      <c r="A4" s="41" t="s">
        <v>128</v>
      </c>
      <c r="B4" s="42" t="s">
        <v>3</v>
      </c>
      <c r="C4" s="43" t="s">
        <v>4</v>
      </c>
      <c r="D4" s="44" t="s">
        <v>129</v>
      </c>
      <c r="E4" s="45"/>
      <c r="F4" s="46" t="s">
        <v>130</v>
      </c>
      <c r="G4" s="47"/>
      <c r="H4" s="48" t="s">
        <v>131</v>
      </c>
      <c r="I4" s="49"/>
      <c r="J4" s="46" t="s">
        <v>132</v>
      </c>
      <c r="K4" s="47"/>
    </row>
    <row x14ac:dyDescent="0.25" r="5" customHeight="1" ht="24.75">
      <c r="A5" s="50"/>
      <c r="B5" s="51"/>
      <c r="C5" s="52"/>
      <c r="D5" s="50" t="s">
        <v>9</v>
      </c>
      <c r="E5" s="50" t="s">
        <v>10</v>
      </c>
      <c r="F5" s="46" t="s">
        <v>9</v>
      </c>
      <c r="G5" s="46" t="s">
        <v>10</v>
      </c>
      <c r="H5" s="46" t="s">
        <v>9</v>
      </c>
      <c r="I5" s="46" t="s">
        <v>10</v>
      </c>
      <c r="J5" s="46" t="s">
        <v>9</v>
      </c>
      <c r="K5" s="46" t="s">
        <v>10</v>
      </c>
    </row>
    <row x14ac:dyDescent="0.25" r="6" customHeight="1" ht="24.75" customFormat="1" s="53">
      <c r="A6" s="54">
        <v>1</v>
      </c>
      <c r="B6" s="55" t="s">
        <v>11</v>
      </c>
      <c r="C6" s="56" t="s">
        <v>12</v>
      </c>
      <c r="D6" s="54">
        <v>410</v>
      </c>
      <c r="E6" s="57">
        <v>19461000</v>
      </c>
      <c r="F6" s="58">
        <v>1632</v>
      </c>
      <c r="G6" s="59">
        <v>79076400</v>
      </c>
      <c r="H6" s="58">
        <v>198</v>
      </c>
      <c r="I6" s="58">
        <v>8892000</v>
      </c>
      <c r="J6" s="58">
        <v>430</v>
      </c>
      <c r="K6" s="59">
        <v>19131000</v>
      </c>
    </row>
    <row x14ac:dyDescent="0.25" r="7" customHeight="1" ht="24.75" customFormat="1" s="53">
      <c r="A7" s="54">
        <v>2</v>
      </c>
      <c r="B7" s="55" t="s">
        <v>13</v>
      </c>
      <c r="C7" s="56" t="s">
        <v>14</v>
      </c>
      <c r="D7" s="54">
        <v>1942</v>
      </c>
      <c r="E7" s="57">
        <v>94950000</v>
      </c>
      <c r="F7" s="58">
        <v>6701</v>
      </c>
      <c r="G7" s="59">
        <v>321048000</v>
      </c>
      <c r="H7" s="58">
        <v>1754</v>
      </c>
      <c r="I7" s="58">
        <v>85817000</v>
      </c>
      <c r="J7" s="58">
        <v>1990</v>
      </c>
      <c r="K7" s="59">
        <v>93942500</v>
      </c>
    </row>
    <row x14ac:dyDescent="0.25" r="8" customHeight="1" ht="24.75" customFormat="1" s="53">
      <c r="A8" s="54">
        <v>3</v>
      </c>
      <c r="B8" s="55" t="s">
        <v>15</v>
      </c>
      <c r="C8" s="56" t="s">
        <v>16</v>
      </c>
      <c r="D8" s="54">
        <v>645</v>
      </c>
      <c r="E8" s="57">
        <v>39832500</v>
      </c>
      <c r="F8" s="58">
        <v>4410</v>
      </c>
      <c r="G8" s="59">
        <v>261807600</v>
      </c>
      <c r="H8" s="58">
        <v>725</v>
      </c>
      <c r="I8" s="58">
        <v>41747500</v>
      </c>
      <c r="J8" s="58">
        <v>979</v>
      </c>
      <c r="K8" s="59">
        <v>55758500</v>
      </c>
    </row>
    <row x14ac:dyDescent="0.25" r="9" customHeight="1" ht="24.75" customFormat="1" s="53">
      <c r="A9" s="54">
        <v>4</v>
      </c>
      <c r="B9" s="55" t="s">
        <v>17</v>
      </c>
      <c r="C9" s="56" t="s">
        <v>18</v>
      </c>
      <c r="D9" s="54">
        <v>0</v>
      </c>
      <c r="E9" s="57">
        <v>0</v>
      </c>
      <c r="F9" s="58">
        <v>205</v>
      </c>
      <c r="G9" s="59">
        <v>15602000</v>
      </c>
      <c r="H9" s="58">
        <v>20</v>
      </c>
      <c r="I9" s="58">
        <v>1810000</v>
      </c>
      <c r="J9" s="58">
        <v>50</v>
      </c>
      <c r="K9" s="59">
        <v>3450000</v>
      </c>
    </row>
    <row x14ac:dyDescent="0.25" r="10" customHeight="1" ht="24.75" customFormat="1" s="53">
      <c r="A10" s="54">
        <v>5</v>
      </c>
      <c r="B10" s="55" t="s">
        <v>19</v>
      </c>
      <c r="C10" s="56" t="s">
        <v>20</v>
      </c>
      <c r="D10" s="54">
        <v>309</v>
      </c>
      <c r="E10" s="57">
        <v>16708000</v>
      </c>
      <c r="F10" s="58">
        <v>783</v>
      </c>
      <c r="G10" s="59">
        <v>43480700</v>
      </c>
      <c r="H10" s="58">
        <v>244</v>
      </c>
      <c r="I10" s="58">
        <v>14223400</v>
      </c>
      <c r="J10" s="58">
        <v>180</v>
      </c>
      <c r="K10" s="59">
        <v>9199000</v>
      </c>
    </row>
    <row x14ac:dyDescent="0.25" r="11" customHeight="1" ht="24.75" customFormat="1" s="53">
      <c r="A11" s="54">
        <v>6</v>
      </c>
      <c r="B11" s="55" t="s">
        <v>21</v>
      </c>
      <c r="C11" s="56" t="s">
        <v>22</v>
      </c>
      <c r="D11" s="54">
        <v>399</v>
      </c>
      <c r="E11" s="57">
        <v>23345500</v>
      </c>
      <c r="F11" s="58">
        <v>1872</v>
      </c>
      <c r="G11" s="59">
        <v>106330800</v>
      </c>
      <c r="H11" s="58">
        <v>650</v>
      </c>
      <c r="I11" s="58">
        <v>38027000</v>
      </c>
      <c r="J11" s="58">
        <v>410</v>
      </c>
      <c r="K11" s="59">
        <v>22769000</v>
      </c>
    </row>
    <row x14ac:dyDescent="0.25" r="12" customHeight="1" ht="24.75" customFormat="1" s="53">
      <c r="A12" s="54">
        <v>7</v>
      </c>
      <c r="B12" s="55" t="s">
        <v>23</v>
      </c>
      <c r="C12" s="56" t="s">
        <v>24</v>
      </c>
      <c r="D12" s="54">
        <v>126</v>
      </c>
      <c r="E12" s="57">
        <v>7901000</v>
      </c>
      <c r="F12" s="58">
        <v>348</v>
      </c>
      <c r="G12" s="59">
        <v>21959200</v>
      </c>
      <c r="H12" s="58">
        <v>100</v>
      </c>
      <c r="I12" s="58">
        <v>6730000</v>
      </c>
      <c r="J12" s="58">
        <v>0</v>
      </c>
      <c r="K12" s="59">
        <v>0</v>
      </c>
    </row>
    <row x14ac:dyDescent="0.25" r="13" customHeight="1" ht="24.75" customFormat="1" s="53">
      <c r="A13" s="54">
        <v>8</v>
      </c>
      <c r="B13" s="55" t="s">
        <v>25</v>
      </c>
      <c r="C13" s="56" t="s">
        <v>26</v>
      </c>
      <c r="D13" s="54">
        <v>179</v>
      </c>
      <c r="E13" s="57">
        <v>11397500</v>
      </c>
      <c r="F13" s="58">
        <v>620</v>
      </c>
      <c r="G13" s="59">
        <v>40190000</v>
      </c>
      <c r="H13" s="58">
        <v>60</v>
      </c>
      <c r="I13" s="58">
        <v>4220000</v>
      </c>
      <c r="J13" s="58">
        <v>75</v>
      </c>
      <c r="K13" s="59">
        <v>4252500</v>
      </c>
    </row>
    <row x14ac:dyDescent="0.25" r="14" customHeight="1" ht="24.75" customFormat="1" s="53">
      <c r="A14" s="54">
        <v>9</v>
      </c>
      <c r="B14" s="55" t="s">
        <v>27</v>
      </c>
      <c r="C14" s="56" t="s">
        <v>28</v>
      </c>
      <c r="D14" s="54">
        <v>340</v>
      </c>
      <c r="E14" s="57">
        <v>23185000</v>
      </c>
      <c r="F14" s="58">
        <v>1010</v>
      </c>
      <c r="G14" s="59">
        <v>70250000</v>
      </c>
      <c r="H14" s="58">
        <v>260</v>
      </c>
      <c r="I14" s="58">
        <v>17560000</v>
      </c>
      <c r="J14" s="58">
        <v>295</v>
      </c>
      <c r="K14" s="59">
        <v>18525000</v>
      </c>
    </row>
    <row x14ac:dyDescent="0.25" r="15" customHeight="1" ht="24.75" customFormat="1" s="53">
      <c r="A15" s="54">
        <v>10</v>
      </c>
      <c r="B15" s="55" t="s">
        <v>29</v>
      </c>
      <c r="C15" s="56" t="s">
        <v>30</v>
      </c>
      <c r="D15" s="54">
        <v>200</v>
      </c>
      <c r="E15" s="57">
        <v>13790000</v>
      </c>
      <c r="F15" s="58">
        <v>943</v>
      </c>
      <c r="G15" s="59">
        <v>67661700</v>
      </c>
      <c r="H15" s="58">
        <v>260</v>
      </c>
      <c r="I15" s="58">
        <v>19535000</v>
      </c>
      <c r="J15" s="58">
        <v>200</v>
      </c>
      <c r="K15" s="59">
        <v>13771000</v>
      </c>
    </row>
    <row x14ac:dyDescent="0.25" r="16" customHeight="1" ht="24.75" customFormat="1" s="53">
      <c r="A16" s="54">
        <v>11</v>
      </c>
      <c r="B16" s="55" t="s">
        <v>31</v>
      </c>
      <c r="C16" s="56" t="s">
        <v>32</v>
      </c>
      <c r="D16" s="54">
        <v>577</v>
      </c>
      <c r="E16" s="57">
        <v>44191500</v>
      </c>
      <c r="F16" s="58">
        <v>2100</v>
      </c>
      <c r="G16" s="59">
        <v>157610000</v>
      </c>
      <c r="H16" s="58">
        <v>444</v>
      </c>
      <c r="I16" s="58">
        <v>33279000</v>
      </c>
      <c r="J16" s="58">
        <v>209</v>
      </c>
      <c r="K16" s="59">
        <v>14080500</v>
      </c>
    </row>
    <row x14ac:dyDescent="0.25" r="17" customHeight="1" ht="24.75" customFormat="1" s="53">
      <c r="A17" s="54">
        <v>12</v>
      </c>
      <c r="B17" s="55" t="s">
        <v>33</v>
      </c>
      <c r="C17" s="56" t="s">
        <v>34</v>
      </c>
      <c r="D17" s="54">
        <v>81</v>
      </c>
      <c r="E17" s="57">
        <v>7450000</v>
      </c>
      <c r="F17" s="58">
        <v>567</v>
      </c>
      <c r="G17" s="59">
        <v>51291800</v>
      </c>
      <c r="H17" s="58">
        <v>115</v>
      </c>
      <c r="I17" s="58">
        <v>10762000</v>
      </c>
      <c r="J17" s="58">
        <v>145</v>
      </c>
      <c r="K17" s="59">
        <v>12789000</v>
      </c>
    </row>
    <row x14ac:dyDescent="0.25" r="18" customHeight="1" ht="24.75" customFormat="1" s="53">
      <c r="A18" s="54">
        <v>13</v>
      </c>
      <c r="B18" s="55" t="s">
        <v>35</v>
      </c>
      <c r="C18" s="56" t="s">
        <v>36</v>
      </c>
      <c r="D18" s="54">
        <v>743</v>
      </c>
      <c r="E18" s="57">
        <v>58088500</v>
      </c>
      <c r="F18" s="58">
        <v>2251</v>
      </c>
      <c r="G18" s="59">
        <v>194907000</v>
      </c>
      <c r="H18" s="58">
        <v>755</v>
      </c>
      <c r="I18" s="58">
        <v>59427500</v>
      </c>
      <c r="J18" s="58">
        <v>580</v>
      </c>
      <c r="K18" s="59">
        <v>42930000</v>
      </c>
    </row>
    <row x14ac:dyDescent="0.25" r="19" customHeight="1" ht="24.75" customFormat="1" s="53">
      <c r="A19" s="54">
        <v>14</v>
      </c>
      <c r="B19" s="55" t="s">
        <v>37</v>
      </c>
      <c r="C19" s="56" t="s">
        <v>38</v>
      </c>
      <c r="D19" s="54">
        <v>700</v>
      </c>
      <c r="E19" s="57">
        <v>60520000</v>
      </c>
      <c r="F19" s="58">
        <v>2770</v>
      </c>
      <c r="G19" s="59">
        <v>229480000</v>
      </c>
      <c r="H19" s="58">
        <v>1126</v>
      </c>
      <c r="I19" s="58">
        <v>93020000</v>
      </c>
      <c r="J19" s="58">
        <v>770</v>
      </c>
      <c r="K19" s="59">
        <v>59336000</v>
      </c>
    </row>
    <row x14ac:dyDescent="0.25" r="20" customHeight="1" ht="24.75" customFormat="1" s="53">
      <c r="A20" s="54">
        <v>15</v>
      </c>
      <c r="B20" s="55" t="s">
        <v>39</v>
      </c>
      <c r="C20" s="56" t="s">
        <v>40</v>
      </c>
      <c r="D20" s="54">
        <v>70</v>
      </c>
      <c r="E20" s="57">
        <v>5047000</v>
      </c>
      <c r="F20" s="58">
        <v>270</v>
      </c>
      <c r="G20" s="59">
        <v>22357000</v>
      </c>
      <c r="H20" s="58">
        <v>40</v>
      </c>
      <c r="I20" s="58">
        <v>2884000</v>
      </c>
      <c r="J20" s="58">
        <v>100</v>
      </c>
      <c r="K20" s="59">
        <v>7210000</v>
      </c>
    </row>
    <row x14ac:dyDescent="0.25" r="21" customHeight="1" ht="24.75" customFormat="1" s="53">
      <c r="A21" s="54">
        <v>16</v>
      </c>
      <c r="B21" s="55" t="s">
        <v>41</v>
      </c>
      <c r="C21" s="56" t="s">
        <v>42</v>
      </c>
      <c r="D21" s="54">
        <v>60</v>
      </c>
      <c r="E21" s="57">
        <v>5440000</v>
      </c>
      <c r="F21" s="58">
        <v>250</v>
      </c>
      <c r="G21" s="59">
        <v>20800000</v>
      </c>
      <c r="H21" s="58">
        <v>50</v>
      </c>
      <c r="I21" s="58">
        <v>3660000</v>
      </c>
      <c r="J21" s="58">
        <v>100</v>
      </c>
      <c r="K21" s="59">
        <v>7320000</v>
      </c>
    </row>
    <row x14ac:dyDescent="0.25" r="22" customHeight="1" ht="24.75" customFormat="1" s="53">
      <c r="A22" s="54">
        <v>17</v>
      </c>
      <c r="B22" s="55" t="s">
        <v>43</v>
      </c>
      <c r="C22" s="56" t="s">
        <v>44</v>
      </c>
      <c r="D22" s="54">
        <v>0</v>
      </c>
      <c r="E22" s="57">
        <v>0</v>
      </c>
      <c r="F22" s="58">
        <v>663</v>
      </c>
      <c r="G22" s="59">
        <v>82911600</v>
      </c>
      <c r="H22" s="58">
        <v>88</v>
      </c>
      <c r="I22" s="58">
        <v>11792000</v>
      </c>
      <c r="J22" s="58">
        <v>104</v>
      </c>
      <c r="K22" s="59">
        <v>12928500</v>
      </c>
    </row>
    <row x14ac:dyDescent="0.25" r="23" customHeight="1" ht="24.75" customFormat="1" s="53">
      <c r="A23" s="54">
        <v>18</v>
      </c>
      <c r="B23" s="55" t="s">
        <v>45</v>
      </c>
      <c r="C23" s="56" t="s">
        <v>46</v>
      </c>
      <c r="D23" s="54">
        <v>115</v>
      </c>
      <c r="E23" s="57">
        <v>13449500</v>
      </c>
      <c r="F23" s="58">
        <v>440</v>
      </c>
      <c r="G23" s="59">
        <v>52750000</v>
      </c>
      <c r="H23" s="58">
        <v>105</v>
      </c>
      <c r="I23" s="58">
        <v>13185000</v>
      </c>
      <c r="J23" s="58">
        <v>65</v>
      </c>
      <c r="K23" s="59">
        <v>6649500</v>
      </c>
    </row>
    <row x14ac:dyDescent="0.25" r="24" customHeight="1" ht="24.75" customFormat="1" s="53">
      <c r="A24" s="54">
        <v>19</v>
      </c>
      <c r="B24" s="55" t="s">
        <v>47</v>
      </c>
      <c r="C24" s="56" t="s">
        <v>48</v>
      </c>
      <c r="D24" s="54">
        <v>90</v>
      </c>
      <c r="E24" s="57">
        <v>12526000</v>
      </c>
      <c r="F24" s="58">
        <v>300</v>
      </c>
      <c r="G24" s="59">
        <v>41010000</v>
      </c>
      <c r="H24" s="58">
        <v>0</v>
      </c>
      <c r="I24" s="58">
        <v>0</v>
      </c>
      <c r="J24" s="58">
        <v>100</v>
      </c>
      <c r="K24" s="59">
        <v>11440000</v>
      </c>
    </row>
    <row x14ac:dyDescent="0.25" r="25" customHeight="1" ht="24.75" customFormat="1" s="53">
      <c r="A25" s="54">
        <v>20</v>
      </c>
      <c r="B25" s="55" t="s">
        <v>49</v>
      </c>
      <c r="C25" s="56" t="s">
        <v>50</v>
      </c>
      <c r="D25" s="54">
        <v>580</v>
      </c>
      <c r="E25" s="57">
        <v>61169600</v>
      </c>
      <c r="F25" s="58">
        <v>1628</v>
      </c>
      <c r="G25" s="59">
        <v>173122400</v>
      </c>
      <c r="H25" s="58">
        <v>575</v>
      </c>
      <c r="I25" s="58">
        <v>61847000</v>
      </c>
      <c r="J25" s="58">
        <v>315</v>
      </c>
      <c r="K25" s="59">
        <v>31719000</v>
      </c>
    </row>
    <row x14ac:dyDescent="0.25" r="26" customHeight="1" ht="24.75" customFormat="1" s="53">
      <c r="A26" s="54">
        <v>21</v>
      </c>
      <c r="B26" s="55" t="s">
        <v>51</v>
      </c>
      <c r="C26" s="56" t="s">
        <v>52</v>
      </c>
      <c r="D26" s="54">
        <v>847</v>
      </c>
      <c r="E26" s="57">
        <v>94305000</v>
      </c>
      <c r="F26" s="58">
        <v>3130</v>
      </c>
      <c r="G26" s="59">
        <v>335192000</v>
      </c>
      <c r="H26" s="58">
        <v>815</v>
      </c>
      <c r="I26" s="58">
        <v>89510000</v>
      </c>
      <c r="J26" s="58">
        <v>460</v>
      </c>
      <c r="K26" s="59">
        <v>50340000</v>
      </c>
    </row>
    <row x14ac:dyDescent="0.25" r="27" customHeight="1" ht="24.75" customFormat="1" s="53">
      <c r="A27" s="54">
        <v>22</v>
      </c>
      <c r="B27" s="55" t="s">
        <v>53</v>
      </c>
      <c r="C27" s="56" t="s">
        <v>54</v>
      </c>
      <c r="D27" s="54">
        <v>378</v>
      </c>
      <c r="E27" s="57">
        <v>44643400</v>
      </c>
      <c r="F27" s="58">
        <v>1224</v>
      </c>
      <c r="G27" s="59">
        <v>143995700</v>
      </c>
      <c r="H27" s="58">
        <v>435</v>
      </c>
      <c r="I27" s="58">
        <v>51740000</v>
      </c>
      <c r="J27" s="58">
        <v>275</v>
      </c>
      <c r="K27" s="59">
        <v>29969500</v>
      </c>
    </row>
    <row x14ac:dyDescent="0.25" r="28" customHeight="1" ht="24.75" customFormat="1" s="53">
      <c r="A28" s="54">
        <v>23</v>
      </c>
      <c r="B28" s="55" t="s">
        <v>55</v>
      </c>
      <c r="C28" s="56" t="s">
        <v>56</v>
      </c>
      <c r="D28" s="54">
        <v>0</v>
      </c>
      <c r="E28" s="57">
        <v>0</v>
      </c>
      <c r="F28" s="58">
        <v>0</v>
      </c>
      <c r="G28" s="59">
        <v>0</v>
      </c>
      <c r="H28" s="58">
        <v>0</v>
      </c>
      <c r="I28" s="58">
        <v>0</v>
      </c>
      <c r="J28" s="58">
        <v>0</v>
      </c>
      <c r="K28" s="59">
        <v>0</v>
      </c>
    </row>
    <row x14ac:dyDescent="0.25" r="29" customHeight="1" ht="24.75" customFormat="1" s="53">
      <c r="A29" s="54">
        <v>24</v>
      </c>
      <c r="B29" s="55" t="s">
        <v>57</v>
      </c>
      <c r="C29" s="56" t="s">
        <v>58</v>
      </c>
      <c r="D29" s="54">
        <v>0</v>
      </c>
      <c r="E29" s="57">
        <v>0</v>
      </c>
      <c r="F29" s="58">
        <v>183</v>
      </c>
      <c r="G29" s="59">
        <v>23879800</v>
      </c>
      <c r="H29" s="58">
        <v>35</v>
      </c>
      <c r="I29" s="58">
        <v>4256000</v>
      </c>
      <c r="J29" s="58">
        <v>20</v>
      </c>
      <c r="K29" s="59">
        <v>2500000</v>
      </c>
    </row>
    <row x14ac:dyDescent="0.25" r="30" customHeight="1" ht="24.75" customFormat="1" s="53">
      <c r="A30" s="54">
        <v>25</v>
      </c>
      <c r="B30" s="55" t="s">
        <v>59</v>
      </c>
      <c r="C30" s="56" t="s">
        <v>60</v>
      </c>
      <c r="D30" s="54">
        <v>698</v>
      </c>
      <c r="E30" s="57">
        <v>85461000</v>
      </c>
      <c r="F30" s="58">
        <v>1540</v>
      </c>
      <c r="G30" s="59">
        <v>190495500</v>
      </c>
      <c r="H30" s="58">
        <v>300</v>
      </c>
      <c r="I30" s="58">
        <v>37745000</v>
      </c>
      <c r="J30" s="58">
        <v>413</v>
      </c>
      <c r="K30" s="59">
        <v>49506000</v>
      </c>
    </row>
    <row x14ac:dyDescent="0.25" r="31" customHeight="1" ht="24.75" customFormat="1" s="53">
      <c r="A31" s="54">
        <v>26</v>
      </c>
      <c r="B31" s="55" t="s">
        <v>61</v>
      </c>
      <c r="C31" s="56" t="s">
        <v>62</v>
      </c>
      <c r="D31" s="54">
        <v>1369</v>
      </c>
      <c r="E31" s="57">
        <v>180927700</v>
      </c>
      <c r="F31" s="58">
        <v>4427</v>
      </c>
      <c r="G31" s="59">
        <v>572552000</v>
      </c>
      <c r="H31" s="58">
        <v>1278</v>
      </c>
      <c r="I31" s="58">
        <v>168062000</v>
      </c>
      <c r="J31" s="58">
        <v>780</v>
      </c>
      <c r="K31" s="59">
        <v>102199000</v>
      </c>
    </row>
    <row x14ac:dyDescent="0.25" r="32" customHeight="1" ht="24.75" customFormat="1" s="53">
      <c r="A32" s="54">
        <v>27</v>
      </c>
      <c r="B32" s="55" t="s">
        <v>63</v>
      </c>
      <c r="C32" s="56" t="s">
        <v>64</v>
      </c>
      <c r="D32" s="54">
        <v>478</v>
      </c>
      <c r="E32" s="57">
        <v>70754000</v>
      </c>
      <c r="F32" s="58">
        <v>1229</v>
      </c>
      <c r="G32" s="59">
        <v>185454000</v>
      </c>
      <c r="H32" s="58">
        <v>452</v>
      </c>
      <c r="I32" s="58">
        <v>69606000</v>
      </c>
      <c r="J32" s="58">
        <v>328</v>
      </c>
      <c r="K32" s="59">
        <v>44084000</v>
      </c>
    </row>
    <row x14ac:dyDescent="0.25" r="33" customHeight="1" ht="24.75" customFormat="1" s="53">
      <c r="A33" s="54">
        <v>28</v>
      </c>
      <c r="B33" s="55" t="s">
        <v>65</v>
      </c>
      <c r="C33" s="56" t="s">
        <v>66</v>
      </c>
      <c r="D33" s="54">
        <v>625</v>
      </c>
      <c r="E33" s="57">
        <v>101749000</v>
      </c>
      <c r="F33" s="58">
        <v>2663</v>
      </c>
      <c r="G33" s="59">
        <v>428595000</v>
      </c>
      <c r="H33" s="58">
        <v>731</v>
      </c>
      <c r="I33" s="58">
        <v>118605000</v>
      </c>
      <c r="J33" s="58">
        <v>550</v>
      </c>
      <c r="K33" s="59">
        <v>88820000</v>
      </c>
    </row>
    <row x14ac:dyDescent="0.25" r="34" customHeight="1" ht="24.75" customFormat="1" s="53">
      <c r="A34" s="54">
        <v>29</v>
      </c>
      <c r="B34" s="55" t="s">
        <v>67</v>
      </c>
      <c r="C34" s="56" t="s">
        <v>68</v>
      </c>
      <c r="D34" s="54">
        <v>88</v>
      </c>
      <c r="E34" s="57">
        <v>14959000</v>
      </c>
      <c r="F34" s="58">
        <v>1001</v>
      </c>
      <c r="G34" s="59">
        <v>175883000</v>
      </c>
      <c r="H34" s="58">
        <v>140</v>
      </c>
      <c r="I34" s="58">
        <v>24295000</v>
      </c>
      <c r="J34" s="58">
        <v>83</v>
      </c>
      <c r="K34" s="59">
        <v>14244000</v>
      </c>
    </row>
    <row x14ac:dyDescent="0.25" r="35" customHeight="1" ht="24.75" customFormat="1" s="53">
      <c r="A35" s="54">
        <v>30</v>
      </c>
      <c r="B35" s="55" t="s">
        <v>69</v>
      </c>
      <c r="C35" s="56" t="s">
        <v>70</v>
      </c>
      <c r="D35" s="54">
        <v>205</v>
      </c>
      <c r="E35" s="57">
        <v>40820000</v>
      </c>
      <c r="F35" s="58">
        <v>730</v>
      </c>
      <c r="G35" s="59">
        <v>138240000</v>
      </c>
      <c r="H35" s="58">
        <v>150</v>
      </c>
      <c r="I35" s="58">
        <v>29960000</v>
      </c>
      <c r="J35" s="58">
        <v>160</v>
      </c>
      <c r="K35" s="59">
        <v>30930000</v>
      </c>
    </row>
    <row x14ac:dyDescent="0.25" r="36" customHeight="1" ht="24.75" customFormat="1" s="53">
      <c r="A36" s="54">
        <v>31</v>
      </c>
      <c r="B36" s="55" t="s">
        <v>71</v>
      </c>
      <c r="C36" s="56" t="s">
        <v>72</v>
      </c>
      <c r="D36" s="54">
        <v>100</v>
      </c>
      <c r="E36" s="57">
        <v>20600000</v>
      </c>
      <c r="F36" s="58">
        <v>820</v>
      </c>
      <c r="G36" s="59">
        <v>155160000</v>
      </c>
      <c r="H36" s="58">
        <v>257</v>
      </c>
      <c r="I36" s="58">
        <v>49712000</v>
      </c>
      <c r="J36" s="58">
        <v>110</v>
      </c>
      <c r="K36" s="59">
        <v>20630000</v>
      </c>
    </row>
    <row x14ac:dyDescent="0.25" r="37" customHeight="1" ht="24.75" customFormat="1" s="53">
      <c r="A37" s="54">
        <v>32</v>
      </c>
      <c r="B37" s="55" t="s">
        <v>73</v>
      </c>
      <c r="C37" s="56" t="s">
        <v>74</v>
      </c>
      <c r="D37" s="54">
        <v>845</v>
      </c>
      <c r="E37" s="57">
        <v>173332500</v>
      </c>
      <c r="F37" s="58">
        <v>2763</v>
      </c>
      <c r="G37" s="59">
        <v>553770500</v>
      </c>
      <c r="H37" s="58">
        <v>1301</v>
      </c>
      <c r="I37" s="58">
        <v>257165500</v>
      </c>
      <c r="J37" s="58">
        <v>393</v>
      </c>
      <c r="K37" s="59">
        <v>78369500</v>
      </c>
    </row>
    <row x14ac:dyDescent="0.25" r="38" customHeight="1" ht="24.75" customFormat="1" s="53">
      <c r="A38" s="54">
        <v>33</v>
      </c>
      <c r="B38" s="55" t="s">
        <v>75</v>
      </c>
      <c r="C38" s="56" t="s">
        <v>76</v>
      </c>
      <c r="D38" s="54">
        <v>86</v>
      </c>
      <c r="E38" s="57">
        <v>17113500</v>
      </c>
      <c r="F38" s="58">
        <v>565</v>
      </c>
      <c r="G38" s="59">
        <v>109475000</v>
      </c>
      <c r="H38" s="58">
        <v>160</v>
      </c>
      <c r="I38" s="58">
        <v>36560000</v>
      </c>
      <c r="J38" s="58">
        <v>235</v>
      </c>
      <c r="K38" s="59">
        <v>42760000</v>
      </c>
    </row>
    <row x14ac:dyDescent="0.25" r="39" customHeight="1" ht="24.75" customFormat="1" s="53">
      <c r="A39" s="54">
        <v>34</v>
      </c>
      <c r="B39" s="55" t="s">
        <v>77</v>
      </c>
      <c r="C39" s="56" t="s">
        <v>78</v>
      </c>
      <c r="D39" s="54">
        <v>60</v>
      </c>
      <c r="E39" s="57">
        <v>5514000</v>
      </c>
      <c r="F39" s="58">
        <v>353</v>
      </c>
      <c r="G39" s="59">
        <v>38974700</v>
      </c>
      <c r="H39" s="58">
        <v>20</v>
      </c>
      <c r="I39" s="58">
        <v>2570000</v>
      </c>
      <c r="J39" s="58">
        <v>0</v>
      </c>
      <c r="K39" s="59">
        <v>0</v>
      </c>
    </row>
    <row x14ac:dyDescent="0.25" r="40" customHeight="1" ht="24.75" customFormat="1" s="53">
      <c r="A40" s="54">
        <v>35</v>
      </c>
      <c r="B40" s="55" t="s">
        <v>79</v>
      </c>
      <c r="C40" s="56" t="s">
        <v>80</v>
      </c>
      <c r="D40" s="54">
        <v>135</v>
      </c>
      <c r="E40" s="57">
        <v>29718000</v>
      </c>
      <c r="F40" s="58">
        <v>283</v>
      </c>
      <c r="G40" s="59">
        <v>63065600</v>
      </c>
      <c r="H40" s="58">
        <v>70</v>
      </c>
      <c r="I40" s="58">
        <v>16174000</v>
      </c>
      <c r="J40" s="58">
        <v>60</v>
      </c>
      <c r="K40" s="59">
        <v>12058000</v>
      </c>
    </row>
    <row x14ac:dyDescent="0.25" r="41" customHeight="1" ht="24.75" customFormat="1" s="53">
      <c r="A41" s="54">
        <v>36</v>
      </c>
      <c r="B41" s="55" t="s">
        <v>81</v>
      </c>
      <c r="C41" s="56" t="s">
        <v>82</v>
      </c>
      <c r="D41" s="54">
        <v>315</v>
      </c>
      <c r="E41" s="57">
        <v>73935500</v>
      </c>
      <c r="F41" s="58">
        <v>997</v>
      </c>
      <c r="G41" s="59">
        <v>236950000</v>
      </c>
      <c r="H41" s="58">
        <v>862</v>
      </c>
      <c r="I41" s="58">
        <v>204683500</v>
      </c>
      <c r="J41" s="58">
        <v>320</v>
      </c>
      <c r="K41" s="59">
        <v>77850000</v>
      </c>
    </row>
    <row x14ac:dyDescent="0.25" r="42" customHeight="1" ht="24.75" customFormat="1" s="53">
      <c r="A42" s="54">
        <v>37</v>
      </c>
      <c r="B42" s="55" t="s">
        <v>83</v>
      </c>
      <c r="C42" s="56" t="s">
        <v>84</v>
      </c>
      <c r="D42" s="54">
        <v>70</v>
      </c>
      <c r="E42" s="57">
        <v>13916000</v>
      </c>
      <c r="F42" s="58">
        <v>166</v>
      </c>
      <c r="G42" s="59">
        <v>37109800</v>
      </c>
      <c r="H42" s="58">
        <v>112</v>
      </c>
      <c r="I42" s="58">
        <v>28840000</v>
      </c>
      <c r="J42" s="58">
        <v>60</v>
      </c>
      <c r="K42" s="59">
        <v>12515000</v>
      </c>
    </row>
    <row x14ac:dyDescent="0.25" r="43" customHeight="1" ht="24.75" customFormat="1" s="53">
      <c r="A43" s="54">
        <v>38</v>
      </c>
      <c r="B43" s="55" t="s">
        <v>85</v>
      </c>
      <c r="C43" s="56" t="s">
        <v>86</v>
      </c>
      <c r="D43" s="54">
        <v>100</v>
      </c>
      <c r="E43" s="57">
        <v>24455000</v>
      </c>
      <c r="F43" s="58">
        <v>130</v>
      </c>
      <c r="G43" s="59">
        <v>27313000</v>
      </c>
      <c r="H43" s="58">
        <v>12</v>
      </c>
      <c r="I43" s="58">
        <v>2521200</v>
      </c>
      <c r="J43" s="58">
        <v>30</v>
      </c>
      <c r="K43" s="59">
        <v>8370000</v>
      </c>
    </row>
    <row x14ac:dyDescent="0.25" r="44" customHeight="1" ht="24.75" customFormat="1" s="53">
      <c r="A44" s="54">
        <v>39</v>
      </c>
      <c r="B44" s="55" t="s">
        <v>87</v>
      </c>
      <c r="C44" s="56" t="s">
        <v>88</v>
      </c>
      <c r="D44" s="54">
        <v>33</v>
      </c>
      <c r="E44" s="57">
        <v>8563500</v>
      </c>
      <c r="F44" s="58">
        <v>159</v>
      </c>
      <c r="G44" s="59">
        <v>41260500</v>
      </c>
      <c r="H44" s="58">
        <v>21</v>
      </c>
      <c r="I44" s="58">
        <v>5449500</v>
      </c>
      <c r="J44" s="58">
        <v>0</v>
      </c>
      <c r="K44" s="59">
        <v>0</v>
      </c>
    </row>
    <row x14ac:dyDescent="0.25" r="45" customHeight="1" ht="24.75" customFormat="1" s="53">
      <c r="A45" s="54">
        <v>40</v>
      </c>
      <c r="B45" s="55" t="s">
        <v>89</v>
      </c>
      <c r="C45" s="56" t="s">
        <v>90</v>
      </c>
      <c r="D45" s="54">
        <v>235</v>
      </c>
      <c r="E45" s="57">
        <v>60464500</v>
      </c>
      <c r="F45" s="58">
        <v>520</v>
      </c>
      <c r="G45" s="59">
        <v>129655000</v>
      </c>
      <c r="H45" s="58">
        <v>248</v>
      </c>
      <c r="I45" s="58">
        <v>65588000</v>
      </c>
      <c r="J45" s="58">
        <v>160</v>
      </c>
      <c r="K45" s="59">
        <v>41050000</v>
      </c>
    </row>
    <row x14ac:dyDescent="0.25" r="46" customHeight="1" ht="24.75" customFormat="1" s="53">
      <c r="A46" s="54">
        <v>41</v>
      </c>
      <c r="B46" s="55" t="s">
        <v>91</v>
      </c>
      <c r="C46" s="56" t="s">
        <v>92</v>
      </c>
      <c r="D46" s="54">
        <v>91</v>
      </c>
      <c r="E46" s="57">
        <v>25662000</v>
      </c>
      <c r="F46" s="58">
        <v>108</v>
      </c>
      <c r="G46" s="59">
        <v>30456000</v>
      </c>
      <c r="H46" s="58">
        <v>82</v>
      </c>
      <c r="I46" s="58">
        <v>23124000</v>
      </c>
      <c r="J46" s="58">
        <v>20</v>
      </c>
      <c r="K46" s="59">
        <v>5640000</v>
      </c>
    </row>
    <row x14ac:dyDescent="0.25" r="47" customHeight="1" ht="24.75" customFormat="1" s="53">
      <c r="A47" s="54">
        <v>42</v>
      </c>
      <c r="B47" s="55" t="s">
        <v>93</v>
      </c>
      <c r="C47" s="56" t="s">
        <v>94</v>
      </c>
      <c r="D47" s="54">
        <v>15</v>
      </c>
      <c r="E47" s="57">
        <v>1369500</v>
      </c>
      <c r="F47" s="58">
        <v>1707</v>
      </c>
      <c r="G47" s="59">
        <v>193542000</v>
      </c>
      <c r="H47" s="58">
        <v>430</v>
      </c>
      <c r="I47" s="58">
        <v>49060000</v>
      </c>
      <c r="J47" s="58">
        <v>265</v>
      </c>
      <c r="K47" s="59">
        <v>29949500</v>
      </c>
    </row>
    <row x14ac:dyDescent="0.25" r="48" customHeight="1" ht="24.75" customFormat="1" s="53">
      <c r="A48" s="54">
        <v>43</v>
      </c>
      <c r="B48" s="55" t="s">
        <v>95</v>
      </c>
      <c r="C48" s="56" t="s">
        <v>96</v>
      </c>
      <c r="D48" s="54">
        <v>59</v>
      </c>
      <c r="E48" s="57">
        <v>21446500</v>
      </c>
      <c r="F48" s="58">
        <v>230</v>
      </c>
      <c r="G48" s="59">
        <v>79031000</v>
      </c>
      <c r="H48" s="58">
        <v>150</v>
      </c>
      <c r="I48" s="58">
        <v>54525000</v>
      </c>
      <c r="J48" s="58">
        <v>80</v>
      </c>
      <c r="K48" s="59">
        <v>25799000</v>
      </c>
    </row>
    <row x14ac:dyDescent="0.25" r="49" customHeight="1" ht="24.75" customFormat="1" s="53">
      <c r="A49" s="54">
        <v>44</v>
      </c>
      <c r="B49" s="55" t="s">
        <v>97</v>
      </c>
      <c r="C49" s="56" t="s">
        <v>98</v>
      </c>
      <c r="D49" s="54">
        <v>105</v>
      </c>
      <c r="E49" s="57">
        <v>31094000</v>
      </c>
      <c r="F49" s="58">
        <v>189</v>
      </c>
      <c r="G49" s="59">
        <v>55969200</v>
      </c>
      <c r="H49" s="58">
        <v>76</v>
      </c>
      <c r="I49" s="58">
        <v>25369800</v>
      </c>
      <c r="J49" s="58">
        <v>80</v>
      </c>
      <c r="K49" s="59">
        <v>22621000</v>
      </c>
    </row>
    <row x14ac:dyDescent="0.25" r="50" customHeight="1" ht="24.75" customFormat="1" s="53">
      <c r="A50" s="54">
        <v>45</v>
      </c>
      <c r="B50" s="55" t="s">
        <v>99</v>
      </c>
      <c r="C50" s="56" t="s">
        <v>100</v>
      </c>
      <c r="D50" s="54">
        <v>36</v>
      </c>
      <c r="E50" s="57">
        <v>7348000</v>
      </c>
      <c r="F50" s="58">
        <v>70</v>
      </c>
      <c r="G50" s="59">
        <v>14600000</v>
      </c>
      <c r="H50" s="58">
        <v>33</v>
      </c>
      <c r="I50" s="58">
        <v>6855000</v>
      </c>
      <c r="J50" s="58">
        <v>0</v>
      </c>
      <c r="K50" s="59">
        <v>0</v>
      </c>
    </row>
    <row x14ac:dyDescent="0.25" r="51" customHeight="1" ht="24.75" customFormat="1" s="53">
      <c r="A51" s="54">
        <v>46</v>
      </c>
      <c r="B51" s="55" t="s">
        <v>101</v>
      </c>
      <c r="C51" s="56" t="s">
        <v>102</v>
      </c>
      <c r="D51" s="54">
        <v>310</v>
      </c>
      <c r="E51" s="57">
        <v>5500000</v>
      </c>
      <c r="F51" s="58">
        <v>1600</v>
      </c>
      <c r="G51" s="59">
        <v>28040000</v>
      </c>
      <c r="H51" s="58">
        <v>160</v>
      </c>
      <c r="I51" s="58">
        <v>3140000</v>
      </c>
      <c r="J51" s="58">
        <v>300</v>
      </c>
      <c r="K51" s="59">
        <v>5700000</v>
      </c>
    </row>
    <row x14ac:dyDescent="0.25" r="52" customHeight="1" ht="24.75" customFormat="1" s="53">
      <c r="A52" s="54">
        <v>47</v>
      </c>
      <c r="B52" s="55" t="s">
        <v>103</v>
      </c>
      <c r="C52" s="56" t="s">
        <v>104</v>
      </c>
      <c r="D52" s="54">
        <v>0</v>
      </c>
      <c r="E52" s="57">
        <v>0</v>
      </c>
      <c r="F52" s="58">
        <v>80</v>
      </c>
      <c r="G52" s="59">
        <v>22120000</v>
      </c>
      <c r="H52" s="58">
        <v>26</v>
      </c>
      <c r="I52" s="58">
        <v>7405000</v>
      </c>
      <c r="J52" s="58">
        <v>0</v>
      </c>
      <c r="K52" s="59">
        <v>0</v>
      </c>
    </row>
    <row x14ac:dyDescent="0.25" r="53" customHeight="1" ht="24.75" customFormat="1" s="53">
      <c r="A53" s="54">
        <v>48</v>
      </c>
      <c r="B53" s="55" t="s">
        <v>105</v>
      </c>
      <c r="C53" s="56" t="s">
        <v>106</v>
      </c>
      <c r="D53" s="54">
        <v>24</v>
      </c>
      <c r="E53" s="57">
        <v>8063000</v>
      </c>
      <c r="F53" s="58">
        <v>230</v>
      </c>
      <c r="G53" s="59">
        <v>71935000</v>
      </c>
      <c r="H53" s="58">
        <v>48</v>
      </c>
      <c r="I53" s="58">
        <v>15557000</v>
      </c>
      <c r="J53" s="58">
        <v>35</v>
      </c>
      <c r="K53" s="59">
        <v>9950000</v>
      </c>
    </row>
    <row x14ac:dyDescent="0.25" r="54" customHeight="1" ht="24.75" customFormat="1" s="53">
      <c r="A54" s="54">
        <v>49</v>
      </c>
      <c r="B54" s="55" t="s">
        <v>107</v>
      </c>
      <c r="C54" s="56" t="s">
        <v>108</v>
      </c>
      <c r="D54" s="54">
        <v>0</v>
      </c>
      <c r="E54" s="57">
        <v>0</v>
      </c>
      <c r="F54" s="58">
        <v>60</v>
      </c>
      <c r="G54" s="59">
        <v>21234000</v>
      </c>
      <c r="H54" s="58">
        <v>10</v>
      </c>
      <c r="I54" s="58">
        <v>3539000</v>
      </c>
      <c r="J54" s="58">
        <v>0</v>
      </c>
      <c r="K54" s="59">
        <v>0</v>
      </c>
    </row>
    <row x14ac:dyDescent="0.25" r="55" customHeight="1" ht="24.75" customFormat="1" s="53">
      <c r="A55" s="54">
        <v>50</v>
      </c>
      <c r="B55" s="55" t="s">
        <v>109</v>
      </c>
      <c r="C55" s="56" t="s">
        <v>110</v>
      </c>
      <c r="D55" s="54">
        <v>640</v>
      </c>
      <c r="E55" s="57">
        <v>12100000</v>
      </c>
      <c r="F55" s="58">
        <v>3150</v>
      </c>
      <c r="G55" s="59">
        <v>58250000</v>
      </c>
      <c r="H55" s="58">
        <v>350</v>
      </c>
      <c r="I55" s="58">
        <v>6940000</v>
      </c>
      <c r="J55" s="58">
        <v>380</v>
      </c>
      <c r="K55" s="59">
        <v>7200000</v>
      </c>
    </row>
    <row x14ac:dyDescent="0.25" r="56" customHeight="1" ht="24.75" customFormat="1" s="53">
      <c r="A56" s="54">
        <v>51</v>
      </c>
      <c r="B56" s="55" t="s">
        <v>111</v>
      </c>
      <c r="C56" s="56" t="s">
        <v>112</v>
      </c>
      <c r="D56" s="54">
        <v>8</v>
      </c>
      <c r="E56" s="57">
        <v>1374000</v>
      </c>
      <c r="F56" s="58">
        <v>29</v>
      </c>
      <c r="G56" s="59">
        <v>5118500</v>
      </c>
      <c r="H56" s="58">
        <v>33</v>
      </c>
      <c r="I56" s="58">
        <v>5704500</v>
      </c>
      <c r="J56" s="58">
        <v>10</v>
      </c>
      <c r="K56" s="59">
        <v>1765000</v>
      </c>
    </row>
    <row x14ac:dyDescent="0.25" r="57" customHeight="1" ht="24.75" customFormat="1" s="53">
      <c r="A57" s="54">
        <v>52</v>
      </c>
      <c r="B57" s="55" t="s">
        <v>113</v>
      </c>
      <c r="C57" s="56" t="s">
        <v>114</v>
      </c>
      <c r="D57" s="54">
        <v>10</v>
      </c>
      <c r="E57" s="57">
        <v>2185000</v>
      </c>
      <c r="F57" s="58">
        <v>38</v>
      </c>
      <c r="G57" s="59">
        <v>7182000</v>
      </c>
      <c r="H57" s="58">
        <v>50</v>
      </c>
      <c r="I57" s="58">
        <v>10925000</v>
      </c>
      <c r="J57" s="58">
        <v>0</v>
      </c>
      <c r="K57" s="59">
        <v>0</v>
      </c>
    </row>
    <row x14ac:dyDescent="0.25" r="58" customHeight="1" ht="24.75" customFormat="1" s="53">
      <c r="A58" s="54">
        <v>53</v>
      </c>
      <c r="B58" s="55" t="s">
        <v>115</v>
      </c>
      <c r="C58" s="56" t="s">
        <v>116</v>
      </c>
      <c r="D58" s="54">
        <v>0</v>
      </c>
      <c r="E58" s="57">
        <v>0</v>
      </c>
      <c r="F58" s="58">
        <v>99</v>
      </c>
      <c r="G58" s="59">
        <v>23250000</v>
      </c>
      <c r="H58" s="58">
        <v>56</v>
      </c>
      <c r="I58" s="58">
        <v>13120000</v>
      </c>
      <c r="J58" s="58">
        <v>10</v>
      </c>
      <c r="K58" s="59">
        <v>2100000</v>
      </c>
    </row>
    <row x14ac:dyDescent="0.25" r="59" customHeight="1" ht="24.75" customFormat="1" s="53">
      <c r="A59" s="54">
        <v>54</v>
      </c>
      <c r="B59" s="55" t="s">
        <v>117</v>
      </c>
      <c r="C59" s="56" t="s">
        <v>118</v>
      </c>
      <c r="D59" s="54">
        <v>779</v>
      </c>
      <c r="E59" s="57">
        <v>40587500</v>
      </c>
      <c r="F59" s="58">
        <v>3829</v>
      </c>
      <c r="G59" s="59">
        <v>195614500</v>
      </c>
      <c r="H59" s="58">
        <v>1869</v>
      </c>
      <c r="I59" s="58">
        <v>96519500</v>
      </c>
      <c r="J59" s="58">
        <v>835</v>
      </c>
      <c r="K59" s="59">
        <v>40504000</v>
      </c>
    </row>
    <row x14ac:dyDescent="0.25" r="60" customHeight="1" ht="24.75" customFormat="1" s="53">
      <c r="A60" s="54">
        <v>55</v>
      </c>
      <c r="B60" s="55" t="s">
        <v>119</v>
      </c>
      <c r="C60" s="56" t="s">
        <v>120</v>
      </c>
      <c r="D60" s="54">
        <v>6</v>
      </c>
      <c r="E60" s="57">
        <v>630000</v>
      </c>
      <c r="F60" s="58">
        <v>90</v>
      </c>
      <c r="G60" s="59">
        <v>10485000</v>
      </c>
      <c r="H60" s="58">
        <v>30</v>
      </c>
      <c r="I60" s="58">
        <v>3495000</v>
      </c>
      <c r="J60" s="58">
        <v>20</v>
      </c>
      <c r="K60" s="59">
        <v>2100000</v>
      </c>
    </row>
    <row x14ac:dyDescent="0.25" r="61" customHeight="1" ht="24.75" customFormat="1" s="53">
      <c r="A61" s="54">
        <v>56</v>
      </c>
      <c r="B61" s="55" t="s">
        <v>121</v>
      </c>
      <c r="C61" s="56" t="s">
        <v>122</v>
      </c>
      <c r="D61" s="54">
        <v>0</v>
      </c>
      <c r="E61" s="57">
        <v>0</v>
      </c>
      <c r="F61" s="58">
        <v>122</v>
      </c>
      <c r="G61" s="59">
        <v>24055000</v>
      </c>
      <c r="H61" s="58">
        <v>28</v>
      </c>
      <c r="I61" s="58">
        <v>6356000</v>
      </c>
      <c r="J61" s="58">
        <v>50</v>
      </c>
      <c r="K61" s="59">
        <v>11539000</v>
      </c>
    </row>
    <row x14ac:dyDescent="0.25" r="62" customHeight="1" ht="24.75" customFormat="1" s="53">
      <c r="A62" s="54">
        <v>57</v>
      </c>
      <c r="B62" s="55" t="s">
        <v>123</v>
      </c>
      <c r="C62" s="56" t="s">
        <v>124</v>
      </c>
      <c r="D62" s="54">
        <v>0</v>
      </c>
      <c r="E62" s="57">
        <v>0</v>
      </c>
      <c r="F62" s="58">
        <v>0</v>
      </c>
      <c r="G62" s="59">
        <v>0</v>
      </c>
      <c r="H62" s="58">
        <v>0</v>
      </c>
      <c r="I62" s="58">
        <v>0</v>
      </c>
      <c r="J62" s="58">
        <v>0</v>
      </c>
      <c r="K62" s="59">
        <v>0</v>
      </c>
    </row>
    <row x14ac:dyDescent="0.25" r="63" customHeight="1" ht="24.75">
      <c r="A63" s="60" t="s">
        <v>125</v>
      </c>
      <c r="B63" s="61"/>
      <c r="C63" s="62"/>
      <c r="D63" s="44">
        <f>SUM(D6:D62)</f>
      </c>
      <c r="E63" s="63">
        <f>SUM(E6:E62)</f>
      </c>
      <c r="F63" s="64">
        <f>SUM(F6:F62)</f>
      </c>
      <c r="G63" s="64">
        <f>SUM(G6:G62)</f>
      </c>
      <c r="H63" s="64">
        <f>SUM(H6:H62)</f>
      </c>
      <c r="I63" s="64">
        <f>SUM(I6:I62)</f>
      </c>
      <c r="J63" s="64">
        <f>SUM(J6:J62)</f>
      </c>
      <c r="K63" s="64">
        <f>SUM(K6:K62)</f>
      </c>
    </row>
    <row x14ac:dyDescent="0.25" r="64" customHeight="1" ht="24.75">
      <c r="A64" s="1"/>
      <c r="B64" s="2"/>
      <c r="C64" s="3"/>
      <c r="D64" s="1"/>
      <c r="E64" s="1"/>
      <c r="F64" s="1"/>
      <c r="G64" s="1"/>
      <c r="H64" s="65"/>
      <c r="I64" s="66"/>
      <c r="J64" s="1"/>
      <c r="K64" s="1"/>
    </row>
    <row x14ac:dyDescent="0.25" r="65" customHeight="1" ht="18.75">
      <c r="A65" s="1"/>
      <c r="B65" s="2"/>
      <c r="C65" s="3"/>
      <c r="D65" s="1"/>
      <c r="E65" s="1"/>
      <c r="F65" s="1"/>
      <c r="G65" s="1"/>
      <c r="H65" s="1"/>
      <c r="I65" s="1"/>
      <c r="J65" s="1"/>
      <c r="K65" s="1"/>
    </row>
    <row x14ac:dyDescent="0.25" r="66" customHeight="1" ht="18.75">
      <c r="A66" s="1"/>
      <c r="B66" s="2"/>
      <c r="C66" s="3"/>
      <c r="D66" s="1"/>
      <c r="E66" s="1"/>
      <c r="F66" s="1"/>
      <c r="G66" s="1"/>
      <c r="H66" s="1"/>
      <c r="I66" s="1"/>
      <c r="J66" s="1"/>
      <c r="K66" s="1"/>
    </row>
    <row x14ac:dyDescent="0.25" r="67" customHeight="1" ht="24.75">
      <c r="A67" s="1"/>
      <c r="B67" s="2"/>
      <c r="C67" s="3"/>
      <c r="D67" s="1"/>
      <c r="E67" s="1"/>
      <c r="F67" s="1"/>
      <c r="G67" s="1"/>
      <c r="H67" s="67"/>
      <c r="I67" s="68"/>
      <c r="J67" s="1"/>
      <c r="K67" s="1"/>
    </row>
    <row x14ac:dyDescent="0.25" r="68" customHeight="1" ht="18.75">
      <c r="A68" s="1"/>
      <c r="B68" s="2"/>
      <c r="C68" s="3"/>
      <c r="D68" s="1"/>
      <c r="E68" s="1"/>
      <c r="F68" s="1"/>
      <c r="G68" s="1"/>
      <c r="H68" s="1"/>
      <c r="I68" s="1"/>
      <c r="J68" s="1"/>
      <c r="K68" s="1"/>
    </row>
    <row x14ac:dyDescent="0.25" r="69" customHeight="1" ht="24.75">
      <c r="A69" s="1"/>
      <c r="B69" s="2"/>
      <c r="C69" s="3"/>
      <c r="D69" s="1"/>
      <c r="E69" s="1"/>
      <c r="F69" s="1"/>
      <c r="G69" s="1"/>
      <c r="H69" s="67"/>
      <c r="I69" s="68"/>
      <c r="J69" s="1"/>
      <c r="K69" s="1"/>
    </row>
    <row x14ac:dyDescent="0.25" r="70" customHeight="1" ht="18.75">
      <c r="A70" s="1"/>
      <c r="B70" s="2"/>
      <c r="C70" s="3"/>
      <c r="D70" s="1"/>
      <c r="E70" s="1"/>
      <c r="F70" s="1"/>
      <c r="G70" s="1"/>
      <c r="H70" s="1"/>
      <c r="I70" s="1"/>
      <c r="J70" s="1"/>
      <c r="K70" s="1"/>
    </row>
    <row x14ac:dyDescent="0.25" r="71" customHeight="1" ht="24.75">
      <c r="A71" s="1"/>
      <c r="B71" s="2"/>
      <c r="C71" s="3"/>
      <c r="D71" s="1"/>
      <c r="E71" s="1"/>
      <c r="F71" s="1"/>
      <c r="G71" s="1"/>
      <c r="H71" s="69"/>
      <c r="I71" s="70"/>
      <c r="J71" s="1"/>
      <c r="K71" s="1"/>
    </row>
    <row x14ac:dyDescent="0.25" r="72" customHeight="1" ht="24.75">
      <c r="A72" s="1"/>
      <c r="B72" s="2"/>
      <c r="C72" s="3"/>
      <c r="D72" s="1"/>
      <c r="E72" s="1"/>
      <c r="F72" s="1"/>
      <c r="G72" s="1"/>
      <c r="H72" s="69"/>
      <c r="I72" s="70"/>
      <c r="J72" s="1"/>
      <c r="K72" s="1"/>
    </row>
    <row x14ac:dyDescent="0.25" r="73" customHeight="1" ht="24.75">
      <c r="A73" s="1"/>
      <c r="B73" s="2"/>
      <c r="C73" s="3"/>
      <c r="D73" s="1"/>
      <c r="E73" s="1"/>
      <c r="F73" s="1"/>
      <c r="G73" s="1"/>
      <c r="H73" s="69"/>
      <c r="I73" s="70"/>
      <c r="J73" s="1"/>
      <c r="K73" s="1"/>
    </row>
    <row x14ac:dyDescent="0.25" r="74" customHeight="1" ht="24.75">
      <c r="A74" s="1"/>
      <c r="B74" s="2"/>
      <c r="C74" s="3"/>
      <c r="D74" s="1"/>
      <c r="E74" s="1"/>
      <c r="F74" s="1"/>
      <c r="G74" s="1"/>
      <c r="H74" s="69"/>
      <c r="I74" s="70"/>
      <c r="J74" s="1"/>
      <c r="K74" s="1"/>
    </row>
    <row x14ac:dyDescent="0.25" r="75" customHeight="1" ht="24.75">
      <c r="A75" s="1"/>
      <c r="B75" s="2"/>
      <c r="C75" s="3"/>
      <c r="D75" s="1"/>
      <c r="E75" s="1"/>
      <c r="F75" s="1"/>
      <c r="G75" s="1"/>
      <c r="H75" s="69"/>
      <c r="I75" s="70"/>
      <c r="J75" s="1"/>
      <c r="K75" s="1"/>
    </row>
    <row x14ac:dyDescent="0.25" r="76" customHeight="1" ht="24.75">
      <c r="A76" s="1"/>
      <c r="B76" s="2"/>
      <c r="C76" s="3"/>
      <c r="D76" s="1"/>
      <c r="E76" s="1"/>
      <c r="F76" s="1"/>
      <c r="G76" s="1"/>
      <c r="H76" s="69"/>
      <c r="I76" s="70"/>
      <c r="J76" s="1"/>
      <c r="K76" s="1"/>
    </row>
    <row x14ac:dyDescent="0.25" r="77" customHeight="1" ht="24.75">
      <c r="A77" s="1"/>
      <c r="B77" s="2"/>
      <c r="C77" s="3"/>
      <c r="D77" s="1"/>
      <c r="E77" s="1"/>
      <c r="F77" s="1"/>
      <c r="G77" s="1"/>
      <c r="H77" s="69"/>
      <c r="I77" s="70"/>
      <c r="J77" s="1"/>
      <c r="K77" s="1"/>
    </row>
    <row x14ac:dyDescent="0.25" r="78" customHeight="1" ht="24.75">
      <c r="A78" s="1"/>
      <c r="B78" s="2"/>
      <c r="C78" s="3"/>
      <c r="D78" s="1"/>
      <c r="E78" s="1"/>
      <c r="F78" s="1"/>
      <c r="G78" s="1"/>
      <c r="H78" s="69"/>
      <c r="I78" s="70"/>
      <c r="J78" s="1"/>
      <c r="K78" s="1"/>
    </row>
    <row x14ac:dyDescent="0.25" r="79" customHeight="1" ht="24.75">
      <c r="A79" s="1"/>
      <c r="B79" s="2"/>
      <c r="C79" s="3"/>
      <c r="D79" s="1"/>
      <c r="E79" s="1"/>
      <c r="F79" s="1"/>
      <c r="G79" s="1"/>
      <c r="H79" s="69"/>
      <c r="I79" s="70"/>
      <c r="J79" s="1"/>
      <c r="K79" s="1"/>
    </row>
    <row x14ac:dyDescent="0.25" r="80" customHeight="1" ht="24.75">
      <c r="A80" s="1"/>
      <c r="B80" s="2"/>
      <c r="C80" s="3"/>
      <c r="D80" s="1"/>
      <c r="E80" s="1"/>
      <c r="F80" s="1"/>
      <c r="G80" s="1"/>
      <c r="H80" s="69"/>
      <c r="I80" s="70"/>
      <c r="J80" s="1"/>
      <c r="K80" s="1"/>
    </row>
    <row x14ac:dyDescent="0.25" r="81" customHeight="1" ht="24.75">
      <c r="A81" s="1"/>
      <c r="B81" s="2"/>
      <c r="C81" s="3"/>
      <c r="D81" s="1"/>
      <c r="E81" s="1"/>
      <c r="F81" s="1"/>
      <c r="G81" s="1"/>
      <c r="H81" s="69"/>
      <c r="I81" s="70"/>
      <c r="J81" s="1"/>
      <c r="K81" s="1"/>
    </row>
    <row x14ac:dyDescent="0.25" r="82" customHeight="1" ht="24.75">
      <c r="A82" s="1"/>
      <c r="B82" s="2"/>
      <c r="C82" s="3"/>
      <c r="D82" s="1"/>
      <c r="E82" s="1"/>
      <c r="F82" s="1"/>
      <c r="G82" s="1"/>
      <c r="H82" s="69"/>
      <c r="I82" s="70"/>
      <c r="J82" s="1"/>
      <c r="K82" s="1"/>
    </row>
    <row x14ac:dyDescent="0.25" r="83" customHeight="1" ht="24.75">
      <c r="A83" s="1"/>
      <c r="B83" s="2"/>
      <c r="C83" s="3"/>
      <c r="D83" s="1"/>
      <c r="E83" s="1"/>
      <c r="F83" s="1"/>
      <c r="G83" s="1"/>
      <c r="H83" s="69"/>
      <c r="I83" s="70"/>
      <c r="J83" s="1"/>
      <c r="K83" s="1"/>
    </row>
    <row x14ac:dyDescent="0.25" r="84" customHeight="1" ht="24.75">
      <c r="A84" s="1"/>
      <c r="B84" s="2"/>
      <c r="C84" s="3"/>
      <c r="D84" s="1"/>
      <c r="E84" s="1"/>
      <c r="F84" s="1"/>
      <c r="G84" s="1"/>
      <c r="H84" s="69"/>
      <c r="I84" s="70"/>
      <c r="J84" s="1"/>
      <c r="K84" s="1"/>
    </row>
    <row x14ac:dyDescent="0.25" r="85" customHeight="1" ht="24.75">
      <c r="A85" s="1"/>
      <c r="B85" s="2"/>
      <c r="C85" s="3"/>
      <c r="D85" s="1"/>
      <c r="E85" s="1"/>
      <c r="F85" s="1"/>
      <c r="G85" s="1"/>
      <c r="H85" s="69"/>
      <c r="I85" s="70"/>
      <c r="J85" s="1"/>
      <c r="K85" s="1"/>
    </row>
    <row x14ac:dyDescent="0.25" r="86" customHeight="1" ht="24.75">
      <c r="A86" s="1"/>
      <c r="B86" s="2"/>
      <c r="C86" s="3"/>
      <c r="D86" s="1"/>
      <c r="E86" s="1"/>
      <c r="F86" s="1"/>
      <c r="G86" s="1"/>
      <c r="H86" s="69"/>
      <c r="I86" s="70"/>
      <c r="J86" s="1"/>
      <c r="K86" s="1"/>
    </row>
    <row x14ac:dyDescent="0.25" r="87" customHeight="1" ht="24.75">
      <c r="A87" s="1"/>
      <c r="B87" s="2"/>
      <c r="C87" s="3"/>
      <c r="D87" s="1"/>
      <c r="E87" s="1"/>
      <c r="F87" s="1"/>
      <c r="G87" s="1"/>
      <c r="H87" s="69"/>
      <c r="I87" s="70"/>
      <c r="J87" s="1"/>
      <c r="K87" s="1"/>
    </row>
    <row x14ac:dyDescent="0.25" r="88" customHeight="1" ht="24.75">
      <c r="A88" s="1"/>
      <c r="B88" s="2"/>
      <c r="C88" s="3"/>
      <c r="D88" s="1"/>
      <c r="E88" s="1"/>
      <c r="F88" s="1"/>
      <c r="G88" s="1"/>
      <c r="H88" s="69"/>
      <c r="I88" s="70"/>
      <c r="J88" s="1"/>
      <c r="K88" s="1"/>
    </row>
    <row x14ac:dyDescent="0.25" r="89" customHeight="1" ht="24.75">
      <c r="A89" s="1"/>
      <c r="B89" s="2"/>
      <c r="C89" s="3"/>
      <c r="D89" s="1"/>
      <c r="E89" s="1"/>
      <c r="F89" s="1"/>
      <c r="G89" s="1"/>
      <c r="H89" s="69"/>
      <c r="I89" s="70"/>
      <c r="J89" s="1"/>
      <c r="K89" s="1"/>
    </row>
    <row x14ac:dyDescent="0.25" r="90" customHeight="1" ht="24.75">
      <c r="A90" s="1"/>
      <c r="B90" s="2"/>
      <c r="C90" s="3"/>
      <c r="D90" s="1"/>
      <c r="E90" s="1"/>
      <c r="F90" s="1"/>
      <c r="G90" s="1"/>
      <c r="H90" s="69"/>
      <c r="I90" s="70"/>
      <c r="J90" s="1"/>
      <c r="K90" s="1"/>
    </row>
    <row x14ac:dyDescent="0.25" r="91" customHeight="1" ht="24.75">
      <c r="A91" s="1"/>
      <c r="B91" s="2"/>
      <c r="C91" s="3"/>
      <c r="D91" s="1"/>
      <c r="E91" s="1"/>
      <c r="F91" s="1"/>
      <c r="G91" s="1"/>
      <c r="H91" s="69"/>
      <c r="I91" s="70"/>
      <c r="J91" s="1"/>
      <c r="K91" s="1"/>
    </row>
    <row x14ac:dyDescent="0.25" r="92" customHeight="1" ht="24.75">
      <c r="A92" s="1"/>
      <c r="B92" s="2"/>
      <c r="C92" s="3"/>
      <c r="D92" s="1"/>
      <c r="E92" s="1"/>
      <c r="F92" s="1"/>
      <c r="G92" s="1"/>
      <c r="H92" s="69"/>
      <c r="I92" s="70"/>
      <c r="J92" s="1"/>
      <c r="K92" s="1"/>
    </row>
    <row x14ac:dyDescent="0.25" r="93" customHeight="1" ht="24.75">
      <c r="A93" s="1"/>
      <c r="B93" s="2"/>
      <c r="C93" s="3"/>
      <c r="D93" s="1"/>
      <c r="E93" s="1"/>
      <c r="F93" s="1"/>
      <c r="G93" s="1"/>
      <c r="H93" s="69"/>
      <c r="I93" s="70"/>
      <c r="J93" s="1"/>
      <c r="K93" s="1"/>
    </row>
    <row x14ac:dyDescent="0.25" r="94" customHeight="1" ht="24.75">
      <c r="A94" s="1"/>
      <c r="B94" s="2"/>
      <c r="C94" s="3"/>
      <c r="D94" s="1"/>
      <c r="E94" s="1"/>
      <c r="F94" s="1"/>
      <c r="G94" s="1"/>
      <c r="H94" s="69"/>
      <c r="I94" s="70"/>
      <c r="J94" s="1"/>
      <c r="K94" s="1"/>
    </row>
    <row x14ac:dyDescent="0.25" r="95" customHeight="1" ht="24.75">
      <c r="A95" s="1"/>
      <c r="B95" s="2"/>
      <c r="C95" s="3"/>
      <c r="D95" s="1"/>
      <c r="E95" s="1"/>
      <c r="F95" s="1"/>
      <c r="G95" s="1"/>
      <c r="H95" s="69"/>
      <c r="I95" s="70"/>
      <c r="J95" s="1"/>
      <c r="K95" s="1"/>
    </row>
    <row x14ac:dyDescent="0.25" r="96" customHeight="1" ht="24.75">
      <c r="A96" s="1"/>
      <c r="B96" s="2"/>
      <c r="C96" s="3"/>
      <c r="D96" s="1"/>
      <c r="E96" s="1"/>
      <c r="F96" s="1"/>
      <c r="G96" s="1"/>
      <c r="H96" s="69"/>
      <c r="I96" s="70"/>
      <c r="J96" s="1"/>
      <c r="K96" s="1"/>
    </row>
    <row x14ac:dyDescent="0.25" r="97" customHeight="1" ht="24.75">
      <c r="A97" s="1"/>
      <c r="B97" s="2"/>
      <c r="C97" s="3"/>
      <c r="D97" s="1"/>
      <c r="E97" s="1"/>
      <c r="F97" s="1"/>
      <c r="G97" s="1"/>
      <c r="H97" s="69"/>
      <c r="I97" s="70"/>
      <c r="J97" s="1"/>
      <c r="K97" s="1"/>
    </row>
    <row x14ac:dyDescent="0.25" r="98" customHeight="1" ht="24.75">
      <c r="A98" s="1"/>
      <c r="B98" s="2"/>
      <c r="C98" s="3"/>
      <c r="D98" s="1"/>
      <c r="E98" s="1"/>
      <c r="F98" s="1"/>
      <c r="G98" s="1"/>
      <c r="H98" s="69"/>
      <c r="I98" s="70"/>
      <c r="J98" s="1"/>
      <c r="K98" s="1"/>
    </row>
    <row x14ac:dyDescent="0.25" r="99" customHeight="1" ht="24.75">
      <c r="A99" s="1"/>
      <c r="B99" s="2"/>
      <c r="C99" s="3"/>
      <c r="D99" s="1"/>
      <c r="E99" s="1"/>
      <c r="F99" s="1"/>
      <c r="G99" s="1"/>
      <c r="H99" s="69"/>
      <c r="I99" s="70"/>
      <c r="J99" s="1"/>
      <c r="K99" s="1"/>
    </row>
    <row x14ac:dyDescent="0.25" r="100" customHeight="1" ht="24.75">
      <c r="A100" s="1"/>
      <c r="B100" s="2"/>
      <c r="C100" s="3"/>
      <c r="D100" s="1"/>
      <c r="E100" s="1"/>
      <c r="F100" s="1"/>
      <c r="G100" s="1"/>
      <c r="H100" s="69"/>
      <c r="I100" s="70"/>
      <c r="J100" s="1"/>
      <c r="K100" s="1"/>
    </row>
    <row x14ac:dyDescent="0.25" r="101" customHeight="1" ht="24.75">
      <c r="A101" s="1"/>
      <c r="B101" s="2"/>
      <c r="C101" s="3"/>
      <c r="D101" s="1"/>
      <c r="E101" s="1"/>
      <c r="F101" s="1"/>
      <c r="G101" s="1"/>
      <c r="H101" s="69"/>
      <c r="I101" s="70"/>
      <c r="J101" s="1"/>
      <c r="K101" s="1"/>
    </row>
    <row x14ac:dyDescent="0.25" r="102" customHeight="1" ht="24.75">
      <c r="A102" s="1"/>
      <c r="B102" s="2"/>
      <c r="C102" s="3"/>
      <c r="D102" s="1"/>
      <c r="E102" s="1"/>
      <c r="F102" s="1"/>
      <c r="G102" s="1"/>
      <c r="H102" s="69"/>
      <c r="I102" s="70"/>
      <c r="J102" s="1"/>
      <c r="K102" s="1"/>
    </row>
    <row x14ac:dyDescent="0.25" r="103" customHeight="1" ht="24.75">
      <c r="A103" s="1"/>
      <c r="B103" s="2"/>
      <c r="C103" s="3"/>
      <c r="D103" s="1"/>
      <c r="E103" s="1"/>
      <c r="F103" s="1"/>
      <c r="G103" s="1"/>
      <c r="H103" s="69"/>
      <c r="I103" s="70"/>
      <c r="J103" s="1"/>
      <c r="K103" s="1"/>
    </row>
    <row x14ac:dyDescent="0.25" r="104" customHeight="1" ht="24.75">
      <c r="A104" s="1"/>
      <c r="B104" s="2"/>
      <c r="C104" s="3"/>
      <c r="D104" s="1"/>
      <c r="E104" s="1"/>
      <c r="F104" s="1"/>
      <c r="G104" s="1"/>
      <c r="H104" s="69"/>
      <c r="I104" s="70"/>
      <c r="J104" s="1"/>
      <c r="K104" s="1"/>
    </row>
    <row x14ac:dyDescent="0.25" r="105" customHeight="1" ht="24.75">
      <c r="A105" s="1"/>
      <c r="B105" s="2"/>
      <c r="C105" s="3"/>
      <c r="D105" s="1"/>
      <c r="E105" s="1"/>
      <c r="F105" s="1"/>
      <c r="G105" s="1"/>
      <c r="H105" s="69"/>
      <c r="I105" s="70"/>
      <c r="J105" s="1"/>
      <c r="K105" s="1"/>
    </row>
    <row x14ac:dyDescent="0.25" r="106" customHeight="1" ht="24.75">
      <c r="A106" s="1"/>
      <c r="B106" s="2"/>
      <c r="C106" s="3"/>
      <c r="D106" s="1"/>
      <c r="E106" s="1"/>
      <c r="F106" s="1"/>
      <c r="G106" s="1"/>
      <c r="H106" s="69"/>
      <c r="I106" s="70"/>
      <c r="J106" s="1"/>
      <c r="K106" s="1"/>
    </row>
    <row x14ac:dyDescent="0.25" r="107" customHeight="1" ht="24.75">
      <c r="A107" s="1"/>
      <c r="B107" s="2"/>
      <c r="C107" s="3"/>
      <c r="D107" s="1"/>
      <c r="E107" s="1"/>
      <c r="F107" s="1"/>
      <c r="G107" s="1"/>
      <c r="H107" s="69"/>
      <c r="I107" s="70"/>
      <c r="J107" s="1"/>
      <c r="K107" s="1"/>
    </row>
    <row x14ac:dyDescent="0.25" r="108" customHeight="1" ht="24.75">
      <c r="A108" s="1"/>
      <c r="B108" s="2"/>
      <c r="C108" s="3"/>
      <c r="D108" s="1"/>
      <c r="E108" s="1"/>
      <c r="F108" s="1"/>
      <c r="G108" s="1"/>
      <c r="H108" s="69"/>
      <c r="I108" s="70"/>
      <c r="J108" s="1"/>
      <c r="K108" s="1"/>
    </row>
    <row x14ac:dyDescent="0.25" r="109" customHeight="1" ht="24.75">
      <c r="A109" s="1"/>
      <c r="B109" s="2"/>
      <c r="C109" s="3"/>
      <c r="D109" s="1"/>
      <c r="E109" s="1"/>
      <c r="F109" s="1"/>
      <c r="G109" s="1"/>
      <c r="H109" s="69"/>
      <c r="I109" s="70"/>
      <c r="J109" s="1"/>
      <c r="K109" s="1"/>
    </row>
    <row x14ac:dyDescent="0.25" r="110" customHeight="1" ht="24.75">
      <c r="A110" s="1"/>
      <c r="B110" s="2"/>
      <c r="C110" s="3"/>
      <c r="D110" s="1"/>
      <c r="E110" s="1"/>
      <c r="F110" s="1"/>
      <c r="G110" s="1"/>
      <c r="H110" s="69"/>
      <c r="I110" s="70"/>
      <c r="J110" s="1"/>
      <c r="K110" s="1"/>
    </row>
    <row x14ac:dyDescent="0.25" r="111" customHeight="1" ht="24.75">
      <c r="A111" s="1"/>
      <c r="B111" s="2"/>
      <c r="C111" s="3"/>
      <c r="D111" s="1"/>
      <c r="E111" s="1"/>
      <c r="F111" s="1"/>
      <c r="G111" s="1"/>
      <c r="H111" s="69"/>
      <c r="I111" s="70"/>
      <c r="J111" s="1"/>
      <c r="K111" s="1"/>
    </row>
    <row x14ac:dyDescent="0.25" r="112" customHeight="1" ht="24.75">
      <c r="A112" s="1"/>
      <c r="B112" s="2"/>
      <c r="C112" s="3"/>
      <c r="D112" s="1"/>
      <c r="E112" s="1"/>
      <c r="F112" s="1"/>
      <c r="G112" s="1"/>
      <c r="H112" s="69"/>
      <c r="I112" s="70"/>
      <c r="J112" s="1"/>
      <c r="K112" s="1"/>
    </row>
    <row x14ac:dyDescent="0.25" r="113" customHeight="1" ht="24.75">
      <c r="A113" s="1"/>
      <c r="B113" s="2"/>
      <c r="C113" s="3"/>
      <c r="D113" s="1"/>
      <c r="E113" s="1"/>
      <c r="F113" s="1"/>
      <c r="G113" s="1"/>
      <c r="H113" s="69"/>
      <c r="I113" s="70"/>
      <c r="J113" s="1"/>
      <c r="K113" s="1"/>
    </row>
    <row x14ac:dyDescent="0.25" r="114" customHeight="1" ht="24.75">
      <c r="A114" s="1"/>
      <c r="B114" s="2"/>
      <c r="C114" s="3"/>
      <c r="D114" s="1"/>
      <c r="E114" s="1"/>
      <c r="F114" s="1"/>
      <c r="G114" s="1"/>
      <c r="H114" s="69"/>
      <c r="I114" s="70"/>
      <c r="J114" s="1"/>
      <c r="K114" s="1"/>
    </row>
    <row x14ac:dyDescent="0.25" r="115" customHeight="1" ht="24.75">
      <c r="A115" s="1"/>
      <c r="B115" s="2"/>
      <c r="C115" s="3"/>
      <c r="D115" s="1"/>
      <c r="E115" s="1"/>
      <c r="F115" s="1"/>
      <c r="G115" s="1"/>
      <c r="H115" s="69"/>
      <c r="I115" s="70"/>
      <c r="J115" s="1"/>
      <c r="K115" s="1"/>
    </row>
    <row x14ac:dyDescent="0.25" r="116" customHeight="1" ht="24.75">
      <c r="A116" s="1"/>
      <c r="B116" s="2"/>
      <c r="C116" s="3"/>
      <c r="D116" s="1"/>
      <c r="E116" s="1"/>
      <c r="F116" s="1"/>
      <c r="G116" s="1"/>
      <c r="H116" s="69"/>
      <c r="I116" s="70"/>
      <c r="J116" s="1"/>
      <c r="K116" s="1"/>
    </row>
    <row x14ac:dyDescent="0.25" r="117" customHeight="1" ht="24.75">
      <c r="A117" s="1"/>
      <c r="B117" s="2"/>
      <c r="C117" s="3"/>
      <c r="D117" s="1"/>
      <c r="E117" s="1"/>
      <c r="F117" s="1"/>
      <c r="G117" s="1"/>
      <c r="H117" s="69"/>
      <c r="I117" s="70"/>
      <c r="J117" s="1"/>
      <c r="K117" s="1"/>
    </row>
    <row x14ac:dyDescent="0.25" r="118" customHeight="1" ht="24.75">
      <c r="A118" s="1"/>
      <c r="B118" s="2"/>
      <c r="C118" s="3"/>
      <c r="D118" s="1"/>
      <c r="E118" s="1"/>
      <c r="F118" s="1"/>
      <c r="G118" s="1"/>
      <c r="H118" s="69"/>
      <c r="I118" s="70"/>
      <c r="J118" s="1"/>
      <c r="K118" s="1"/>
    </row>
    <row x14ac:dyDescent="0.25" r="119" customHeight="1" ht="24.75">
      <c r="A119" s="1"/>
      <c r="B119" s="2"/>
      <c r="C119" s="3"/>
      <c r="D119" s="1"/>
      <c r="E119" s="1"/>
      <c r="F119" s="1"/>
      <c r="G119" s="1"/>
      <c r="H119" s="69"/>
      <c r="I119" s="70"/>
      <c r="J119" s="1"/>
      <c r="K119" s="1"/>
    </row>
    <row x14ac:dyDescent="0.25" r="120" customHeight="1" ht="24.75">
      <c r="A120" s="1"/>
      <c r="B120" s="2"/>
      <c r="C120" s="3"/>
      <c r="D120" s="1"/>
      <c r="E120" s="1"/>
      <c r="F120" s="1"/>
      <c r="G120" s="1"/>
      <c r="H120" s="69"/>
      <c r="I120" s="70"/>
      <c r="J120" s="1"/>
      <c r="K120" s="1"/>
    </row>
    <row x14ac:dyDescent="0.25" r="121" customHeight="1" ht="24.75">
      <c r="A121" s="1"/>
      <c r="B121" s="2"/>
      <c r="C121" s="3"/>
      <c r="D121" s="1"/>
      <c r="E121" s="1"/>
      <c r="F121" s="1"/>
      <c r="G121" s="1"/>
      <c r="H121" s="69"/>
      <c r="I121" s="70"/>
      <c r="J121" s="1"/>
      <c r="K121" s="1"/>
    </row>
    <row x14ac:dyDescent="0.25" r="122" customHeight="1" ht="24.75">
      <c r="A122" s="1"/>
      <c r="B122" s="2"/>
      <c r="C122" s="3"/>
      <c r="D122" s="1"/>
      <c r="E122" s="1"/>
      <c r="F122" s="1"/>
      <c r="G122" s="1"/>
      <c r="H122" s="69"/>
      <c r="I122" s="70"/>
      <c r="J122" s="1"/>
      <c r="K122" s="1"/>
    </row>
    <row x14ac:dyDescent="0.25" r="123" customHeight="1" ht="24.75">
      <c r="A123" s="1"/>
      <c r="B123" s="2"/>
      <c r="C123" s="3"/>
      <c r="D123" s="1"/>
      <c r="E123" s="1"/>
      <c r="F123" s="1"/>
      <c r="G123" s="1"/>
      <c r="H123" s="69"/>
      <c r="I123" s="70"/>
      <c r="J123" s="1"/>
      <c r="K123" s="1"/>
    </row>
    <row x14ac:dyDescent="0.25" r="124" customHeight="1" ht="24.75">
      <c r="A124" s="1"/>
      <c r="B124" s="2"/>
      <c r="C124" s="3"/>
      <c r="D124" s="1"/>
      <c r="E124" s="1"/>
      <c r="F124" s="1"/>
      <c r="G124" s="1"/>
      <c r="H124" s="69"/>
      <c r="I124" s="70"/>
      <c r="J124" s="1"/>
      <c r="K124" s="1"/>
    </row>
    <row x14ac:dyDescent="0.25" r="125" customHeight="1" ht="24.75">
      <c r="A125" s="1"/>
      <c r="B125" s="2"/>
      <c r="C125" s="3"/>
      <c r="D125" s="1"/>
      <c r="E125" s="1"/>
      <c r="F125" s="1"/>
      <c r="G125" s="1"/>
      <c r="H125" s="69"/>
      <c r="I125" s="70"/>
      <c r="J125" s="1"/>
      <c r="K125" s="1"/>
    </row>
  </sheetData>
  <mergeCells count="10">
    <mergeCell ref="A2:K2"/>
    <mergeCell ref="I3:K3"/>
    <mergeCell ref="A4:A5"/>
    <mergeCell ref="B4:B5"/>
    <mergeCell ref="C4:C5"/>
    <mergeCell ref="D4:E4"/>
    <mergeCell ref="F4:G4"/>
    <mergeCell ref="H4:I4"/>
    <mergeCell ref="J4:K4"/>
    <mergeCell ref="A63:C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11"/>
  <sheetViews>
    <sheetView workbookViewId="0" tabSelected="1"/>
  </sheetViews>
  <sheetFormatPr defaultRowHeight="15" x14ac:dyDescent="0.25"/>
  <cols>
    <col min="1" max="1" style="31" width="4.862142857142857" customWidth="1" bestFit="1"/>
    <col min="2" max="2" style="32" width="7.862142857142857" customWidth="1" bestFit="1"/>
    <col min="3" max="3" style="33" width="40.57642857142857" customWidth="1" bestFit="1"/>
    <col min="4" max="4" style="31" width="11.43357142857143" customWidth="1" bestFit="1"/>
    <col min="5" max="5" style="31" width="14.147857142857141" customWidth="1" bestFit="1"/>
    <col min="6" max="6" style="31" width="9.576428571428572" customWidth="1" bestFit="1"/>
    <col min="7" max="7" style="31" width="14.147857142857141" customWidth="1" bestFit="1"/>
    <col min="8" max="8" style="31" width="11.147857142857141" customWidth="1" bestFit="1"/>
    <col min="9" max="9" style="31" width="14.147857142857141" customWidth="1" bestFit="1"/>
    <col min="10" max="10" style="31" width="8.005" customWidth="1" bestFit="1"/>
    <col min="11" max="11" style="31" width="14.147857142857141" customWidth="1" bestFit="1"/>
  </cols>
  <sheetData>
    <row x14ac:dyDescent="0.25" r="1" customHeight="1" ht="18.75">
      <c r="A1" s="1"/>
      <c r="B1" s="2"/>
      <c r="C1" s="3"/>
      <c r="D1" s="1"/>
      <c r="E1" s="1"/>
      <c r="F1" s="1"/>
      <c r="G1" s="1"/>
      <c r="H1" s="1"/>
      <c r="I1" s="1"/>
      <c r="J1" s="1"/>
      <c r="K1" s="1"/>
    </row>
    <row x14ac:dyDescent="0.25" r="2" customHeight="1" ht="18.75">
      <c r="A2" s="4" t="s">
        <v>0</v>
      </c>
      <c r="B2" s="5"/>
      <c r="C2" s="6"/>
      <c r="D2" s="4"/>
      <c r="E2" s="4"/>
      <c r="F2" s="4"/>
      <c r="G2" s="4"/>
      <c r="H2" s="4"/>
      <c r="I2" s="4"/>
      <c r="J2" s="4"/>
      <c r="K2" s="4"/>
    </row>
    <row x14ac:dyDescent="0.25" r="3" customHeight="1" ht="18.75">
      <c r="A3" s="4"/>
      <c r="B3" s="5"/>
      <c r="C3" s="6"/>
      <c r="D3" s="4"/>
      <c r="E3" s="4"/>
      <c r="F3" s="4"/>
      <c r="G3" s="4"/>
      <c r="H3" s="4"/>
      <c r="I3" s="7" t="s">
        <v>1</v>
      </c>
      <c r="J3" s="7"/>
      <c r="K3" s="7"/>
    </row>
    <row x14ac:dyDescent="0.25" r="4" customHeight="1" ht="18.75">
      <c r="A4" s="8" t="s">
        <v>2</v>
      </c>
      <c r="B4" s="9" t="s">
        <v>3</v>
      </c>
      <c r="C4" s="10" t="s">
        <v>4</v>
      </c>
      <c r="D4" s="11" t="s">
        <v>5</v>
      </c>
      <c r="E4" s="12"/>
      <c r="F4" s="12" t="s">
        <v>6</v>
      </c>
      <c r="G4" s="12"/>
      <c r="H4" s="12" t="s">
        <v>7</v>
      </c>
      <c r="I4" s="12"/>
      <c r="J4" s="13" t="s">
        <v>8</v>
      </c>
      <c r="K4" s="11"/>
    </row>
    <row x14ac:dyDescent="0.25" r="5" customHeight="1" ht="18.75">
      <c r="A5" s="12"/>
      <c r="B5" s="14"/>
      <c r="C5" s="15"/>
      <c r="D5" s="11" t="s">
        <v>9</v>
      </c>
      <c r="E5" s="14" t="s">
        <v>10</v>
      </c>
      <c r="F5" s="12" t="s">
        <v>9</v>
      </c>
      <c r="G5" s="14" t="s">
        <v>10</v>
      </c>
      <c r="H5" s="12" t="s">
        <v>9</v>
      </c>
      <c r="I5" s="14" t="s">
        <v>10</v>
      </c>
      <c r="J5" s="12" t="s">
        <v>9</v>
      </c>
      <c r="K5" s="14" t="s">
        <v>10</v>
      </c>
    </row>
    <row x14ac:dyDescent="0.25" r="6" customHeight="1" ht="18.75">
      <c r="A6" s="16">
        <v>1</v>
      </c>
      <c r="B6" s="17" t="s">
        <v>11</v>
      </c>
      <c r="C6" s="18" t="s">
        <v>12</v>
      </c>
      <c r="D6" s="16">
        <v>150</v>
      </c>
      <c r="E6" s="19">
        <v>7875000</v>
      </c>
      <c r="F6" s="16">
        <v>700</v>
      </c>
      <c r="G6" s="20">
        <v>36750000</v>
      </c>
      <c r="H6" s="16">
        <v>250</v>
      </c>
      <c r="I6" s="19">
        <v>13125000</v>
      </c>
      <c r="J6" s="16">
        <v>250</v>
      </c>
      <c r="K6" s="16">
        <v>13125000</v>
      </c>
    </row>
    <row x14ac:dyDescent="0.25" r="7" customHeight="1" ht="18.75">
      <c r="A7" s="16">
        <v>2</v>
      </c>
      <c r="B7" s="17" t="s">
        <v>13</v>
      </c>
      <c r="C7" s="18" t="s">
        <v>14</v>
      </c>
      <c r="D7" s="16">
        <v>2983</v>
      </c>
      <c r="E7" s="19">
        <v>158099000</v>
      </c>
      <c r="F7" s="16">
        <v>7657</v>
      </c>
      <c r="G7" s="20">
        <v>405821000</v>
      </c>
      <c r="H7" s="16">
        <v>1901</v>
      </c>
      <c r="I7" s="19">
        <v>100753000</v>
      </c>
      <c r="J7" s="16">
        <v>2580</v>
      </c>
      <c r="K7" s="16">
        <v>136740000</v>
      </c>
    </row>
    <row x14ac:dyDescent="0.25" r="8" customHeight="1" ht="18.75">
      <c r="A8" s="16">
        <v>3</v>
      </c>
      <c r="B8" s="17" t="s">
        <v>15</v>
      </c>
      <c r="C8" s="18" t="s">
        <v>16</v>
      </c>
      <c r="D8" s="16">
        <v>1178</v>
      </c>
      <c r="E8" s="19">
        <v>73625000</v>
      </c>
      <c r="F8" s="16">
        <v>5302</v>
      </c>
      <c r="G8" s="20">
        <v>331375000</v>
      </c>
      <c r="H8" s="16">
        <v>940</v>
      </c>
      <c r="I8" s="19">
        <v>58750000</v>
      </c>
      <c r="J8" s="16">
        <v>1741</v>
      </c>
      <c r="K8" s="16">
        <v>108812500</v>
      </c>
    </row>
    <row x14ac:dyDescent="0.25" r="9" customHeight="1" ht="18.75">
      <c r="A9" s="16">
        <v>4</v>
      </c>
      <c r="B9" s="17" t="s">
        <v>17</v>
      </c>
      <c r="C9" s="18" t="s">
        <v>18</v>
      </c>
      <c r="D9" s="16">
        <v>90</v>
      </c>
      <c r="E9" s="19">
        <v>8145000</v>
      </c>
      <c r="F9" s="16">
        <v>410</v>
      </c>
      <c r="G9" s="20">
        <v>37105000</v>
      </c>
      <c r="H9" s="16">
        <v>80</v>
      </c>
      <c r="I9" s="19">
        <v>7240000</v>
      </c>
      <c r="J9" s="16">
        <v>20</v>
      </c>
      <c r="K9" s="16">
        <v>1810000</v>
      </c>
    </row>
    <row x14ac:dyDescent="0.25" r="10" customHeight="1" ht="18.75">
      <c r="A10" s="16">
        <v>5</v>
      </c>
      <c r="B10" s="17" t="s">
        <v>19</v>
      </c>
      <c r="C10" s="18" t="s">
        <v>20</v>
      </c>
      <c r="D10" s="16">
        <v>171</v>
      </c>
      <c r="E10" s="19">
        <v>10944000</v>
      </c>
      <c r="F10" s="16">
        <v>500</v>
      </c>
      <c r="G10" s="20">
        <v>32000000</v>
      </c>
      <c r="H10" s="16">
        <v>200</v>
      </c>
      <c r="I10" s="19">
        <v>12800000</v>
      </c>
      <c r="J10" s="16">
        <v>30</v>
      </c>
      <c r="K10" s="16">
        <v>1920000</v>
      </c>
    </row>
    <row x14ac:dyDescent="0.25" r="11" customHeight="1" ht="18.75">
      <c r="A11" s="16">
        <v>6</v>
      </c>
      <c r="B11" s="17" t="s">
        <v>21</v>
      </c>
      <c r="C11" s="18" t="s">
        <v>22</v>
      </c>
      <c r="D11" s="16">
        <v>511</v>
      </c>
      <c r="E11" s="19">
        <v>32959500</v>
      </c>
      <c r="F11" s="16">
        <v>1850</v>
      </c>
      <c r="G11" s="20">
        <v>119325000</v>
      </c>
      <c r="H11" s="16">
        <v>750</v>
      </c>
      <c r="I11" s="19">
        <v>48375000</v>
      </c>
      <c r="J11" s="16">
        <v>250</v>
      </c>
      <c r="K11" s="16">
        <v>16125000</v>
      </c>
    </row>
    <row x14ac:dyDescent="0.25" r="12" customHeight="1" ht="18.75">
      <c r="A12" s="16">
        <v>7</v>
      </c>
      <c r="B12" s="17" t="s">
        <v>23</v>
      </c>
      <c r="C12" s="18" t="s">
        <v>24</v>
      </c>
      <c r="D12" s="16">
        <v>24</v>
      </c>
      <c r="E12" s="19">
        <v>1644000</v>
      </c>
      <c r="F12" s="16">
        <v>252</v>
      </c>
      <c r="G12" s="20">
        <v>17221000</v>
      </c>
      <c r="H12" s="16">
        <v>0</v>
      </c>
      <c r="I12" s="19">
        <v>0</v>
      </c>
      <c r="J12" s="16">
        <v>0</v>
      </c>
      <c r="K12" s="16">
        <v>0</v>
      </c>
    </row>
    <row x14ac:dyDescent="0.25" r="13" customHeight="1" ht="18.75">
      <c r="A13" s="16">
        <v>8</v>
      </c>
      <c r="B13" s="17" t="s">
        <v>25</v>
      </c>
      <c r="C13" s="18" t="s">
        <v>26</v>
      </c>
      <c r="D13" s="16">
        <v>221</v>
      </c>
      <c r="E13" s="19">
        <v>16022500</v>
      </c>
      <c r="F13" s="16">
        <v>400</v>
      </c>
      <c r="G13" s="20">
        <v>29000000</v>
      </c>
      <c r="H13" s="16">
        <v>138</v>
      </c>
      <c r="I13" s="19">
        <v>10005000</v>
      </c>
      <c r="J13" s="16">
        <v>0</v>
      </c>
      <c r="K13" s="16">
        <v>0</v>
      </c>
    </row>
    <row x14ac:dyDescent="0.25" r="14" customHeight="1" ht="18.75">
      <c r="A14" s="16">
        <v>9</v>
      </c>
      <c r="B14" s="17" t="s">
        <v>27</v>
      </c>
      <c r="C14" s="18" t="s">
        <v>28</v>
      </c>
      <c r="D14" s="16">
        <v>360</v>
      </c>
      <c r="E14" s="19">
        <v>27540000</v>
      </c>
      <c r="F14" s="16">
        <v>903</v>
      </c>
      <c r="G14" s="20">
        <v>69003000</v>
      </c>
      <c r="H14" s="16">
        <v>250</v>
      </c>
      <c r="I14" s="19">
        <v>19125000</v>
      </c>
      <c r="J14" s="16">
        <v>50</v>
      </c>
      <c r="K14" s="16">
        <v>3825000</v>
      </c>
    </row>
    <row x14ac:dyDescent="0.25" r="15" customHeight="1" ht="18.75">
      <c r="A15" s="16">
        <v>10</v>
      </c>
      <c r="B15" s="17" t="s">
        <v>29</v>
      </c>
      <c r="C15" s="18" t="s">
        <v>30</v>
      </c>
      <c r="D15" s="16">
        <v>250</v>
      </c>
      <c r="E15" s="19">
        <v>19750000</v>
      </c>
      <c r="F15" s="16">
        <v>850</v>
      </c>
      <c r="G15" s="20">
        <v>67150000</v>
      </c>
      <c r="H15" s="16">
        <v>179</v>
      </c>
      <c r="I15" s="19">
        <v>14141000</v>
      </c>
      <c r="J15" s="16">
        <v>100</v>
      </c>
      <c r="K15" s="16">
        <v>7900000</v>
      </c>
    </row>
    <row x14ac:dyDescent="0.25" r="16" customHeight="1" ht="18.75">
      <c r="A16" s="16">
        <v>11</v>
      </c>
      <c r="B16" s="17" t="s">
        <v>31</v>
      </c>
      <c r="C16" s="18" t="s">
        <v>32</v>
      </c>
      <c r="D16" s="16">
        <v>1000</v>
      </c>
      <c r="E16" s="19">
        <v>79500000</v>
      </c>
      <c r="F16" s="16">
        <v>2753</v>
      </c>
      <c r="G16" s="20">
        <v>218787000</v>
      </c>
      <c r="H16" s="16">
        <v>480</v>
      </c>
      <c r="I16" s="19">
        <v>38160000</v>
      </c>
      <c r="J16" s="16">
        <v>141</v>
      </c>
      <c r="K16" s="16">
        <v>11209500</v>
      </c>
    </row>
    <row x14ac:dyDescent="0.25" r="17" customHeight="1" ht="18.75">
      <c r="A17" s="16">
        <v>12</v>
      </c>
      <c r="B17" s="17" t="s">
        <v>33</v>
      </c>
      <c r="C17" s="18" t="s">
        <v>34</v>
      </c>
      <c r="D17" s="16">
        <v>100</v>
      </c>
      <c r="E17" s="19">
        <v>10000000</v>
      </c>
      <c r="F17" s="16">
        <v>700</v>
      </c>
      <c r="G17" s="20">
        <v>70000000</v>
      </c>
      <c r="H17" s="16">
        <v>80</v>
      </c>
      <c r="I17" s="19">
        <v>8000000</v>
      </c>
      <c r="J17" s="16">
        <v>40</v>
      </c>
      <c r="K17" s="16">
        <v>4000000</v>
      </c>
    </row>
    <row x14ac:dyDescent="0.25" r="18" customHeight="1" ht="18.75">
      <c r="A18" s="16">
        <v>13</v>
      </c>
      <c r="B18" s="17" t="s">
        <v>35</v>
      </c>
      <c r="C18" s="18" t="s">
        <v>36</v>
      </c>
      <c r="D18" s="16">
        <v>1072</v>
      </c>
      <c r="E18" s="19">
        <v>90584000</v>
      </c>
      <c r="F18" s="16">
        <v>3020</v>
      </c>
      <c r="G18" s="20">
        <v>255190000</v>
      </c>
      <c r="H18" s="16">
        <v>850</v>
      </c>
      <c r="I18" s="19">
        <v>71825000</v>
      </c>
      <c r="J18" s="16">
        <v>850</v>
      </c>
      <c r="K18" s="16">
        <v>71825000</v>
      </c>
    </row>
    <row x14ac:dyDescent="0.25" r="19" customHeight="1" ht="18.75">
      <c r="A19" s="16">
        <v>14</v>
      </c>
      <c r="B19" s="17" t="s">
        <v>37</v>
      </c>
      <c r="C19" s="18" t="s">
        <v>38</v>
      </c>
      <c r="D19" s="16">
        <v>1180</v>
      </c>
      <c r="E19" s="19">
        <v>106200000</v>
      </c>
      <c r="F19" s="16">
        <v>3650</v>
      </c>
      <c r="G19" s="20">
        <v>328500000</v>
      </c>
      <c r="H19" s="16">
        <v>1279</v>
      </c>
      <c r="I19" s="19">
        <v>115110000</v>
      </c>
      <c r="J19" s="16">
        <v>1500</v>
      </c>
      <c r="K19" s="16">
        <v>135000000</v>
      </c>
    </row>
    <row x14ac:dyDescent="0.25" r="20" customHeight="1" ht="18.75">
      <c r="A20" s="16">
        <v>15</v>
      </c>
      <c r="B20" s="17" t="s">
        <v>39</v>
      </c>
      <c r="C20" s="18" t="s">
        <v>40</v>
      </c>
      <c r="D20" s="16">
        <v>38</v>
      </c>
      <c r="E20" s="19">
        <v>3838000</v>
      </c>
      <c r="F20" s="16">
        <v>150</v>
      </c>
      <c r="G20" s="20">
        <v>15150000</v>
      </c>
      <c r="H20" s="16">
        <v>25</v>
      </c>
      <c r="I20" s="19">
        <v>2525000</v>
      </c>
      <c r="J20" s="16"/>
      <c r="K20" s="16"/>
    </row>
    <row x14ac:dyDescent="0.25" r="21" customHeight="1" ht="27.75">
      <c r="A21" s="16">
        <v>16</v>
      </c>
      <c r="B21" s="17" t="s">
        <v>41</v>
      </c>
      <c r="C21" s="18" t="s">
        <v>42</v>
      </c>
      <c r="D21" s="16">
        <v>30</v>
      </c>
      <c r="E21" s="19">
        <v>3060000</v>
      </c>
      <c r="F21" s="16">
        <v>218</v>
      </c>
      <c r="G21" s="20">
        <v>22236000</v>
      </c>
      <c r="H21" s="16">
        <v>50</v>
      </c>
      <c r="I21" s="19">
        <v>5100000</v>
      </c>
      <c r="J21" s="16"/>
      <c r="K21" s="16"/>
    </row>
    <row x14ac:dyDescent="0.25" r="22" customHeight="1" ht="27.75">
      <c r="A22" s="16">
        <v>17</v>
      </c>
      <c r="B22" s="17" t="s">
        <v>43</v>
      </c>
      <c r="C22" s="18" t="s">
        <v>44</v>
      </c>
      <c r="D22" s="16">
        <v>100</v>
      </c>
      <c r="E22" s="19">
        <v>13400000</v>
      </c>
      <c r="F22" s="16">
        <v>1150</v>
      </c>
      <c r="G22" s="20">
        <v>154100000</v>
      </c>
      <c r="H22" s="16">
        <v>170</v>
      </c>
      <c r="I22" s="19">
        <v>22780000</v>
      </c>
      <c r="J22" s="16"/>
      <c r="K22" s="16"/>
    </row>
    <row x14ac:dyDescent="0.25" r="23" customHeight="1" ht="27.75">
      <c r="A23" s="16">
        <v>18</v>
      </c>
      <c r="B23" s="17" t="s">
        <v>45</v>
      </c>
      <c r="C23" s="18" t="s">
        <v>46</v>
      </c>
      <c r="D23" s="16">
        <v>100</v>
      </c>
      <c r="E23" s="19">
        <v>13600000</v>
      </c>
      <c r="F23" s="16">
        <v>500</v>
      </c>
      <c r="G23" s="20">
        <v>68000000</v>
      </c>
      <c r="H23" s="16">
        <v>161</v>
      </c>
      <c r="I23" s="19">
        <v>21896000</v>
      </c>
      <c r="J23" s="16"/>
      <c r="K23" s="16"/>
    </row>
    <row x14ac:dyDescent="0.25" r="24" customHeight="1" ht="27.75">
      <c r="A24" s="16">
        <v>19</v>
      </c>
      <c r="B24" s="17" t="s">
        <v>47</v>
      </c>
      <c r="C24" s="18" t="s">
        <v>48</v>
      </c>
      <c r="D24" s="16">
        <v>100</v>
      </c>
      <c r="E24" s="19">
        <v>15900000</v>
      </c>
      <c r="F24" s="16">
        <v>450</v>
      </c>
      <c r="G24" s="20">
        <v>71550000</v>
      </c>
      <c r="H24" s="16">
        <v>140</v>
      </c>
      <c r="I24" s="19">
        <v>22260000</v>
      </c>
      <c r="J24" s="16">
        <v>110</v>
      </c>
      <c r="K24" s="16">
        <v>17490000</v>
      </c>
    </row>
    <row x14ac:dyDescent="0.25" r="25" customHeight="1" ht="27.75">
      <c r="A25" s="16">
        <v>20</v>
      </c>
      <c r="B25" s="17" t="s">
        <v>49</v>
      </c>
      <c r="C25" s="18" t="s">
        <v>50</v>
      </c>
      <c r="D25" s="16">
        <v>690</v>
      </c>
      <c r="E25" s="19">
        <v>81420000</v>
      </c>
      <c r="F25" s="16">
        <v>1756</v>
      </c>
      <c r="G25" s="20">
        <v>206968000</v>
      </c>
      <c r="H25" s="16">
        <v>580</v>
      </c>
      <c r="I25" s="19">
        <v>68440000</v>
      </c>
      <c r="J25" s="16">
        <v>280</v>
      </c>
      <c r="K25" s="16">
        <v>33040000</v>
      </c>
    </row>
    <row x14ac:dyDescent="0.25" r="26" customHeight="1" ht="27.75">
      <c r="A26" s="16">
        <v>21</v>
      </c>
      <c r="B26" s="17" t="s">
        <v>51</v>
      </c>
      <c r="C26" s="18" t="s">
        <v>52</v>
      </c>
      <c r="D26" s="16">
        <v>993</v>
      </c>
      <c r="E26" s="19">
        <v>118167000</v>
      </c>
      <c r="F26" s="16">
        <v>3862</v>
      </c>
      <c r="G26" s="20">
        <v>459098000</v>
      </c>
      <c r="H26" s="16">
        <v>869</v>
      </c>
      <c r="I26" s="19">
        <v>103411000</v>
      </c>
      <c r="J26" s="16">
        <v>450</v>
      </c>
      <c r="K26" s="16">
        <v>53550000</v>
      </c>
    </row>
    <row x14ac:dyDescent="0.25" r="27" customHeight="1" ht="27.75">
      <c r="A27" s="16">
        <v>22</v>
      </c>
      <c r="B27" s="17" t="s">
        <v>53</v>
      </c>
      <c r="C27" s="18" t="s">
        <v>54</v>
      </c>
      <c r="D27" s="16">
        <v>250</v>
      </c>
      <c r="E27" s="19">
        <v>32000000</v>
      </c>
      <c r="F27" s="16">
        <v>1315</v>
      </c>
      <c r="G27" s="20">
        <v>167870000</v>
      </c>
      <c r="H27" s="16">
        <v>410</v>
      </c>
      <c r="I27" s="19">
        <v>52480000</v>
      </c>
      <c r="J27" s="16">
        <v>130</v>
      </c>
      <c r="K27" s="16">
        <v>16640000</v>
      </c>
    </row>
    <row x14ac:dyDescent="0.25" r="28" customHeight="1" ht="27.75">
      <c r="A28" s="16">
        <v>23</v>
      </c>
      <c r="B28" s="17" t="s">
        <v>55</v>
      </c>
      <c r="C28" s="18" t="s">
        <v>56</v>
      </c>
      <c r="D28" s="16">
        <v>0</v>
      </c>
      <c r="E28" s="19">
        <v>0</v>
      </c>
      <c r="F28" s="16">
        <v>3</v>
      </c>
      <c r="G28" s="20">
        <v>261000</v>
      </c>
      <c r="H28" s="16">
        <v>0</v>
      </c>
      <c r="I28" s="19">
        <v>0</v>
      </c>
      <c r="J28" s="16"/>
      <c r="K28" s="16"/>
    </row>
    <row x14ac:dyDescent="0.25" r="29" customHeight="1" ht="27.75">
      <c r="A29" s="16">
        <v>24</v>
      </c>
      <c r="B29" s="17" t="s">
        <v>57</v>
      </c>
      <c r="C29" s="18" t="s">
        <v>58</v>
      </c>
      <c r="D29" s="16">
        <v>0</v>
      </c>
      <c r="E29" s="19">
        <v>0</v>
      </c>
      <c r="F29" s="16">
        <v>271</v>
      </c>
      <c r="G29" s="20">
        <v>37898000</v>
      </c>
      <c r="H29" s="16">
        <v>110</v>
      </c>
      <c r="I29" s="19">
        <v>15400000</v>
      </c>
      <c r="J29" s="16">
        <v>40</v>
      </c>
      <c r="K29" s="16">
        <v>5600000</v>
      </c>
    </row>
    <row x14ac:dyDescent="0.25" r="30" customHeight="1" ht="27.75">
      <c r="A30" s="16">
        <v>25</v>
      </c>
      <c r="B30" s="17" t="s">
        <v>59</v>
      </c>
      <c r="C30" s="18" t="s">
        <v>60</v>
      </c>
      <c r="D30" s="16">
        <v>762</v>
      </c>
      <c r="E30" s="19">
        <v>102489000</v>
      </c>
      <c r="F30" s="16">
        <v>1780</v>
      </c>
      <c r="G30" s="20">
        <v>239410000</v>
      </c>
      <c r="H30" s="16">
        <v>450</v>
      </c>
      <c r="I30" s="19">
        <v>60525000</v>
      </c>
      <c r="J30" s="16">
        <v>300</v>
      </c>
      <c r="K30" s="16">
        <v>40350000</v>
      </c>
    </row>
    <row x14ac:dyDescent="0.25" r="31" customHeight="1" ht="27.75">
      <c r="A31" s="16">
        <v>26</v>
      </c>
      <c r="B31" s="17" t="s">
        <v>61</v>
      </c>
      <c r="C31" s="18" t="s">
        <v>62</v>
      </c>
      <c r="D31" s="16">
        <v>1907</v>
      </c>
      <c r="E31" s="19">
        <v>265073000</v>
      </c>
      <c r="F31" s="16">
        <v>5115</v>
      </c>
      <c r="G31" s="20">
        <v>710985000</v>
      </c>
      <c r="H31" s="16">
        <v>1400</v>
      </c>
      <c r="I31" s="19">
        <v>194600000</v>
      </c>
      <c r="J31" s="16">
        <v>1250</v>
      </c>
      <c r="K31" s="16">
        <v>173750000</v>
      </c>
    </row>
    <row x14ac:dyDescent="0.25" r="32" customHeight="1" ht="27.75">
      <c r="A32" s="16">
        <v>27</v>
      </c>
      <c r="B32" s="17" t="s">
        <v>63</v>
      </c>
      <c r="C32" s="18" t="s">
        <v>64</v>
      </c>
      <c r="D32" s="16">
        <v>632</v>
      </c>
      <c r="E32" s="19">
        <v>106176000</v>
      </c>
      <c r="F32" s="16">
        <v>1290</v>
      </c>
      <c r="G32" s="20">
        <v>216720000</v>
      </c>
      <c r="H32" s="16">
        <v>448</v>
      </c>
      <c r="I32" s="19">
        <v>75264000</v>
      </c>
      <c r="J32" s="16">
        <v>332</v>
      </c>
      <c r="K32" s="16">
        <v>55776000</v>
      </c>
    </row>
    <row x14ac:dyDescent="0.25" r="33" customHeight="1" ht="27.75">
      <c r="A33" s="16">
        <v>28</v>
      </c>
      <c r="B33" s="17" t="s">
        <v>65</v>
      </c>
      <c r="C33" s="18" t="s">
        <v>66</v>
      </c>
      <c r="D33" s="16">
        <v>1070</v>
      </c>
      <c r="E33" s="19">
        <v>182970000</v>
      </c>
      <c r="F33" s="16">
        <v>2967</v>
      </c>
      <c r="G33" s="20">
        <v>507357000</v>
      </c>
      <c r="H33" s="16">
        <v>875</v>
      </c>
      <c r="I33" s="19">
        <v>149625000</v>
      </c>
      <c r="J33" s="16">
        <v>580</v>
      </c>
      <c r="K33" s="16">
        <v>99180000</v>
      </c>
    </row>
    <row x14ac:dyDescent="0.25" r="34" customHeight="1" ht="27.75">
      <c r="A34" s="16">
        <v>29</v>
      </c>
      <c r="B34" s="17" t="s">
        <v>67</v>
      </c>
      <c r="C34" s="18" t="s">
        <v>68</v>
      </c>
      <c r="D34" s="16">
        <v>175</v>
      </c>
      <c r="E34" s="19">
        <v>33337500</v>
      </c>
      <c r="F34" s="16">
        <v>870</v>
      </c>
      <c r="G34" s="20">
        <v>165735000</v>
      </c>
      <c r="H34" s="16">
        <v>190</v>
      </c>
      <c r="I34" s="19">
        <v>36195000</v>
      </c>
      <c r="J34" s="16">
        <v>200</v>
      </c>
      <c r="K34" s="16">
        <v>38100000</v>
      </c>
    </row>
    <row x14ac:dyDescent="0.25" r="35" customHeight="1" ht="27.75">
      <c r="A35" s="16">
        <v>30</v>
      </c>
      <c r="B35" s="17" t="s">
        <v>69</v>
      </c>
      <c r="C35" s="18" t="s">
        <v>70</v>
      </c>
      <c r="D35" s="16">
        <v>400</v>
      </c>
      <c r="E35" s="19">
        <v>82400000</v>
      </c>
      <c r="F35" s="16">
        <v>900</v>
      </c>
      <c r="G35" s="20">
        <v>185400000</v>
      </c>
      <c r="H35" s="16">
        <v>221</v>
      </c>
      <c r="I35" s="19">
        <v>45526000</v>
      </c>
      <c r="J35" s="16">
        <v>120</v>
      </c>
      <c r="K35" s="16">
        <v>24720000</v>
      </c>
    </row>
    <row x14ac:dyDescent="0.25" r="36" customHeight="1" ht="27.75">
      <c r="A36" s="16">
        <v>31</v>
      </c>
      <c r="B36" s="17" t="s">
        <v>71</v>
      </c>
      <c r="C36" s="18" t="s">
        <v>72</v>
      </c>
      <c r="D36" s="16">
        <v>200</v>
      </c>
      <c r="E36" s="19">
        <v>41200000</v>
      </c>
      <c r="F36" s="16">
        <v>1000</v>
      </c>
      <c r="G36" s="20">
        <v>206000000</v>
      </c>
      <c r="H36" s="16">
        <v>310</v>
      </c>
      <c r="I36" s="19">
        <v>63860000</v>
      </c>
      <c r="J36" s="16">
        <v>200</v>
      </c>
      <c r="K36" s="16">
        <v>41200000</v>
      </c>
    </row>
    <row x14ac:dyDescent="0.25" r="37" customHeight="1" ht="27.75">
      <c r="A37" s="16">
        <v>32</v>
      </c>
      <c r="B37" s="17" t="s">
        <v>73</v>
      </c>
      <c r="C37" s="18" t="s">
        <v>74</v>
      </c>
      <c r="D37" s="16">
        <v>1565</v>
      </c>
      <c r="E37" s="19">
        <v>334127500</v>
      </c>
      <c r="F37" s="16">
        <v>3875</v>
      </c>
      <c r="G37" s="20">
        <v>827312500</v>
      </c>
      <c r="H37" s="16">
        <v>1530</v>
      </c>
      <c r="I37" s="19">
        <v>326655000</v>
      </c>
      <c r="J37" s="16">
        <v>1159</v>
      </c>
      <c r="K37" s="16">
        <v>247446500</v>
      </c>
    </row>
    <row x14ac:dyDescent="0.25" r="38" customHeight="1" ht="27.75">
      <c r="A38" s="21">
        <v>33</v>
      </c>
      <c r="B38" s="22" t="s">
        <v>75</v>
      </c>
      <c r="C38" s="23" t="s">
        <v>76</v>
      </c>
      <c r="D38" s="16">
        <v>200</v>
      </c>
      <c r="E38" s="19">
        <v>43780000</v>
      </c>
      <c r="F38" s="16">
        <v>1050</v>
      </c>
      <c r="G38" s="20">
        <v>228513000</v>
      </c>
      <c r="H38" s="16">
        <v>533</v>
      </c>
      <c r="I38" s="19">
        <v>116594500</v>
      </c>
      <c r="J38" s="16">
        <v>230</v>
      </c>
      <c r="K38" s="16">
        <v>49795000</v>
      </c>
    </row>
    <row x14ac:dyDescent="0.25" r="39" customHeight="1" ht="27.75">
      <c r="A39" s="16">
        <v>34</v>
      </c>
      <c r="B39" s="17" t="s">
        <v>77</v>
      </c>
      <c r="C39" s="18" t="s">
        <v>78</v>
      </c>
      <c r="D39" s="16">
        <v>30</v>
      </c>
      <c r="E39" s="19">
        <v>3855000</v>
      </c>
      <c r="F39" s="16">
        <v>310</v>
      </c>
      <c r="G39" s="20">
        <v>39835000</v>
      </c>
      <c r="H39" s="16">
        <v>40</v>
      </c>
      <c r="I39" s="19">
        <v>5140000</v>
      </c>
      <c r="J39" s="16"/>
      <c r="K39" s="16"/>
    </row>
    <row x14ac:dyDescent="0.25" r="40" customHeight="1" ht="27.75">
      <c r="A40" s="16">
        <v>35</v>
      </c>
      <c r="B40" s="17" t="s">
        <v>79</v>
      </c>
      <c r="C40" s="18" t="s">
        <v>80</v>
      </c>
      <c r="D40" s="16">
        <v>150</v>
      </c>
      <c r="E40" s="19">
        <v>37050000</v>
      </c>
      <c r="F40" s="16">
        <v>301</v>
      </c>
      <c r="G40" s="20">
        <v>74277000</v>
      </c>
      <c r="H40" s="16">
        <v>100</v>
      </c>
      <c r="I40" s="19">
        <v>24700000</v>
      </c>
      <c r="J40" s="16">
        <v>70</v>
      </c>
      <c r="K40" s="16">
        <v>17290000</v>
      </c>
    </row>
    <row x14ac:dyDescent="0.25" r="41" customHeight="1" ht="27.75">
      <c r="A41" s="16">
        <v>36</v>
      </c>
      <c r="B41" s="17" t="s">
        <v>81</v>
      </c>
      <c r="C41" s="18" t="s">
        <v>82</v>
      </c>
      <c r="D41" s="16">
        <v>650</v>
      </c>
      <c r="E41" s="19">
        <v>166400000</v>
      </c>
      <c r="F41" s="16">
        <v>1400</v>
      </c>
      <c r="G41" s="20">
        <v>358400000</v>
      </c>
      <c r="H41" s="16">
        <v>760</v>
      </c>
      <c r="I41" s="19">
        <v>194560000</v>
      </c>
      <c r="J41" s="16">
        <v>310</v>
      </c>
      <c r="K41" s="16">
        <v>79360000</v>
      </c>
    </row>
    <row x14ac:dyDescent="0.25" r="42" customHeight="1" ht="27.75">
      <c r="A42" s="16">
        <v>37</v>
      </c>
      <c r="B42" s="17" t="s">
        <v>83</v>
      </c>
      <c r="C42" s="18" t="s">
        <v>84</v>
      </c>
      <c r="D42" s="16">
        <v>0</v>
      </c>
      <c r="E42" s="19">
        <v>0</v>
      </c>
      <c r="F42" s="16">
        <v>230</v>
      </c>
      <c r="G42" s="20">
        <v>59225000</v>
      </c>
      <c r="H42" s="16">
        <v>230</v>
      </c>
      <c r="I42" s="19">
        <v>59225000</v>
      </c>
      <c r="J42" s="16">
        <v>20</v>
      </c>
      <c r="K42" s="16">
        <v>5150000</v>
      </c>
    </row>
    <row x14ac:dyDescent="0.25" r="43" customHeight="1" ht="27.75">
      <c r="A43" s="16">
        <v>38</v>
      </c>
      <c r="B43" s="17" t="s">
        <v>85</v>
      </c>
      <c r="C43" s="18" t="s">
        <v>86</v>
      </c>
      <c r="D43" s="16">
        <v>50</v>
      </c>
      <c r="E43" s="19">
        <v>13950000</v>
      </c>
      <c r="F43" s="16">
        <v>171</v>
      </c>
      <c r="G43" s="20">
        <v>47624500</v>
      </c>
      <c r="H43" s="16">
        <v>60</v>
      </c>
      <c r="I43" s="19">
        <v>16740000</v>
      </c>
      <c r="J43" s="16"/>
      <c r="K43" s="16"/>
    </row>
    <row x14ac:dyDescent="0.25" r="44" customHeight="1" ht="27.75">
      <c r="A44" s="16">
        <v>39</v>
      </c>
      <c r="B44" s="17" t="s">
        <v>87</v>
      </c>
      <c r="C44" s="18" t="s">
        <v>88</v>
      </c>
      <c r="D44" s="16">
        <v>0</v>
      </c>
      <c r="E44" s="19">
        <v>0</v>
      </c>
      <c r="F44" s="16">
        <v>102</v>
      </c>
      <c r="G44" s="20">
        <v>26395500</v>
      </c>
      <c r="H44" s="16">
        <v>47</v>
      </c>
      <c r="I44" s="19">
        <v>12196500</v>
      </c>
      <c r="J44" s="16"/>
      <c r="K44" s="16"/>
    </row>
    <row x14ac:dyDescent="0.25" r="45" customHeight="1" ht="27.75">
      <c r="A45" s="16">
        <v>40</v>
      </c>
      <c r="B45" s="17" t="s">
        <v>89</v>
      </c>
      <c r="C45" s="18" t="s">
        <v>90</v>
      </c>
      <c r="D45" s="16">
        <v>250</v>
      </c>
      <c r="E45" s="19">
        <v>68625000</v>
      </c>
      <c r="F45" s="16">
        <v>770</v>
      </c>
      <c r="G45" s="20">
        <v>211365000</v>
      </c>
      <c r="H45" s="16">
        <v>340</v>
      </c>
      <c r="I45" s="19">
        <v>93330000</v>
      </c>
      <c r="J45" s="16">
        <v>120</v>
      </c>
      <c r="K45" s="16">
        <v>32940000</v>
      </c>
    </row>
    <row x14ac:dyDescent="0.25" r="46" customHeight="1" ht="27.75">
      <c r="A46" s="16">
        <v>41</v>
      </c>
      <c r="B46" s="17" t="s">
        <v>91</v>
      </c>
      <c r="C46" s="18" t="s">
        <v>92</v>
      </c>
      <c r="D46" s="16">
        <v>100</v>
      </c>
      <c r="E46" s="19">
        <v>28200000</v>
      </c>
      <c r="F46" s="16">
        <v>133</v>
      </c>
      <c r="G46" s="20">
        <v>37426000</v>
      </c>
      <c r="H46" s="16">
        <v>205</v>
      </c>
      <c r="I46" s="19">
        <v>57810000</v>
      </c>
      <c r="J46" s="16">
        <v>20</v>
      </c>
      <c r="K46" s="16">
        <v>5640000</v>
      </c>
    </row>
    <row x14ac:dyDescent="0.25" r="47" customHeight="1" ht="27.75">
      <c r="A47" s="16">
        <v>42</v>
      </c>
      <c r="B47" s="17" t="s">
        <v>93</v>
      </c>
      <c r="C47" s="18" t="s">
        <v>94</v>
      </c>
      <c r="D47" s="16">
        <v>50</v>
      </c>
      <c r="E47" s="19">
        <v>6100000</v>
      </c>
      <c r="F47" s="16">
        <v>1723</v>
      </c>
      <c r="G47" s="20">
        <v>210206000</v>
      </c>
      <c r="H47" s="16">
        <v>300</v>
      </c>
      <c r="I47" s="19">
        <v>36600000</v>
      </c>
      <c r="J47" s="16">
        <v>330</v>
      </c>
      <c r="K47" s="16">
        <v>40260000</v>
      </c>
    </row>
    <row x14ac:dyDescent="0.25" r="48" customHeight="1" ht="27.75">
      <c r="A48" s="16">
        <v>43</v>
      </c>
      <c r="B48" s="17" t="s">
        <v>95</v>
      </c>
      <c r="C48" s="18" t="s">
        <v>96</v>
      </c>
      <c r="D48" s="16">
        <v>140</v>
      </c>
      <c r="E48" s="19">
        <v>50890000</v>
      </c>
      <c r="F48" s="16">
        <v>525</v>
      </c>
      <c r="G48" s="20">
        <v>190295000</v>
      </c>
      <c r="H48" s="16">
        <v>330</v>
      </c>
      <c r="I48" s="19">
        <v>119955000</v>
      </c>
      <c r="J48" s="16">
        <v>50</v>
      </c>
      <c r="K48" s="16">
        <v>18175000</v>
      </c>
    </row>
    <row x14ac:dyDescent="0.25" r="49" customHeight="1" ht="27.75">
      <c r="A49" s="16">
        <v>44</v>
      </c>
      <c r="B49" s="17" t="s">
        <v>97</v>
      </c>
      <c r="C49" s="18" t="s">
        <v>98</v>
      </c>
      <c r="D49" s="16">
        <v>140</v>
      </c>
      <c r="E49" s="19">
        <v>47670000</v>
      </c>
      <c r="F49" s="16">
        <v>369</v>
      </c>
      <c r="G49" s="20">
        <v>125644500</v>
      </c>
      <c r="H49" s="16">
        <v>200</v>
      </c>
      <c r="I49" s="19">
        <v>68100000</v>
      </c>
      <c r="J49" s="16">
        <v>50</v>
      </c>
      <c r="K49" s="16">
        <v>17255000</v>
      </c>
    </row>
    <row x14ac:dyDescent="0.25" r="50" customHeight="1" ht="27.75">
      <c r="A50" s="16">
        <v>45</v>
      </c>
      <c r="B50" s="17" t="s">
        <v>99</v>
      </c>
      <c r="C50" s="18" t="s">
        <v>100</v>
      </c>
      <c r="D50" s="16">
        <v>70</v>
      </c>
      <c r="E50" s="19">
        <v>15540000</v>
      </c>
      <c r="F50" s="16">
        <v>230</v>
      </c>
      <c r="G50" s="20">
        <v>50505000</v>
      </c>
      <c r="H50" s="16">
        <v>60</v>
      </c>
      <c r="I50" s="19">
        <v>13320000</v>
      </c>
      <c r="J50" s="16">
        <v>20</v>
      </c>
      <c r="K50" s="16">
        <v>4440000</v>
      </c>
    </row>
    <row x14ac:dyDescent="0.25" r="51" customHeight="1" ht="27.75">
      <c r="A51" s="16">
        <v>46</v>
      </c>
      <c r="B51" s="17" t="s">
        <v>101</v>
      </c>
      <c r="C51" s="18" t="s">
        <v>102</v>
      </c>
      <c r="D51" s="16">
        <v>500</v>
      </c>
      <c r="E51" s="19">
        <v>10000000</v>
      </c>
      <c r="F51" s="16">
        <v>3004</v>
      </c>
      <c r="G51" s="20">
        <v>60056000</v>
      </c>
      <c r="H51" s="16">
        <v>260</v>
      </c>
      <c r="I51" s="19">
        <v>5200000</v>
      </c>
      <c r="J51" s="16">
        <v>710</v>
      </c>
      <c r="K51" s="16">
        <v>14200000</v>
      </c>
    </row>
    <row x14ac:dyDescent="0.25" r="52" customHeight="1" ht="27.75">
      <c r="A52" s="16">
        <v>47</v>
      </c>
      <c r="B52" s="17" t="s">
        <v>103</v>
      </c>
      <c r="C52" s="18" t="s">
        <v>104</v>
      </c>
      <c r="D52" s="16">
        <v>10</v>
      </c>
      <c r="E52" s="19">
        <v>3125000</v>
      </c>
      <c r="F52" s="16">
        <v>145</v>
      </c>
      <c r="G52" s="20">
        <v>45312500</v>
      </c>
      <c r="H52" s="16">
        <v>54</v>
      </c>
      <c r="I52" s="19">
        <v>16562500</v>
      </c>
      <c r="J52" s="16"/>
      <c r="K52" s="16"/>
    </row>
    <row x14ac:dyDescent="0.25" r="53" customHeight="1" ht="27.75">
      <c r="A53" s="16">
        <v>48</v>
      </c>
      <c r="B53" s="17" t="s">
        <v>105</v>
      </c>
      <c r="C53" s="18" t="s">
        <v>106</v>
      </c>
      <c r="D53" s="16">
        <v>40</v>
      </c>
      <c r="E53" s="19">
        <v>13560000</v>
      </c>
      <c r="F53" s="16">
        <v>506</v>
      </c>
      <c r="G53" s="20">
        <v>170988000</v>
      </c>
      <c r="H53" s="16">
        <v>106</v>
      </c>
      <c r="I53" s="19">
        <v>35934000</v>
      </c>
      <c r="J53" s="16">
        <v>60</v>
      </c>
      <c r="K53" s="16">
        <v>20340000</v>
      </c>
    </row>
    <row x14ac:dyDescent="0.25" r="54" customHeight="1" ht="27.75">
      <c r="A54" s="16">
        <v>49</v>
      </c>
      <c r="B54" s="17" t="s">
        <v>107</v>
      </c>
      <c r="C54" s="18" t="s">
        <v>108</v>
      </c>
      <c r="D54" s="16">
        <v>0</v>
      </c>
      <c r="E54" s="19">
        <v>0</v>
      </c>
      <c r="F54" s="16">
        <v>80</v>
      </c>
      <c r="G54" s="20">
        <v>28312000</v>
      </c>
      <c r="H54" s="16">
        <v>90</v>
      </c>
      <c r="I54" s="19">
        <v>31851000</v>
      </c>
      <c r="J54" s="16"/>
      <c r="K54" s="16"/>
    </row>
    <row x14ac:dyDescent="0.25" r="55" customHeight="1" ht="27.75">
      <c r="A55" s="16">
        <v>50</v>
      </c>
      <c r="B55" s="17" t="s">
        <v>109</v>
      </c>
      <c r="C55" s="18" t="s">
        <v>110</v>
      </c>
      <c r="D55" s="16">
        <v>1000</v>
      </c>
      <c r="E55" s="19">
        <v>20000000</v>
      </c>
      <c r="F55" s="16">
        <v>3900</v>
      </c>
      <c r="G55" s="20">
        <v>78000000</v>
      </c>
      <c r="H55" s="16">
        <v>630</v>
      </c>
      <c r="I55" s="19">
        <v>12600000</v>
      </c>
      <c r="J55" s="16">
        <v>810</v>
      </c>
      <c r="K55" s="16">
        <v>16200000</v>
      </c>
    </row>
    <row x14ac:dyDescent="0.25" r="56" customHeight="1" ht="27.75">
      <c r="A56" s="16">
        <v>51</v>
      </c>
      <c r="B56" s="17" t="s">
        <v>111</v>
      </c>
      <c r="C56" s="18" t="s">
        <v>112</v>
      </c>
      <c r="D56" s="16">
        <v>14</v>
      </c>
      <c r="E56" s="19">
        <v>2471000</v>
      </c>
      <c r="F56" s="16">
        <v>90</v>
      </c>
      <c r="G56" s="20">
        <v>15838500</v>
      </c>
      <c r="H56" s="16">
        <v>20</v>
      </c>
      <c r="I56" s="19">
        <v>3530000</v>
      </c>
      <c r="J56" s="16"/>
      <c r="K56" s="16"/>
    </row>
    <row x14ac:dyDescent="0.25" r="57" customHeight="1" ht="27.75">
      <c r="A57" s="16">
        <v>52</v>
      </c>
      <c r="B57" s="17" t="s">
        <v>113</v>
      </c>
      <c r="C57" s="18" t="s">
        <v>114</v>
      </c>
      <c r="D57" s="16">
        <v>10</v>
      </c>
      <c r="E57" s="19">
        <v>2450000</v>
      </c>
      <c r="F57" s="16">
        <v>82</v>
      </c>
      <c r="G57" s="20">
        <v>19310000</v>
      </c>
      <c r="H57" s="16">
        <v>30</v>
      </c>
      <c r="I57" s="19">
        <v>7350000</v>
      </c>
      <c r="J57" s="16"/>
      <c r="K57" s="16"/>
    </row>
    <row x14ac:dyDescent="0.25" r="58" customHeight="1" ht="27.75">
      <c r="A58" s="16">
        <v>53</v>
      </c>
      <c r="B58" s="17" t="s">
        <v>115</v>
      </c>
      <c r="C58" s="18" t="s">
        <v>116</v>
      </c>
      <c r="D58" s="16">
        <v>0</v>
      </c>
      <c r="E58" s="19">
        <v>0</v>
      </c>
      <c r="F58" s="16">
        <v>191</v>
      </c>
      <c r="G58" s="20">
        <v>51785000</v>
      </c>
      <c r="H58" s="16">
        <v>46</v>
      </c>
      <c r="I58" s="19">
        <v>12489000</v>
      </c>
      <c r="J58" s="16">
        <v>30</v>
      </c>
      <c r="K58" s="16">
        <v>8145000</v>
      </c>
    </row>
    <row x14ac:dyDescent="0.25" r="59" customHeight="1" ht="27.75">
      <c r="A59" s="16">
        <v>54</v>
      </c>
      <c r="B59" s="17" t="s">
        <v>117</v>
      </c>
      <c r="C59" s="18" t="s">
        <v>118</v>
      </c>
      <c r="D59" s="16">
        <v>1451</v>
      </c>
      <c r="E59" s="19">
        <v>80530500</v>
      </c>
      <c r="F59" s="16">
        <v>4671</v>
      </c>
      <c r="G59" s="20">
        <v>259240500</v>
      </c>
      <c r="H59" s="16">
        <v>2611</v>
      </c>
      <c r="I59" s="19">
        <v>144910500</v>
      </c>
      <c r="J59" s="16">
        <v>1850</v>
      </c>
      <c r="K59" s="16">
        <v>102675000</v>
      </c>
    </row>
    <row x14ac:dyDescent="0.25" r="60" customHeight="1" ht="27.75">
      <c r="A60" s="16">
        <v>55</v>
      </c>
      <c r="B60" s="17" t="s">
        <v>119</v>
      </c>
      <c r="C60" s="18" t="s">
        <v>120</v>
      </c>
      <c r="D60" s="16">
        <v>20</v>
      </c>
      <c r="E60" s="19">
        <v>2790000</v>
      </c>
      <c r="F60" s="16">
        <v>292</v>
      </c>
      <c r="G60" s="20">
        <v>40665000</v>
      </c>
      <c r="H60" s="16">
        <v>50</v>
      </c>
      <c r="I60" s="19">
        <v>6975000</v>
      </c>
      <c r="J60" s="16">
        <v>70</v>
      </c>
      <c r="K60" s="16">
        <v>9765000</v>
      </c>
    </row>
    <row x14ac:dyDescent="0.25" r="61" customHeight="1" ht="27.75">
      <c r="A61" s="16">
        <v>56</v>
      </c>
      <c r="B61" s="17" t="s">
        <v>121</v>
      </c>
      <c r="C61" s="18" t="s">
        <v>122</v>
      </c>
      <c r="D61" s="16">
        <v>10</v>
      </c>
      <c r="E61" s="19">
        <v>2345000</v>
      </c>
      <c r="F61" s="16">
        <v>310</v>
      </c>
      <c r="G61" s="20">
        <v>72695000</v>
      </c>
      <c r="H61" s="16">
        <v>15</v>
      </c>
      <c r="I61" s="19">
        <v>3517500</v>
      </c>
      <c r="J61" s="16">
        <v>30</v>
      </c>
      <c r="K61" s="16">
        <v>7035000</v>
      </c>
    </row>
    <row x14ac:dyDescent="0.25" r="62" customHeight="1" ht="27.75">
      <c r="A62" s="16">
        <v>57</v>
      </c>
      <c r="B62" s="17" t="s">
        <v>123</v>
      </c>
      <c r="C62" s="18" t="s">
        <v>124</v>
      </c>
      <c r="D62" s="16">
        <v>10</v>
      </c>
      <c r="E62" s="19">
        <v>1650000</v>
      </c>
      <c r="F62" s="16">
        <v>300</v>
      </c>
      <c r="G62" s="20">
        <v>49500000</v>
      </c>
      <c r="H62" s="16">
        <v>20</v>
      </c>
      <c r="I62" s="19">
        <v>3300000</v>
      </c>
      <c r="J62" s="16">
        <v>80</v>
      </c>
      <c r="K62" s="16">
        <v>13200000</v>
      </c>
    </row>
    <row x14ac:dyDescent="0.25" r="63" customHeight="1" ht="27.75">
      <c r="A63" s="16" t="s">
        <v>125</v>
      </c>
      <c r="B63" s="24"/>
      <c r="C63" s="25"/>
      <c r="D63" s="16">
        <f>SUM(D6:D62)</f>
      </c>
      <c r="E63" s="16">
        <f>SUM(E6:E62)</f>
      </c>
      <c r="F63" s="16">
        <f>SUM(F6:F62)</f>
      </c>
      <c r="G63" s="26">
        <f>SUM(G6:G62)</f>
      </c>
      <c r="H63" s="16">
        <f>SUM(H6:H62)</f>
      </c>
      <c r="I63" s="16">
        <f>SUM(I6:I62)</f>
      </c>
      <c r="J63" s="16">
        <f>SUM(J6:J62)</f>
      </c>
      <c r="K63" s="26">
        <f>SUM(K6:K62)</f>
      </c>
    </row>
    <row x14ac:dyDescent="0.25" r="64" customHeight="1" ht="27.75">
      <c r="A64" s="1"/>
      <c r="B64" s="2"/>
      <c r="C64" s="3"/>
      <c r="D64" s="1"/>
      <c r="E64" s="1"/>
      <c r="F64" s="27"/>
      <c r="G64" s="28"/>
      <c r="H64" s="4"/>
      <c r="I64" s="29"/>
      <c r="J64" s="1"/>
      <c r="K64" s="1"/>
    </row>
    <row x14ac:dyDescent="0.25" r="65" customHeight="1" ht="18.75">
      <c r="A65" s="1"/>
      <c r="B65" s="30"/>
      <c r="C65" s="3"/>
      <c r="D65" s="1"/>
      <c r="E65" s="28"/>
      <c r="F65" s="27"/>
      <c r="G65" s="28"/>
      <c r="H65" s="1"/>
      <c r="I65" s="1"/>
      <c r="J65" s="1"/>
      <c r="K65" s="1"/>
    </row>
    <row x14ac:dyDescent="0.25" r="66" customHeight="1" ht="18.75">
      <c r="A66" s="1"/>
      <c r="B66" s="30"/>
      <c r="C66" s="3"/>
      <c r="D66" s="1"/>
      <c r="E66" s="28"/>
      <c r="F66" s="27"/>
      <c r="G66" s="28"/>
      <c r="H66" s="1"/>
      <c r="I66" s="1"/>
      <c r="J66" s="1"/>
      <c r="K66" s="1"/>
    </row>
    <row x14ac:dyDescent="0.25" r="67" customHeight="1" ht="18.75">
      <c r="A67" s="1"/>
      <c r="B67" s="30"/>
      <c r="C67" s="3"/>
      <c r="D67" s="1"/>
      <c r="E67" s="28"/>
      <c r="F67" s="27"/>
      <c r="G67" s="28"/>
      <c r="H67" s="1"/>
      <c r="I67" s="1"/>
      <c r="J67" s="1"/>
      <c r="K67" s="1"/>
    </row>
    <row x14ac:dyDescent="0.25" r="68" customHeight="1" ht="18.75">
      <c r="A68" s="1"/>
      <c r="B68" s="30"/>
      <c r="C68" s="3"/>
      <c r="D68" s="1"/>
      <c r="E68" s="28"/>
      <c r="F68" s="27"/>
      <c r="G68" s="28"/>
      <c r="H68" s="1"/>
      <c r="I68" s="1"/>
      <c r="J68" s="1"/>
      <c r="K68" s="1"/>
    </row>
    <row x14ac:dyDescent="0.25" r="69" customHeight="1" ht="18.75">
      <c r="A69" s="1"/>
      <c r="B69" s="30"/>
      <c r="C69" s="3"/>
      <c r="D69" s="1"/>
      <c r="E69" s="28"/>
      <c r="F69" s="27"/>
      <c r="G69" s="28"/>
      <c r="H69" s="1"/>
      <c r="I69" s="1"/>
      <c r="J69" s="1"/>
      <c r="K69" s="1"/>
    </row>
    <row x14ac:dyDescent="0.25" r="70" customHeight="1" ht="18.75">
      <c r="A70" s="1"/>
      <c r="B70" s="30"/>
      <c r="C70" s="3"/>
      <c r="D70" s="1"/>
      <c r="E70" s="28"/>
      <c r="F70" s="27"/>
      <c r="G70" s="28"/>
      <c r="H70" s="1"/>
      <c r="I70" s="1"/>
      <c r="J70" s="1"/>
      <c r="K70" s="1"/>
    </row>
    <row x14ac:dyDescent="0.25" r="71" customHeight="1" ht="18.75">
      <c r="A71" s="1"/>
      <c r="B71" s="30"/>
      <c r="C71" s="3"/>
      <c r="D71" s="1"/>
      <c r="E71" s="28"/>
      <c r="F71" s="27"/>
      <c r="G71" s="28"/>
      <c r="H71" s="1"/>
      <c r="I71" s="1"/>
      <c r="J71" s="1"/>
      <c r="K71" s="1"/>
    </row>
    <row x14ac:dyDescent="0.25" r="72" customHeight="1" ht="18.75">
      <c r="A72" s="1"/>
      <c r="B72" s="30"/>
      <c r="C72" s="3"/>
      <c r="D72" s="1"/>
      <c r="E72" s="28"/>
      <c r="F72" s="27"/>
      <c r="G72" s="28"/>
      <c r="H72" s="1"/>
      <c r="I72" s="1"/>
      <c r="J72" s="1"/>
      <c r="K72" s="1"/>
    </row>
    <row x14ac:dyDescent="0.25" r="73" customHeight="1" ht="18.75">
      <c r="A73" s="1"/>
      <c r="B73" s="30"/>
      <c r="C73" s="3"/>
      <c r="D73" s="1"/>
      <c r="E73" s="28"/>
      <c r="F73" s="27"/>
      <c r="G73" s="28"/>
      <c r="H73" s="1"/>
      <c r="I73" s="1"/>
      <c r="J73" s="1"/>
      <c r="K73" s="1"/>
    </row>
    <row x14ac:dyDescent="0.25" r="74" customHeight="1" ht="18.75">
      <c r="A74" s="1"/>
      <c r="B74" s="30"/>
      <c r="C74" s="3"/>
      <c r="D74" s="1"/>
      <c r="E74" s="28"/>
      <c r="F74" s="27"/>
      <c r="G74" s="28"/>
      <c r="H74" s="1"/>
      <c r="I74" s="1"/>
      <c r="J74" s="1"/>
      <c r="K74" s="1"/>
    </row>
    <row x14ac:dyDescent="0.25" r="75" customHeight="1" ht="18.75">
      <c r="A75" s="1"/>
      <c r="B75" s="30"/>
      <c r="C75" s="3"/>
      <c r="D75" s="1"/>
      <c r="E75" s="28"/>
      <c r="F75" s="27"/>
      <c r="G75" s="28"/>
      <c r="H75" s="1"/>
      <c r="I75" s="1"/>
      <c r="J75" s="1"/>
      <c r="K75" s="1"/>
    </row>
    <row x14ac:dyDescent="0.25" r="76" customHeight="1" ht="18.75">
      <c r="A76" s="1"/>
      <c r="B76" s="30"/>
      <c r="C76" s="3"/>
      <c r="D76" s="1"/>
      <c r="E76" s="28"/>
      <c r="F76" s="27"/>
      <c r="G76" s="28"/>
      <c r="H76" s="1"/>
      <c r="I76" s="1"/>
      <c r="J76" s="1"/>
      <c r="K76" s="1"/>
    </row>
    <row x14ac:dyDescent="0.25" r="77" customHeight="1" ht="18.75">
      <c r="A77" s="1"/>
      <c r="B77" s="30"/>
      <c r="C77" s="3"/>
      <c r="D77" s="1"/>
      <c r="E77" s="28"/>
      <c r="F77" s="27"/>
      <c r="G77" s="28"/>
      <c r="H77" s="1"/>
      <c r="I77" s="1"/>
      <c r="J77" s="1"/>
      <c r="K77" s="1"/>
    </row>
    <row x14ac:dyDescent="0.25" r="78" customHeight="1" ht="18.75">
      <c r="A78" s="1"/>
      <c r="B78" s="30"/>
      <c r="C78" s="3"/>
      <c r="D78" s="1"/>
      <c r="E78" s="28"/>
      <c r="F78" s="27"/>
      <c r="G78" s="28"/>
      <c r="H78" s="1"/>
      <c r="I78" s="1"/>
      <c r="J78" s="1"/>
      <c r="K78" s="1"/>
    </row>
    <row x14ac:dyDescent="0.25" r="79" customHeight="1" ht="18.75">
      <c r="A79" s="1"/>
      <c r="B79" s="30"/>
      <c r="C79" s="3"/>
      <c r="D79" s="1"/>
      <c r="E79" s="28"/>
      <c r="F79" s="27"/>
      <c r="G79" s="28"/>
      <c r="H79" s="1"/>
      <c r="I79" s="1"/>
      <c r="J79" s="1"/>
      <c r="K79" s="1"/>
    </row>
    <row x14ac:dyDescent="0.25" r="80" customHeight="1" ht="18.75">
      <c r="A80" s="1"/>
      <c r="B80" s="30"/>
      <c r="C80" s="3"/>
      <c r="D80" s="1"/>
      <c r="E80" s="28"/>
      <c r="F80" s="27"/>
      <c r="G80" s="28"/>
      <c r="H80" s="1"/>
      <c r="I80" s="1"/>
      <c r="J80" s="1"/>
      <c r="K80" s="1"/>
    </row>
    <row x14ac:dyDescent="0.25" r="81" customHeight="1" ht="18.75">
      <c r="A81" s="1"/>
      <c r="B81" s="30"/>
      <c r="C81" s="3"/>
      <c r="D81" s="1"/>
      <c r="E81" s="28"/>
      <c r="F81" s="1"/>
      <c r="G81" s="1"/>
      <c r="H81" s="1"/>
      <c r="I81" s="1"/>
      <c r="J81" s="1"/>
      <c r="K81" s="1"/>
    </row>
    <row x14ac:dyDescent="0.25" r="82" customHeight="1" ht="18.75">
      <c r="A82" s="1"/>
      <c r="B82" s="30"/>
      <c r="C82" s="3"/>
      <c r="D82" s="1"/>
      <c r="E82" s="28"/>
      <c r="F82" s="1"/>
      <c r="G82" s="1"/>
      <c r="H82" s="1"/>
      <c r="I82" s="1"/>
      <c r="J82" s="1"/>
      <c r="K82" s="1"/>
    </row>
    <row x14ac:dyDescent="0.25" r="83" customHeight="1" ht="18.75">
      <c r="A83" s="1"/>
      <c r="B83" s="30"/>
      <c r="C83" s="3"/>
      <c r="D83" s="1"/>
      <c r="E83" s="28"/>
      <c r="F83" s="1"/>
      <c r="G83" s="1"/>
      <c r="H83" s="1"/>
      <c r="I83" s="1"/>
      <c r="J83" s="1"/>
      <c r="K83" s="1"/>
    </row>
    <row x14ac:dyDescent="0.25" r="84" customHeight="1" ht="18.75">
      <c r="A84" s="1"/>
      <c r="B84" s="30"/>
      <c r="C84" s="3"/>
      <c r="D84" s="1"/>
      <c r="E84" s="28"/>
      <c r="F84" s="1"/>
      <c r="G84" s="1"/>
      <c r="H84" s="1"/>
      <c r="I84" s="1"/>
      <c r="J84" s="1"/>
      <c r="K84" s="1"/>
    </row>
    <row x14ac:dyDescent="0.25" r="85" customHeight="1" ht="18.75">
      <c r="A85" s="1"/>
      <c r="B85" s="30"/>
      <c r="C85" s="3"/>
      <c r="D85" s="1"/>
      <c r="E85" s="28"/>
      <c r="F85" s="1"/>
      <c r="G85" s="1"/>
      <c r="H85" s="1"/>
      <c r="I85" s="1"/>
      <c r="J85" s="1"/>
      <c r="K85" s="1"/>
    </row>
    <row x14ac:dyDescent="0.25" r="86" customHeight="1" ht="27.75">
      <c r="A86" s="1"/>
      <c r="B86" s="30"/>
      <c r="C86" s="3"/>
      <c r="D86" s="1"/>
      <c r="E86" s="1"/>
      <c r="F86" s="1"/>
      <c r="G86" s="1"/>
      <c r="H86" s="1"/>
      <c r="I86" s="1"/>
      <c r="J86" s="1"/>
      <c r="K86" s="1"/>
    </row>
    <row x14ac:dyDescent="0.25" r="87" customHeight="1" ht="27.75">
      <c r="A87" s="1"/>
      <c r="B87" s="30"/>
      <c r="C87" s="3"/>
      <c r="D87" s="1"/>
      <c r="E87" s="1"/>
      <c r="F87" s="1"/>
      <c r="G87" s="1"/>
      <c r="H87" s="1"/>
      <c r="I87" s="1"/>
      <c r="J87" s="1"/>
      <c r="K87" s="1"/>
    </row>
    <row x14ac:dyDescent="0.25" r="88" customHeight="1" ht="27.75">
      <c r="A88" s="1"/>
      <c r="B88" s="30"/>
      <c r="C88" s="3"/>
      <c r="D88" s="1"/>
      <c r="E88" s="1"/>
      <c r="F88" s="1"/>
      <c r="G88" s="1"/>
      <c r="H88" s="1"/>
      <c r="I88" s="1"/>
      <c r="J88" s="1"/>
      <c r="K88" s="1"/>
    </row>
    <row x14ac:dyDescent="0.25" r="89" customHeight="1" ht="27.75">
      <c r="A89" s="1"/>
      <c r="B89" s="30"/>
      <c r="C89" s="3"/>
      <c r="D89" s="1"/>
      <c r="E89" s="1"/>
      <c r="F89" s="1"/>
      <c r="G89" s="1"/>
      <c r="H89" s="1"/>
      <c r="I89" s="1"/>
      <c r="J89" s="1"/>
      <c r="K89" s="1"/>
    </row>
    <row x14ac:dyDescent="0.25" r="90" customHeight="1" ht="27.75">
      <c r="A90" s="1"/>
      <c r="B90" s="30"/>
      <c r="C90" s="3"/>
      <c r="D90" s="1"/>
      <c r="E90" s="1"/>
      <c r="F90" s="1"/>
      <c r="G90" s="1"/>
      <c r="H90" s="1"/>
      <c r="I90" s="1"/>
      <c r="J90" s="1"/>
      <c r="K90" s="1"/>
    </row>
    <row x14ac:dyDescent="0.25" r="91" customHeight="1" ht="27.75">
      <c r="A91" s="1"/>
      <c r="B91" s="30"/>
      <c r="C91" s="3"/>
      <c r="D91" s="1"/>
      <c r="E91" s="1"/>
      <c r="F91" s="1"/>
      <c r="G91" s="1"/>
      <c r="H91" s="1"/>
      <c r="I91" s="1"/>
      <c r="J91" s="1"/>
      <c r="K91" s="1"/>
    </row>
    <row x14ac:dyDescent="0.25" r="92" customHeight="1" ht="27.75">
      <c r="A92" s="1"/>
      <c r="B92" s="30"/>
      <c r="C92" s="3"/>
      <c r="D92" s="1"/>
      <c r="E92" s="1"/>
      <c r="F92" s="1"/>
      <c r="G92" s="1"/>
      <c r="H92" s="1"/>
      <c r="I92" s="1"/>
      <c r="J92" s="1"/>
      <c r="K92" s="1"/>
    </row>
    <row x14ac:dyDescent="0.25" r="93" customHeight="1" ht="27.75">
      <c r="A93" s="1"/>
      <c r="B93" s="30"/>
      <c r="C93" s="3"/>
      <c r="D93" s="1"/>
      <c r="E93" s="1"/>
      <c r="F93" s="1"/>
      <c r="G93" s="1"/>
      <c r="H93" s="1"/>
      <c r="I93" s="1"/>
      <c r="J93" s="1"/>
      <c r="K93" s="1"/>
    </row>
    <row x14ac:dyDescent="0.25" r="94" customHeight="1" ht="27.75">
      <c r="A94" s="1"/>
      <c r="B94" s="30"/>
      <c r="C94" s="3"/>
      <c r="D94" s="27"/>
      <c r="E94" s="27"/>
      <c r="F94" s="1"/>
      <c r="G94" s="1"/>
      <c r="H94" s="1"/>
      <c r="I94" s="1"/>
      <c r="J94" s="1"/>
      <c r="K94" s="1"/>
    </row>
    <row x14ac:dyDescent="0.25" r="95" customHeight="1" ht="27.75">
      <c r="A95" s="1"/>
      <c r="B95" s="30"/>
      <c r="C95" s="3"/>
      <c r="D95" s="27"/>
      <c r="E95" s="27"/>
      <c r="F95" s="1"/>
      <c r="G95" s="1"/>
      <c r="H95" s="1"/>
      <c r="I95" s="1"/>
      <c r="J95" s="1"/>
      <c r="K95" s="1"/>
    </row>
    <row x14ac:dyDescent="0.25" r="96" customHeight="1" ht="27.75">
      <c r="A96" s="1"/>
      <c r="B96" s="30"/>
      <c r="C96" s="3"/>
      <c r="D96" s="27"/>
      <c r="E96" s="27"/>
      <c r="F96" s="1"/>
      <c r="G96" s="1"/>
      <c r="H96" s="1"/>
      <c r="I96" s="1"/>
      <c r="J96" s="1"/>
      <c r="K96" s="1"/>
    </row>
    <row x14ac:dyDescent="0.25" r="97" customHeight="1" ht="27.75">
      <c r="A97" s="1"/>
      <c r="B97" s="30"/>
      <c r="C97" s="3"/>
      <c r="D97" s="27"/>
      <c r="E97" s="27"/>
      <c r="F97" s="1"/>
      <c r="G97" s="1"/>
      <c r="H97" s="1"/>
      <c r="I97" s="1"/>
      <c r="J97" s="1"/>
      <c r="K97" s="1"/>
    </row>
    <row x14ac:dyDescent="0.25" r="98" customHeight="1" ht="27.75">
      <c r="A98" s="1"/>
      <c r="B98" s="30"/>
      <c r="C98" s="3"/>
      <c r="D98" s="27"/>
      <c r="E98" s="27"/>
      <c r="F98" s="1"/>
      <c r="G98" s="1"/>
      <c r="H98" s="1"/>
      <c r="I98" s="1"/>
      <c r="J98" s="1"/>
      <c r="K98" s="1"/>
    </row>
    <row x14ac:dyDescent="0.25" r="99" customHeight="1" ht="27.75">
      <c r="A99" s="1"/>
      <c r="B99" s="30"/>
      <c r="C99" s="3"/>
      <c r="D99" s="27"/>
      <c r="E99" s="27"/>
      <c r="F99" s="1"/>
      <c r="G99" s="1"/>
      <c r="H99" s="1"/>
      <c r="I99" s="1"/>
      <c r="J99" s="1"/>
      <c r="K99" s="1"/>
    </row>
    <row x14ac:dyDescent="0.25" r="100" customHeight="1" ht="27.75">
      <c r="A100" s="1"/>
      <c r="B100" s="30"/>
      <c r="C100" s="3"/>
      <c r="D100" s="27"/>
      <c r="E100" s="27"/>
      <c r="F100" s="1"/>
      <c r="G100" s="1"/>
      <c r="H100" s="1"/>
      <c r="I100" s="1"/>
      <c r="J100" s="1"/>
      <c r="K100" s="1"/>
    </row>
    <row x14ac:dyDescent="0.25" r="101" customHeight="1" ht="27.75">
      <c r="A101" s="1"/>
      <c r="B101" s="30"/>
      <c r="C101" s="3"/>
      <c r="D101" s="27"/>
      <c r="E101" s="27"/>
      <c r="F101" s="1"/>
      <c r="G101" s="1"/>
      <c r="H101" s="1"/>
      <c r="I101" s="1"/>
      <c r="J101" s="1"/>
      <c r="K101" s="1"/>
    </row>
    <row x14ac:dyDescent="0.25" r="102" customHeight="1" ht="27.75">
      <c r="A102" s="1"/>
      <c r="B102" s="30"/>
      <c r="C102" s="3"/>
      <c r="D102" s="27"/>
      <c r="E102" s="27"/>
      <c r="F102" s="1"/>
      <c r="G102" s="1"/>
      <c r="H102" s="1"/>
      <c r="I102" s="1"/>
      <c r="J102" s="1"/>
      <c r="K102" s="1"/>
    </row>
    <row x14ac:dyDescent="0.25" r="103" customHeight="1" ht="27.75">
      <c r="A103" s="1"/>
      <c r="B103" s="30"/>
      <c r="C103" s="3"/>
      <c r="D103" s="27"/>
      <c r="E103" s="27"/>
      <c r="F103" s="1"/>
      <c r="G103" s="1"/>
      <c r="H103" s="1"/>
      <c r="I103" s="1"/>
      <c r="J103" s="1"/>
      <c r="K103" s="1"/>
    </row>
    <row x14ac:dyDescent="0.25" r="104" customHeight="1" ht="27.75">
      <c r="A104" s="1"/>
      <c r="B104" s="30"/>
      <c r="C104" s="3"/>
      <c r="D104" s="27"/>
      <c r="E104" s="27"/>
      <c r="F104" s="1"/>
      <c r="G104" s="1"/>
      <c r="H104" s="1"/>
      <c r="I104" s="1"/>
      <c r="J104" s="1"/>
      <c r="K104" s="1"/>
    </row>
    <row x14ac:dyDescent="0.25" r="105" customHeight="1" ht="27.75">
      <c r="A105" s="1"/>
      <c r="B105" s="30"/>
      <c r="C105" s="3"/>
      <c r="D105" s="27"/>
      <c r="E105" s="27"/>
      <c r="F105" s="1"/>
      <c r="G105" s="1"/>
      <c r="H105" s="1"/>
      <c r="I105" s="1"/>
      <c r="J105" s="1"/>
      <c r="K105" s="1"/>
    </row>
    <row x14ac:dyDescent="0.25" r="106" customHeight="1" ht="27.75">
      <c r="A106" s="1"/>
      <c r="B106" s="30"/>
      <c r="C106" s="3"/>
      <c r="D106" s="27"/>
      <c r="E106" s="27"/>
      <c r="F106" s="1"/>
      <c r="G106" s="1"/>
      <c r="H106" s="1"/>
      <c r="I106" s="1"/>
      <c r="J106" s="1"/>
      <c r="K106" s="1"/>
    </row>
    <row x14ac:dyDescent="0.25" r="107" customHeight="1" ht="27.75">
      <c r="A107" s="1"/>
      <c r="B107" s="30"/>
      <c r="C107" s="3"/>
      <c r="D107" s="27"/>
      <c r="E107" s="27"/>
      <c r="F107" s="1"/>
      <c r="G107" s="1"/>
      <c r="H107" s="1"/>
      <c r="I107" s="1"/>
      <c r="J107" s="1"/>
      <c r="K107" s="1"/>
    </row>
    <row x14ac:dyDescent="0.25" r="108" customHeight="1" ht="27.75">
      <c r="A108" s="1"/>
      <c r="B108" s="30"/>
      <c r="C108" s="3"/>
      <c r="D108" s="27"/>
      <c r="E108" s="27"/>
      <c r="F108" s="1"/>
      <c r="G108" s="1"/>
      <c r="H108" s="1"/>
      <c r="I108" s="1"/>
      <c r="J108" s="1"/>
      <c r="K108" s="1"/>
    </row>
    <row x14ac:dyDescent="0.25" r="109" customHeight="1" ht="27.75">
      <c r="A109" s="1"/>
      <c r="B109" s="30"/>
      <c r="C109" s="3"/>
      <c r="D109" s="27"/>
      <c r="E109" s="27"/>
      <c r="F109" s="1"/>
      <c r="G109" s="1"/>
      <c r="H109" s="1"/>
      <c r="I109" s="1"/>
      <c r="J109" s="1"/>
      <c r="K109" s="1"/>
    </row>
    <row x14ac:dyDescent="0.25" r="110" customHeight="1" ht="27.75">
      <c r="A110" s="1"/>
      <c r="B110" s="30"/>
      <c r="C110" s="3"/>
      <c r="D110" s="27"/>
      <c r="E110" s="27"/>
      <c r="F110" s="1"/>
      <c r="G110" s="1"/>
      <c r="H110" s="1"/>
      <c r="I110" s="1"/>
      <c r="J110" s="1"/>
      <c r="K110" s="1"/>
    </row>
    <row x14ac:dyDescent="0.25" r="111" customHeight="1" ht="27.75">
      <c r="A111" s="1"/>
      <c r="B111" s="30"/>
      <c r="C111" s="3"/>
      <c r="D111" s="1"/>
      <c r="E111" s="1"/>
      <c r="F111" s="1"/>
      <c r="G111" s="1"/>
      <c r="H111" s="1"/>
      <c r="I111" s="1"/>
      <c r="J111" s="1"/>
      <c r="K111" s="1"/>
    </row>
  </sheetData>
  <mergeCells count="10">
    <mergeCell ref="A2:K2"/>
    <mergeCell ref="I3:K3"/>
    <mergeCell ref="A4:A5"/>
    <mergeCell ref="B4:B5"/>
    <mergeCell ref="C4:C5"/>
    <mergeCell ref="D4:E4"/>
    <mergeCell ref="F4:G4"/>
    <mergeCell ref="H4:I4"/>
    <mergeCell ref="J4:K4"/>
    <mergeCell ref="A63:C6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4-Cust Sale (H1-2021)</vt:lpstr>
      <vt:lpstr>4-Cust Sale (H2-2021)</vt:lpstr>
      <vt:lpstr>4-Cust Sale (H1-2022)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2022-07-20T16:23:58.312Z</dcterms:created>
  <dcterms:modified xsi:type="dcterms:W3CDTF">2022-07-20T16:23:58.312Z</dcterms:modified>
</cp:coreProperties>
</file>