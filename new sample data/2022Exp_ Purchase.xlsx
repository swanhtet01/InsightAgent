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urchase(Local)"/>
    <sheet r:id="rId2" sheetId="2" name="Purchase (Foreign)"/>
    <sheet r:id="rId3" sheetId="3" name="Expenses"/>
  </sheets>
  <definedNames>
    <definedName name="_xlnm._FilterDatabase" localSheetId="2">Expenses!$A$2:$R$634</definedName>
    <definedName name="_xlnm._FilterDatabase" localSheetId="1">'Purchase (Foreign)'!$A$5:$AD$140</definedName>
  </definedNames>
  <calcPr fullCalcOnLoad="1"/>
</workbook>
</file>

<file path=xl/sharedStrings.xml><?xml version="1.0" encoding="utf-8"?>
<sst xmlns="http://schemas.openxmlformats.org/spreadsheetml/2006/main" count="5121" uniqueCount="1266">
  <si>
    <t xml:space="preserve"> HO - Bank Cheque Withdraw for January  to March'2022</t>
  </si>
  <si>
    <t>Dated</t>
  </si>
  <si>
    <t>Bank Name</t>
  </si>
  <si>
    <t>Cheq No.</t>
  </si>
  <si>
    <t>Acc Name</t>
  </si>
  <si>
    <t>Particulars</t>
  </si>
  <si>
    <t>Co</t>
  </si>
  <si>
    <t>Total Amount</t>
  </si>
  <si>
    <t>YTF</t>
  </si>
  <si>
    <t>AHM</t>
  </si>
  <si>
    <t>Belin</t>
  </si>
  <si>
    <t>YT</t>
  </si>
  <si>
    <t>TM</t>
  </si>
  <si>
    <t>HM</t>
  </si>
  <si>
    <t>MPTG</t>
  </si>
  <si>
    <t>NG</t>
  </si>
  <si>
    <t>MWA</t>
  </si>
  <si>
    <t>PE</t>
  </si>
  <si>
    <t>SR</t>
  </si>
  <si>
    <t>3.1.22</t>
  </si>
  <si>
    <t>KBZ(P)AHM</t>
  </si>
  <si>
    <t>Duty Fee Charges</t>
  </si>
  <si>
    <t>Golden Horse - Carbon Black (7x40')Duty ခ</t>
  </si>
  <si>
    <t>Agent Fees</t>
  </si>
  <si>
    <t>Golden Horse - Carbon Black (7x40')Agent ခ</t>
  </si>
  <si>
    <t>Cash</t>
  </si>
  <si>
    <t>Purchase(Local)</t>
  </si>
  <si>
    <t>U Nyi Nyi Soe - Rubber ဖိုး (033/21) က်န္ေငြရွင္း</t>
  </si>
  <si>
    <t>AYA-AHM</t>
  </si>
  <si>
    <t>Daw Thi - Rubber ဖိုး (024/21) I &amp; က်န္ေငြေပး</t>
  </si>
  <si>
    <t>Purchase(Foreign)</t>
  </si>
  <si>
    <t>U Kyaw - Junky Transfer (USD -251049 x 1800)</t>
  </si>
  <si>
    <t>U Kyaw - Mr.Dong Transfer (USD -213203 x 1800)</t>
  </si>
  <si>
    <t>U Kyaw - SMS Transfer (USD-16678 x 1800)</t>
  </si>
  <si>
    <t>4.1.22</t>
  </si>
  <si>
    <t>U Kyaw - Junky Transfer (USD -268960 x 1800)</t>
  </si>
  <si>
    <t>5.1.22</t>
  </si>
  <si>
    <t>Daw Thi - Rubber ဖိုး (030/21)</t>
  </si>
  <si>
    <t>General Expenses</t>
  </si>
  <si>
    <t>ဦးတင္ေမာင္ေအးသား မဂၤလက္ဖြဲ႔</t>
  </si>
  <si>
    <t>CB-AHM</t>
  </si>
  <si>
    <t>Daw Thi - Rubber ဖိုး (028/21) (030/21)</t>
  </si>
  <si>
    <t>KBZ(P)</t>
  </si>
  <si>
    <t>Personal Expenses</t>
  </si>
  <si>
    <t>မိသားစု(၄)ဦးအသုံးထုတ္ (12/21)</t>
  </si>
  <si>
    <t>E Sun Bank - ႀကိဳသြင္း</t>
  </si>
  <si>
    <t>U Nyi Nyi Soe - Rubber ဖိုး (036/22) ပႀကိမ္ေပး</t>
  </si>
  <si>
    <t>6.1.22</t>
  </si>
  <si>
    <t>U Nyi Nyi Soe - Rubber ဖိုး (036/22) ဒုႀကိမ္ေပး</t>
  </si>
  <si>
    <t>U Aung Kyi - Rubber ဖိုး (009/21) က်န္ေငြေပး</t>
  </si>
  <si>
    <t>U Aung Kyi - Rubber ဖိုး (010/21)  I ႀကိမ္ေပး</t>
  </si>
  <si>
    <t>AYA(B)AHM</t>
  </si>
  <si>
    <t>000068</t>
  </si>
  <si>
    <t>Golden Horse - Ground Sulphur(7)Item Duty</t>
  </si>
  <si>
    <t>Golden Horse - Nylon Tyre Cord(1x40')Dutyခ</t>
  </si>
  <si>
    <t>Golden Horse - Ground Sulphur(7)Item Agent</t>
  </si>
  <si>
    <t>Golden Horse - Nylon Tyre Cord(1x40')Agent ခ</t>
  </si>
  <si>
    <t>Gift Expenses-YTF</t>
  </si>
  <si>
    <t>နယ္ဆိုင္မ်ား New Year လက္ေဆာင္ေပး</t>
  </si>
  <si>
    <t>Factory Expenses-Belin</t>
  </si>
  <si>
    <t xml:space="preserve">Heater Rod (10) Pcs </t>
  </si>
  <si>
    <t>Showroom Expenses</t>
  </si>
  <si>
    <t>BYN SR စာေရးကိရိယာ+Mask ၀ယ္</t>
  </si>
  <si>
    <t>Factory Expenses-YTF</t>
  </si>
  <si>
    <t>စာေရးကိရိယာ+Mask ၀ယ္</t>
  </si>
  <si>
    <t>စာေရးကိရိယာ+ခ်ည္လက္အိတ္+Heater Rod+wire</t>
  </si>
  <si>
    <t>နှာေခါင္းစီး၀ယ္</t>
  </si>
  <si>
    <t>Htoo Maw Expenses</t>
  </si>
  <si>
    <t>မိသားစုအသုံး</t>
  </si>
  <si>
    <t>7.1.22</t>
  </si>
  <si>
    <t>000070</t>
  </si>
  <si>
    <t>ပင္စင္</t>
  </si>
  <si>
    <t>(12/21) ပင္စင္ထည့္၀င္ေၾကး</t>
  </si>
  <si>
    <t>Fuel Charges-Belin</t>
  </si>
  <si>
    <t>Great Power သို႕ Diesel ဖိုးေပး(7275 Li x 1310)</t>
  </si>
  <si>
    <t>Fuel Charges-YTF</t>
  </si>
  <si>
    <t>SMA သို႕ Diesel ဖိုး (7275 Li x 1328)</t>
  </si>
  <si>
    <t>Packing Expenses</t>
  </si>
  <si>
    <t>Main Label သို႕ MC Sticker ဖိုးေပး</t>
  </si>
  <si>
    <t>U Nyi Nyi Soe - Rubber ဖိုး (036/22) တႀကိမ္ေပး</t>
  </si>
  <si>
    <t>000069</t>
  </si>
  <si>
    <t>Golden Horse - Nylon Tyre (1x40') Duty ခ</t>
  </si>
  <si>
    <t>Golden Horse - Nylon Tyre (1x40') Agent ခ</t>
  </si>
  <si>
    <t>000071</t>
  </si>
  <si>
    <t>Golden Horse - Dong Ah (1x40') Duty ခေပး</t>
  </si>
  <si>
    <t>Golden Horse - Dong Ah (1x40') Agent ခေပး</t>
  </si>
  <si>
    <t>Tube Purchase</t>
  </si>
  <si>
    <t>ေအာင္ေက်ာ္စည္ သို႕ Tube ဖိုးေပး</t>
  </si>
  <si>
    <t>Tyson Hydrolic (10Drum x 695000)</t>
  </si>
  <si>
    <t>E Sun Bank -  ႀကိဳသြင္း YT</t>
  </si>
  <si>
    <t>10.1.22</t>
  </si>
  <si>
    <t>AYA(P)</t>
  </si>
  <si>
    <t>000011</t>
  </si>
  <si>
    <t>TM Expenses</t>
  </si>
  <si>
    <t>ဦးတင္ထြန္းဝါဖိုးေပး</t>
  </si>
  <si>
    <t>U Nyi Nyi Soe - Rubber ဖိုး (026/21) II ႀကိမ္ေပး</t>
  </si>
  <si>
    <t>Donation</t>
  </si>
  <si>
    <t>ေရႊေရာင္ျပသို႕ မီးစက္လွဴးါန္း</t>
  </si>
  <si>
    <t>Daw Thi - Rubber ဖိုး (029/21)(031/21)</t>
  </si>
  <si>
    <t>U Nyi Nyi Soe - Rubber ဖိုး (036/21)</t>
  </si>
  <si>
    <t>UAB-YT</t>
  </si>
  <si>
    <t>035138</t>
  </si>
  <si>
    <t xml:space="preserve">UAB Bank - ႀကိဳ၀ယ္ (USD-81300 x 1965) (YT) </t>
  </si>
  <si>
    <t>U Nyi Nyi Soe - Rubber ဖိုး (026/21)(044/21)</t>
  </si>
  <si>
    <t>UTW - MY Transfer (USD - 17600 x 1975)</t>
  </si>
  <si>
    <t>11.1.22</t>
  </si>
  <si>
    <t>U Nyi Nyi Soe - Rubber ဖိုး (026/21) III ႀကိမ္ေပး</t>
  </si>
  <si>
    <t>HTLT Co.,Ltd.သို႕ေပး Prometer (5083x1930)</t>
  </si>
  <si>
    <t>000072</t>
  </si>
  <si>
    <t xml:space="preserve">Golden Horse - (3x20')Synthetic Rubber Duty ခ </t>
  </si>
  <si>
    <t xml:space="preserve">Golden Horse - (3x20')Synthetic Rubber Agent ခ </t>
  </si>
  <si>
    <t>12.1.22</t>
  </si>
  <si>
    <t>000074</t>
  </si>
  <si>
    <t>Car Expenses</t>
  </si>
  <si>
    <t>1N/4779 GGI ကားအာမခံေၾကးသြင္း</t>
  </si>
  <si>
    <t>U Aung Kyi - Rubber ဖိုး (010/21) II ႀကိမ္ေပး</t>
  </si>
  <si>
    <t>Daw Thi - Rubber ဖိုး (038/22) I ႀကိမ္ေပး</t>
  </si>
  <si>
    <t>000073</t>
  </si>
  <si>
    <t>Shwe Young Pya - Rubber ဖိုး (019/21)</t>
  </si>
  <si>
    <t>U Nyi Nyi Soe - Rubber ဖိုး (037/22) I ႀကိမ္ေပး</t>
  </si>
  <si>
    <t>U Nyi Nyi Soe - Rubber ဖိုး (044/21)</t>
  </si>
  <si>
    <t>CaCo3(10 တန္ x 200000)</t>
  </si>
  <si>
    <t>13.1.22</t>
  </si>
  <si>
    <t>NG Expenses</t>
  </si>
  <si>
    <t>ေငြေဆာင္ဟိုတယ္ Aircon+water Heater+တန္ဆာခ</t>
  </si>
  <si>
    <t>Promotion Expenses</t>
  </si>
  <si>
    <t>Promotion သုံးရန္ T-Shirt+တံဆိပ္႐ိုက္ခ+လယ္ဂ်ာစာအုပ္</t>
  </si>
  <si>
    <t>U Nyi Nyi Soe - Rubber ဖိုး (037/22) II ႀကိမ္ေပး</t>
  </si>
  <si>
    <t>14.1.22</t>
  </si>
  <si>
    <t>1S/6973 (12)ဘီးကားအတြက္ Box ၀ယ္</t>
  </si>
  <si>
    <t>U Nyi Nyi Soe - Rubber ဖိုး (037/22) III ႀကိမ္ေပး</t>
  </si>
  <si>
    <t>Great Power သို႕ Diesel ဖိုး (7275 Li x 1373)</t>
  </si>
  <si>
    <t>SMA သို႕ Diesel ဖိုး (12730 Li x 1329)</t>
  </si>
  <si>
    <t>000075</t>
  </si>
  <si>
    <t>CB(P)</t>
  </si>
  <si>
    <t>Daw Thi - Rubber ဖိုး (038/22)(041/22)</t>
  </si>
  <si>
    <t>Daw Thi - Rubber ဖိုး (041/22) က်န္ေငြေပး</t>
  </si>
  <si>
    <t>000027</t>
  </si>
  <si>
    <t>Golden Horse - (1x20') Zinc Oxide Duty ခေပး</t>
  </si>
  <si>
    <t>Golden Horse - (1x20') Zinc Oxide Agent ခေပး</t>
  </si>
  <si>
    <t>000026</t>
  </si>
  <si>
    <t>Electricity Charges-PSD</t>
  </si>
  <si>
    <t>(12/21) ပန္းဆိုးတန္း႐ုံးမီတာခ</t>
  </si>
  <si>
    <t>E Sun Bank - ႀကိဳသြင္း YT</t>
  </si>
  <si>
    <t>17.1.22</t>
  </si>
  <si>
    <t>U Nyi Nyi Soe - Rubber ဖိုး (037/22) က်န္ေငြေပး</t>
  </si>
  <si>
    <t>U Nyi Nyi Soe - Rubber ဖိုး (045/22)I ႀကိမ္ေပး</t>
  </si>
  <si>
    <t>U Nyi Nyi Soe - Rubber ဖိုး (045/22)II ႀကိမ္ေပး</t>
  </si>
  <si>
    <t>ေအာင္ေက်ာ္စည္သို႕ Tube ဖိုးေပး</t>
  </si>
  <si>
    <t>000012</t>
  </si>
  <si>
    <t>ဦးေအာင္ေက်ာ္တိုးအေမနာေရးသကၤန္း+YT ဆိုင္းဘုတ္ခြန္</t>
  </si>
  <si>
    <t>UAB-TM</t>
  </si>
  <si>
    <t>021494</t>
  </si>
  <si>
    <t>Bank Charges</t>
  </si>
  <si>
    <t>U Kyaw UAB A/c ကုန္သြယ္ေရးအတြက္သြင္း</t>
  </si>
  <si>
    <t>021493</t>
  </si>
  <si>
    <t>MDY Expenses</t>
  </si>
  <si>
    <t>မန္းစည္ပင္တင္ဒါတံဆိပ္ေခါင္းကပ္+SR စားစရိတ္</t>
  </si>
  <si>
    <t>18.1.22</t>
  </si>
  <si>
    <t>လိုင္စင္ Agent သို႕ေပးေဆာင္ရြက္ခ</t>
  </si>
  <si>
    <t>U Nyi Nyi Soe - Rubber ဖိုး (045/22)III ႀကိမ္ေပး</t>
  </si>
  <si>
    <t>000029</t>
  </si>
  <si>
    <t>Golden Horse - (2x40')Carbon Black Duty ခေပး</t>
  </si>
  <si>
    <t>Golden Horse - (2x40')Carbon Black Agent ခေပး</t>
  </si>
  <si>
    <t>000028</t>
  </si>
  <si>
    <t>(12/21) KBZ Home မီတာခ</t>
  </si>
  <si>
    <t>Tun Star - Hydraulic Oil &amp; Gear EP</t>
  </si>
  <si>
    <t>Royal Aung Chan - (USD -33440 x 1992)</t>
  </si>
  <si>
    <t>19.1.22</t>
  </si>
  <si>
    <t>EVA Co., - ေဆာက္လုပ္ေရးသုံးပစၥည္း၀ယ္</t>
  </si>
  <si>
    <t>Daw Thi - Rubber ဖိုး (040/22) I ႀကိမ္ေပး</t>
  </si>
  <si>
    <t>U Nyi Nyi Soe - Rubber ဖိုး (045/22) က်န္ေငြေပး</t>
  </si>
  <si>
    <t>000031</t>
  </si>
  <si>
    <t>Golden Horse - (1x40')Zinc Oxide Duty ခ</t>
  </si>
  <si>
    <t>Golden Horse - (1x40')Zinc Oxide Agent ခ</t>
  </si>
  <si>
    <t>U Nyi Nyi Soe - Rubber ဖိုး (047/22) I ႀကိမ္ေပး</t>
  </si>
  <si>
    <t>U Aung Kyi - Rubber ဖိုး (010/21) က်န္ေငြေပး</t>
  </si>
  <si>
    <t>U Aung Kyi - Rubber ဖိုး (011/21) I ႀကိမ္ေပး</t>
  </si>
  <si>
    <t>000013</t>
  </si>
  <si>
    <t>20.1.22</t>
  </si>
  <si>
    <t>ဘီးလင္း (12)ဘီးကားအတြက္တာယာ(၄)လုံး</t>
  </si>
  <si>
    <t>U Nyi Nyi Soe - Rubber ဖိုး (047/22) II ႀကိမ္ေပး</t>
  </si>
  <si>
    <t>000033</t>
  </si>
  <si>
    <t>Tax Charges</t>
  </si>
  <si>
    <t>မန္း တင္ဒါေအာင္ ၀င္ေငြခြန္ေပးေဆာင္</t>
  </si>
  <si>
    <t>000032</t>
  </si>
  <si>
    <t>မန္း တင္ဒါေအာင္ ကုန္သြယ္လုပ္ငန္းခြန္ေပးေဆာင္</t>
  </si>
  <si>
    <t>AYA(P)MPTG</t>
  </si>
  <si>
    <t>000003</t>
  </si>
  <si>
    <t>Golden Horse - (11/21) Agent ခ</t>
  </si>
  <si>
    <t>000004</t>
  </si>
  <si>
    <t>Transport Charges</t>
  </si>
  <si>
    <t>Golden Horse - (11/21) Ctnrကားခ</t>
  </si>
  <si>
    <t>Daw Thi - Rubber ဖိုး (040,039,042/22)</t>
  </si>
  <si>
    <t>Golden Horse - 11/21 အတြက္ Agent Fees</t>
  </si>
  <si>
    <t>Golden Horse - (11/21) အတြက္ Agent Fees</t>
  </si>
  <si>
    <t>Golden Horse - (11/21) အတြက္ Agent ခ</t>
  </si>
  <si>
    <t>Golden Horse - (11/21) အတြက္ Ctnr ကားခ</t>
  </si>
  <si>
    <t>SMA သို႕ Octane 95 Ron (7275Li x 1438)</t>
  </si>
  <si>
    <t>Tender Charges</t>
  </si>
  <si>
    <t>Yangon Tyre တင္ဒါအတြက္ PO လုပ္</t>
  </si>
  <si>
    <t>21.1.22</t>
  </si>
  <si>
    <t>ကိုစည္သူ (visa Card သြင္း) USD-1500 x 1786</t>
  </si>
  <si>
    <t>000014</t>
  </si>
  <si>
    <t>ဝါစက္႐ုံေန႔စား+အေထြေထြ</t>
  </si>
  <si>
    <t>ေရႊက်ားအိမ္ေန႕စားခ</t>
  </si>
  <si>
    <t>UAB(TM)</t>
  </si>
  <si>
    <t>021496</t>
  </si>
  <si>
    <t>UTG သို႕ Tube ဖိုးေပး  Dis 2%</t>
  </si>
  <si>
    <t>သူရိန္သို႕ လွ်ပ္စစ္ပစၥည္းဖိုးေပး</t>
  </si>
  <si>
    <t>035140</t>
  </si>
  <si>
    <t>MICB - AHM A/c သို႕သြင္း (USD-169300 x 1992)</t>
  </si>
  <si>
    <t>021495</t>
  </si>
  <si>
    <t>MICB - AHM A/c သို႕သြင္း (    ။                  ။    )</t>
  </si>
  <si>
    <t xml:space="preserve">Cash </t>
  </si>
  <si>
    <t>Rebate Payment</t>
  </si>
  <si>
    <t xml:space="preserve">သရဖူတာယာဆိုင္ Rebate </t>
  </si>
  <si>
    <t>MDY အေထြေထြအသုံး</t>
  </si>
  <si>
    <t>22.1.22</t>
  </si>
  <si>
    <t>U Nyi Nyi Soe - Rubber ဖိုး (047/22) III ႀကိမ္ေပး</t>
  </si>
  <si>
    <t>Daw Thi - Rubber ဖိုး (042/22) II ႀကိမ္ေပး</t>
  </si>
  <si>
    <t>U Aung Kyi - Rubber ဖိုး (011/21) က်န္ေငြေပး</t>
  </si>
  <si>
    <t>U Aung Kyi - Rubber ဖိုး (012/21) I ႀကိမ္ေပး</t>
  </si>
  <si>
    <t>24.1.22</t>
  </si>
  <si>
    <t>U Nyi Nyi Soe - Rubber ဖိုး (047/22) က်န္ေငြေပး</t>
  </si>
  <si>
    <t xml:space="preserve">Shwe Young Pya - Rubber ဖိုး (035/21) </t>
  </si>
  <si>
    <t>Salary &amp; Wages-Belin</t>
  </si>
  <si>
    <t>(1/22) ဘီးလင္းစက္႐ုံလစာ(ပ)ႀကိမ္</t>
  </si>
  <si>
    <t>ဘီးလင္းတြင္ AYA Special A/c ဖြင့္ရန္လြဲ</t>
  </si>
  <si>
    <t>Shwe Young Pya - Rubber ဖိုး(016/21) I ႀကိမ္ေပး</t>
  </si>
  <si>
    <t>U Nyi Nyi Soe - Rubber ဖိုး (048/22) I ႀကိမ္ေပး</t>
  </si>
  <si>
    <t>Golden Horse - (1x20')Flap Curing Press Duty ခ</t>
  </si>
  <si>
    <t>Golden Horse - (1x20')Flap Curing Press Agent ခ</t>
  </si>
  <si>
    <t>25.1.22</t>
  </si>
  <si>
    <t>Electricity Charges-YTF</t>
  </si>
  <si>
    <t>(12/21) မီတာခ</t>
  </si>
  <si>
    <t>Promotion ခရီးသြားကုန္က်စရိတ္</t>
  </si>
  <si>
    <t>000015</t>
  </si>
  <si>
    <t>ဝါစက္႐ုံအေထြေထြသုံး</t>
  </si>
  <si>
    <t>U Nyi Nyi Soe - Rubber ဖိုး (048/22) II ႀကိမ္ေပး</t>
  </si>
  <si>
    <t>ေဒၚသီအိမ္ အသုံးစာရင္း</t>
  </si>
  <si>
    <t>U Aung Kyi - Rubber ဖိုး (012/21) II ႀကိမ္ေပး</t>
  </si>
  <si>
    <t>000034</t>
  </si>
  <si>
    <t>Golden Horse - Nexen Tube +Nylon Tyre Duty</t>
  </si>
  <si>
    <t>Golden Horse - Nexen Tube +Nylon Tyre Agent ခ</t>
  </si>
  <si>
    <t>000035</t>
  </si>
  <si>
    <t>Electricity Charges-Belin</t>
  </si>
  <si>
    <t>(12/21)စက္႐ုံမီတာခ</t>
  </si>
  <si>
    <t>Great Power သို႕ Diesel (7275Li x 1428)</t>
  </si>
  <si>
    <t>SBB Interfreight -Transportation Cost (USD - 5950 x 1795)</t>
  </si>
  <si>
    <t>SBB Interfreight - Custom Duty+Tax+Service</t>
  </si>
  <si>
    <t>26.1.22</t>
  </si>
  <si>
    <t>U Nyi Nyi Soe - Rubber ဖိုးေပး III ႀကိမ္</t>
  </si>
  <si>
    <t>000036</t>
  </si>
  <si>
    <t>Golden Horse - (1x20')Bead Wire Duty ခ</t>
  </si>
  <si>
    <t>Golden Horse - (1x20')Bead Wire Agent ခ</t>
  </si>
  <si>
    <t>(1/22) ဘီးလင္းစက္႐ုံလစာ (ဒု) ႀကိမ္လြဲ</t>
  </si>
  <si>
    <t>E Sun Bank - ႀကိဳ၀ယ္ (USD -50000 x 1786.5)</t>
  </si>
  <si>
    <t>E Sun Bank - (USD - 20000 x 1786.5) YT</t>
  </si>
  <si>
    <t>U Kyaw - Junky Transfer (USD-264303 x1840)</t>
  </si>
  <si>
    <t>U Kyaw - Mr.Dong Transfer (USD-235697 x 1840)</t>
  </si>
  <si>
    <t>27.1.22</t>
  </si>
  <si>
    <t>(1/22) ဘီးလင္းစက္႐ုံလစာ (တ) ႀကိမ္လြဲ</t>
  </si>
  <si>
    <t>000040</t>
  </si>
  <si>
    <t>Gas Expenses-Belin</t>
  </si>
  <si>
    <t>MOGE Gas (Nov/21) (USD-8098.66 x 1735)</t>
  </si>
  <si>
    <t>Shwe Young Pya - Rubber ဖိုး (016/21) III ႀကိမ္လြဲ</t>
  </si>
  <si>
    <t>U Nyi Nyi Soe - Rubber ဖိုး (048/22) က်န္ေငြေပး</t>
  </si>
  <si>
    <t>U Nyi Nyi Soe - Rubber ဖိုး (049/22) I ႀကိမ္ေပး</t>
  </si>
  <si>
    <t>000039</t>
  </si>
  <si>
    <t>Gas Expenses-YTF</t>
  </si>
  <si>
    <t>MOGE သို႕ Gas ဖိုးေပး (Nov/21) USD-1489.15x1778</t>
  </si>
  <si>
    <t>035145</t>
  </si>
  <si>
    <t>ဦးသိန္း၀င္း SMS သို႕ေပး (USD-92988 x 1962.50)</t>
  </si>
  <si>
    <t>ဦးသိန္း၀င္း SMS သို႕ေပး (         ။        ။      )</t>
  </si>
  <si>
    <t>021498</t>
  </si>
  <si>
    <t>မန္းပါဝါ (Nylon +Radial) Jan to Jun 21 Rebate ေပး</t>
  </si>
  <si>
    <t>021497</t>
  </si>
  <si>
    <t>ဦးေတာ္မီ (Nylon+Radial)Jan to Jun 21 Rebate ေပး</t>
  </si>
  <si>
    <t>035142</t>
  </si>
  <si>
    <t>ဦးအီဆပ္ (Nylon+Radial)Jan to Jun 21 Rebate ေပး</t>
  </si>
  <si>
    <t>035141</t>
  </si>
  <si>
    <t>035143</t>
  </si>
  <si>
    <t>ဦးေမာင္ေမာင္ (Nylon+Radial)Jan to Jun 21 Rebate ေပး</t>
  </si>
  <si>
    <t>000038</t>
  </si>
  <si>
    <t>Cobalt-Boro-Nedocanoate (300Kg) Custom Duty</t>
  </si>
  <si>
    <t>021499</t>
  </si>
  <si>
    <t>MDY SR (11/21)(12/21) မီတာခ</t>
  </si>
  <si>
    <t>28.1.22</t>
  </si>
  <si>
    <t>U Nyi Nyi Soe - Rubber ဖိုး (049/22) II ႀကိမ္ေပး</t>
  </si>
  <si>
    <t>U Nyi Nyi Soe - Rubber ဖိုး (049/22) က်န္ေငြေပး</t>
  </si>
  <si>
    <t>SMA သို႕ Diesel ဖိုးေပး (7275Li x 1589)</t>
  </si>
  <si>
    <t>021500</t>
  </si>
  <si>
    <t>UTG သို႕ Tube ဖိုးေပး</t>
  </si>
  <si>
    <t>000016</t>
  </si>
  <si>
    <t>ဦးတင္ထြန္းဝါဖိုးေငြလြဲ(ပ)ႀကိမ္</t>
  </si>
  <si>
    <t>29.1.22</t>
  </si>
  <si>
    <t>U Aung Kyi - Rubber ဖိုး (012/21) III ႀကိမ္ေပး</t>
  </si>
  <si>
    <t>Daw Thi - Rubber ဖိုး (042/22) III ႀကိမ္ေပး</t>
  </si>
  <si>
    <t>U Nyi Nyi Soe - Rubber ဖိုး (050/22) I ႀကိမ္ေပး</t>
  </si>
  <si>
    <t>31.1.22</t>
  </si>
  <si>
    <t>U Nyi Nyi Soe - Rubber ဖိုး (050/22) II ႀကိမ္ေပး</t>
  </si>
  <si>
    <t>Golden Horse - Synthetic Rubber (5x20')Duty ခေပး</t>
  </si>
  <si>
    <t>Golden Horse - Synthetic Rubber (5x20') Agentခေပး</t>
  </si>
  <si>
    <t>000017</t>
  </si>
  <si>
    <t>ဝါစက္႐ုံ၀န္ထမ္းလစာ+ဦးတင္ထြန္းဝါဖိုး</t>
  </si>
  <si>
    <t>Mwa Expenses</t>
  </si>
  <si>
    <t>ေရႊက်ားအိမ္ေန႕စားခ+လစာ+(1/22)ဆစ္တိုက္တန္းခ</t>
  </si>
  <si>
    <t>MW</t>
  </si>
  <si>
    <t>ရုံးခ်ဳပ္မွဦးေဌးျဖင့္ေငြသားေပး</t>
  </si>
  <si>
    <t>Salary &amp; Wages-YTF</t>
  </si>
  <si>
    <t>ရုံးခ်ဳပ္မွဦးေဌးျဖင့္ေငြသားေပး (Jan'22 factory Salary)</t>
  </si>
  <si>
    <t>Salary &amp; Wages-SR</t>
  </si>
  <si>
    <t>SR (1/22) Salary payment</t>
  </si>
  <si>
    <t>စားစရိတ္ကုန္ေငြ</t>
  </si>
  <si>
    <t>ဧည့္ခံစရိတ္+စာရင္းစစ္ဧည့္ခံ</t>
  </si>
  <si>
    <t>Electricity Charges-SR</t>
  </si>
  <si>
    <t>(Dec/22) လွ်ပ္စစ္မီတာေၾကး</t>
  </si>
  <si>
    <t>(Dec/Jan - 22) စည္ပင္ေၾကး</t>
  </si>
  <si>
    <t>(May,Jun,July,Aug,Sept,Oct)ေရခြန္</t>
  </si>
  <si>
    <t xml:space="preserve">January လအတြက္ phone Bill </t>
  </si>
  <si>
    <t>Car Oil + Machine Oil+ျပဳျပင္ခ</t>
  </si>
  <si>
    <t>Bank ေစ်းေကာက္သြားအေထြေထြ</t>
  </si>
  <si>
    <t>I Stock အတြက္ကုန္က်ေငြ</t>
  </si>
  <si>
    <t>Service ခန္းအတြက္ကုန္က်ေငြ</t>
  </si>
  <si>
    <t>အေထြေထြျပဳျပင္စရိတ္+အသုံး</t>
  </si>
  <si>
    <t>၀န္ထမ္းမ်ားကားခ+ဦးၾကည္လင္း (၃)ရက္ ကားခ</t>
  </si>
  <si>
    <t>ဦး‌ေက်ာ္ ပန္းဆိုးတန္းအသုံးထုတ္</t>
  </si>
  <si>
    <t>Salary &amp; Wages-PSD</t>
  </si>
  <si>
    <t>ဦး‌ေက်ာ္ ပန္းဆိုးတန္းအသုံးထုတ္ ႐ုံး၀န္ထမ္းလစာ</t>
  </si>
  <si>
    <t>2.2.22</t>
  </si>
  <si>
    <t>(Dec/21) လူမႈဖူလုံေရးေဆာင္</t>
  </si>
  <si>
    <t>Great Power သို႕ Diesel ဖိုးေပး (7275Li x 1553)</t>
  </si>
  <si>
    <t>Daw Thi - Rubber ဖိုး (042/22)(053/22)</t>
  </si>
  <si>
    <t>E Sun Bank - ႀကိဳ၀ယ္ (USD - 10000 x 1786.5)</t>
  </si>
  <si>
    <t>E Sun Bank - ႀကိဳ၀ယ္ (USD - 20000 x 1786.5)</t>
  </si>
  <si>
    <t>UAB-AHM</t>
  </si>
  <si>
    <t>UAB Bank - ၾကိဳ၀ယ္ (USD - 50000 x 1993)</t>
  </si>
  <si>
    <t>3.2.22</t>
  </si>
  <si>
    <t>U Nyi Nyi Soe - Rubber ဖိုး (054/22)</t>
  </si>
  <si>
    <t>Golden Horse - (1x20') TMQ/RD Agent ခေပး</t>
  </si>
  <si>
    <t>Golden Horse - (1x40') Nylon Tyre Cord Agent ခေပး</t>
  </si>
  <si>
    <t>000044</t>
  </si>
  <si>
    <t>Golden Horse - (1x40') Nylon Tyre Cord Duty ခေပး</t>
  </si>
  <si>
    <t>Golden Horse - (1x20') TMQ/RD Duty ခေပး</t>
  </si>
  <si>
    <t>E Sun Bank - ႀကိဳ၀ယ္ (USD - 30000 x 1786.5)</t>
  </si>
  <si>
    <t>098827</t>
  </si>
  <si>
    <t>U Aung Kyi - Rubber ဖိုး (012/21) IV ႀကိမ္ေပး</t>
  </si>
  <si>
    <t>U Nyi Nyi Soe - Rubber ဖိုး (050/22) က်န္ေငြေပး</t>
  </si>
  <si>
    <t>U Nyi Nyi Soe - Rubber ဖိုး (054/22) I ႀကိမ္ေပး</t>
  </si>
  <si>
    <t>U Nyi Nyi Soe - Rubber ဖိုး (054/22) III  ႀကိမ္ေပး</t>
  </si>
  <si>
    <t>4.2.22</t>
  </si>
  <si>
    <t>U Nyi Nyi Soe - Rubber ဖိုး (054/22) IV  ႀကိမ္ေပး</t>
  </si>
  <si>
    <t>000046</t>
  </si>
  <si>
    <t>Shwe Young Pya - Rubber ဖိုး (016/21) IV ႀကိမ္ေပး</t>
  </si>
  <si>
    <t xml:space="preserve">      </t>
  </si>
  <si>
    <t>Shwe Young Pya - Rubber ဖိုး (016/21) V ႀကိမ္ေပး</t>
  </si>
  <si>
    <t>ေဒၚျမသိန္းသို႕ Plastic ဖိုးေပး</t>
  </si>
  <si>
    <t>UAB(P)</t>
  </si>
  <si>
    <t>UAB Bank - ၾကိဳ၀ယ္ (USD - 65000 x 1980)</t>
  </si>
  <si>
    <t>E Sun Bank - ႀကိဳ၀ယ္ (USD -1000 x 1786.5)</t>
  </si>
  <si>
    <t>5.2.22</t>
  </si>
  <si>
    <t>U Aung Kyi - Rubber ဖိုး (012/21) IV က်န္ေငြေပး</t>
  </si>
  <si>
    <t>U Aung Kyi - Rubber ဖိုး (013/21) I ႀကိမ္ေပး</t>
  </si>
  <si>
    <t>Daw Thi - Rubber ဖိုး (022/22) I ႀကိမ္ေပး</t>
  </si>
  <si>
    <t>U Nyi Nyi Soe - Rubber ဖိုး (054/22) က်န္ေငြေပး</t>
  </si>
  <si>
    <t>U Nyi Nyi Soe - Rubber ဖိုး (051/22) I ႀကိမ္ေပး</t>
  </si>
  <si>
    <t>7.2.22</t>
  </si>
  <si>
    <t>U Nyi Nyi Soe - Rubber ဖိုး (051/22) II ႀကိမ္ေပး</t>
  </si>
  <si>
    <t>UAB Bank - ၾကိဳ၀ယ္ (USD - 500 x 1978)</t>
  </si>
  <si>
    <t>(Jan/22) အတြက္ ထုတ္လုပ္မွဳအခြန္ေဆာင္</t>
  </si>
  <si>
    <t>Shwe Young Pya - Rubber ဖိုး (016/21) VI ႀကိမ္ေပး</t>
  </si>
  <si>
    <t>စာေရးကိရိယာ+ခ်ည္လက္အိတ္၊ႏွာေခါင္းစီး</t>
  </si>
  <si>
    <t>စာေရးကိရိယာ</t>
  </si>
  <si>
    <t>BYN SR စာေရးကိရိယာ+ႏွာေခါင္းစီး</t>
  </si>
  <si>
    <t>ကေလာအတြက္ႏွာေခါင္းစီး၀ယ္</t>
  </si>
  <si>
    <t>စာေရးကိရိယာ+ႏွာေခါင္းစီး</t>
  </si>
  <si>
    <t>8.2.22</t>
  </si>
  <si>
    <t>U Nyi Nyi Soe - Rubber ဖိုး (051/22) III ႀကိမ္ေပး</t>
  </si>
  <si>
    <t>E Sun Bank - ႀကိဳ၀ယ္ (USD - 5000 x 1786.5)</t>
  </si>
  <si>
    <t>MEB-HM</t>
  </si>
  <si>
    <t>059157</t>
  </si>
  <si>
    <t>ျမန္မာ့သစ္လုပ္ငန္းတာယာတင္ဒါကုန္သြယ္ခြန္(၅%)သြင္း</t>
  </si>
  <si>
    <t>059158</t>
  </si>
  <si>
    <t>ျမန္မာ့သစ္လုပ္ငန္းတာယာတင္ဒါ၀င္ေငြခြန္(၂%)သြင္း</t>
  </si>
  <si>
    <t>Great Power သို႕ Diesel ဖိုး (7275 Li x 1603)</t>
  </si>
  <si>
    <t>Great Power သို႕ Diesel ဖိုး (12730 Li x 1591)</t>
  </si>
  <si>
    <t>Daw Thi - Rubber ဖိုး က်န္ေငြေပး (022/22)</t>
  </si>
  <si>
    <t>000047</t>
  </si>
  <si>
    <t>Shwe Young Pya - Rubber ဖိုး VII ၾကိမ္ေပး (016/21)</t>
  </si>
  <si>
    <t>(107) ဦး ပင္စင္ထည့္၀င္ေၾကး</t>
  </si>
  <si>
    <t>9.2.22</t>
  </si>
  <si>
    <t>AYA-MPTG</t>
  </si>
  <si>
    <t>000005</t>
  </si>
  <si>
    <t>2018-2019 ၀င္ေငြႏွစ္အတြက္ CT &amp; IT Tax</t>
  </si>
  <si>
    <t>ေအာင္ေက်ာ္စည္ Tube ဖိုးေပး(380Pcs x 9900)</t>
  </si>
  <si>
    <t>E Comax - Reclaimed Rubber (001/22) 20Ton x 970000</t>
  </si>
  <si>
    <t>Polyester Tyre Cord &amp; Carbon Black Duty ခေပး</t>
  </si>
  <si>
    <t>Polyester Tyre Cord &amp; Carbon Black Agent ခေပး</t>
  </si>
  <si>
    <t>E Sun Bank - ႀကိဳ၀ယ္ (USD - 25000 x 1786.5)</t>
  </si>
  <si>
    <t>10.2.22</t>
  </si>
  <si>
    <t>U Aung Kyi - Rubber ဖိုး (013/21) II ႀကိမ္ေပး</t>
  </si>
  <si>
    <t>U Nyi Nyi Soe - Rubber ဖိုး (051/22) IV ႀကိမ္ေပး</t>
  </si>
  <si>
    <t>035146</t>
  </si>
  <si>
    <t>Multipack - MC Red &amp; MC Green ဖိုး‌ေပးေခ်ျခင္း</t>
  </si>
  <si>
    <t>11.2.22</t>
  </si>
  <si>
    <t>Star သို႕ Catalogue (1000Pcs x 1030)</t>
  </si>
  <si>
    <t>Tun Star သို႕ Gear Oil ဖိုး (8 Drum x 970000) 10% Dis</t>
  </si>
  <si>
    <t>000018</t>
  </si>
  <si>
    <t>ၿမိဳ႕သစ္အုတ္တံတိုင္းေဆးသုတ္+ပစၥည္း၀ယ္+လက္ခ+ေဆးပုံးပို႕ခ</t>
  </si>
  <si>
    <t>ဝါစက္႐ုံေန႕စားခ+အေထြေထြ</t>
  </si>
  <si>
    <t>000019</t>
  </si>
  <si>
    <t>ဝါစက္႐ုံပိတ္စဖိုးေပးေခ်ျခင္း</t>
  </si>
  <si>
    <t>14.2.22</t>
  </si>
  <si>
    <t>U Nyi Nyi soe - Rubber ဖိုး (051/22)က်န္ေငြ (056/22)I ႀကိမ္ေပး</t>
  </si>
  <si>
    <t>U Nyi Nyi soe - Rubber ဖိုး (056/22) II ႀကိမ္</t>
  </si>
  <si>
    <t>Shwe Young Pya - Rubber ဖိုး က်န္ေငြေပး (016/21)</t>
  </si>
  <si>
    <t>000048</t>
  </si>
  <si>
    <t>KBZ(L)HM</t>
  </si>
  <si>
    <t>KBZ(B)HM</t>
  </si>
  <si>
    <t>035147</t>
  </si>
  <si>
    <t>UAB Bank - (USD-22800 x 1979) ႀကိဳ၀ယ္ (YT)</t>
  </si>
  <si>
    <t>U Nyi Nyi Soe - Rubber ဖိုး (056/22) က်န္ေငြေပး</t>
  </si>
  <si>
    <t>U Nyi Nyi Soe - Rubber ဖိုး (052/22) I ႀကိမ္ေပး</t>
  </si>
  <si>
    <t xml:space="preserve">UTW - UBE Transfer </t>
  </si>
  <si>
    <t>15.2.22</t>
  </si>
  <si>
    <t>U Nyi Nyi Soe - Rubber ဖိုး (052/22) II ႀကိမ္ေပး</t>
  </si>
  <si>
    <t>KBZ မွ၀င္</t>
  </si>
  <si>
    <t>E sun Bank - (USD - 1132.68 x 1786.5)</t>
  </si>
  <si>
    <t>Daw Thi - Rubber ဖိုး (043/22) I ႀကိမ္ေပး</t>
  </si>
  <si>
    <t>Golden Horse - (12/21) အတြက္ Agent (12 x 40')(1 x 20')</t>
  </si>
  <si>
    <t>Golden Horse - (12/21) အတြက္ Agent (7 x 20')</t>
  </si>
  <si>
    <t>Golden Horse - (12/21) အတြက္ Agent (2 x 40')(4 x 20')</t>
  </si>
  <si>
    <t>U Myo Thant - (12/21) အတြက္ (12x 40') Ctnr ကားခေပး</t>
  </si>
  <si>
    <t>U Myo Thant - (12/21) အတြက္ (7 x 20') Ctnr ကားခေပး</t>
  </si>
  <si>
    <t>U Myo Thant - (12/21) အတြက္ (4 x 20')(2 x 40') Ctnr ကားခေပး</t>
  </si>
  <si>
    <t>U Myo Thant - (12/21) အတြက္ (4 x 40') Ctnr ကားခေပး</t>
  </si>
  <si>
    <t>000020</t>
  </si>
  <si>
    <t>ေကြ႕ၾကီးမီးသတ္+ဘုရားပြဲအလွဴ+ကိုျမင့္ေက်ာ္မဂၤလာလက္ဖြဲ႕</t>
  </si>
  <si>
    <t>000021</t>
  </si>
  <si>
    <t>ျမိဳ႕သစ္ရပ္ကြက္လမ္းေဘးေျမ(၄)ကြက္နွင့္အတြင္းလမ္းေျမ(၄)ကြက္ဂရံေလ်ွာက္</t>
  </si>
  <si>
    <t>Great Power သို႕ Diesel PHSD - 7275Li x 1613</t>
  </si>
  <si>
    <t xml:space="preserve">Daw Thi - Rubber ဖိုး (043/22)က်န္ေငြ (055/22) </t>
  </si>
  <si>
    <t xml:space="preserve">UAB Bank - ၾကိဳ၀ယ္ (USD - 39654 x 1973) </t>
  </si>
  <si>
    <t>16.2.22</t>
  </si>
  <si>
    <t>U Aung Kyi - Rubber ဖိုး (013/21) က်န္ေငြေပး</t>
  </si>
  <si>
    <t>U Aung Kyi - Rubber ဖိုး (014/21) I ႀကိမ္ေပး</t>
  </si>
  <si>
    <t>U Nyi Nyi Soe - Rubber ဖိုး (052/22) III ႀကိမ္ေပး</t>
  </si>
  <si>
    <t>Daw Thi - Rubber ဖိုး (059/22) I ႀကိမ္ေပး</t>
  </si>
  <si>
    <t>Dec/21 MOGE ဖိုးေပးေဆာင္ျခင္း</t>
  </si>
  <si>
    <t>Golden Horse - (1x40')Nylon Tyre+(1x20')Dong Ah Duty ခေပး</t>
  </si>
  <si>
    <t>Golden Horse - (1x40')Nylon Tyre+(1x20')Dong Ah Agent ခေပး</t>
  </si>
  <si>
    <t>Golden Horse - (1x40') Zinc Oxide Agent ခေပး</t>
  </si>
  <si>
    <t>000049</t>
  </si>
  <si>
    <t>Golden Horse - (1x40') Zinc Oxide Duty ခေပး</t>
  </si>
  <si>
    <t>098830</t>
  </si>
  <si>
    <t>MDY SR စားစရိတ္+အေထြေထြ</t>
  </si>
  <si>
    <t>17.2.22</t>
  </si>
  <si>
    <t>035149</t>
  </si>
  <si>
    <t>UAB Bank - ၾကိဳ၀ယ္ (USD - 32000 x 1969) YT</t>
  </si>
  <si>
    <t>000050</t>
  </si>
  <si>
    <t>(1/22) ပန္းဆိုးတန္း႐ုံးမီတာေဆာင္ခ</t>
  </si>
  <si>
    <t>U Nyi Nyi Soe - Rubber ဖိုး (052/22) IV ႀကိမ္ေပး</t>
  </si>
  <si>
    <t>18.2.22</t>
  </si>
  <si>
    <t>000076</t>
  </si>
  <si>
    <t>(Jan/22) ကေမၻာဇအိမ္မီတာခ</t>
  </si>
  <si>
    <t>021528</t>
  </si>
  <si>
    <t>ဘဘစိန္ႏွစ္လည္ ပေဇၨာတာရုံေက်ာင္းဆြမ္းကပ္</t>
  </si>
  <si>
    <t>ဦးေလးၾကည္ကြယ္လြန္လွဴးါန္းေငြ+ဦးၾကီးသန္းႏွစ္လည္</t>
  </si>
  <si>
    <t>000022</t>
  </si>
  <si>
    <t>၀ါစက္႐ုံေန႕စားခ+အေထြေထြ</t>
  </si>
  <si>
    <t>ေရႊက်ားအိမ္ ဘဘစိန္ႏွစ္လည္+အေထြေထြ</t>
  </si>
  <si>
    <t>UTW - Mr.Dong Transfer (USD - 55000 x 1963)</t>
  </si>
  <si>
    <t>19.2.22</t>
  </si>
  <si>
    <t>U Nyi Nyi Soe - Rubber ဖိုး (052/22) က်န္ေငြေပး</t>
  </si>
  <si>
    <t>U Nyi Nyi Soe - Rubber ဖိုး (057/22) I ႀကိမ္ေပး</t>
  </si>
  <si>
    <t>21.2.22</t>
  </si>
  <si>
    <t>U Nyi Nyi Soe - Rubber ဖိုး (063/22) I ႀကိမ္ေပး</t>
  </si>
  <si>
    <t>Daw Thi - Rubber ဖိုး (059/22)က်န္ေငြေပး</t>
  </si>
  <si>
    <t>LUB World သို႕ Hydralic TS68 - 5 Drum x758000</t>
  </si>
  <si>
    <t>Golden Horse - (2x20')Aromatic Oil &amp; (1x40')TMQ/RD Duty ခေပး</t>
  </si>
  <si>
    <t>Golden Horse - (2x20')Aromatic Oil &amp; (1x40')TMQ/RD Agent ခေပး</t>
  </si>
  <si>
    <t>UAB Bank - ႀကိဳ၀ယ္ (USD - 39760 x 1968)</t>
  </si>
  <si>
    <t>098831</t>
  </si>
  <si>
    <t>UAB Bank - ကုန္သြယ္ေရး A/c သြင္း</t>
  </si>
  <si>
    <t>Mobile Banking</t>
  </si>
  <si>
    <t>Internet Expenses</t>
  </si>
  <si>
    <t>(1/22) Myanmar Net Bill က်န္ေငြ</t>
  </si>
  <si>
    <t>(2/22) Mynamar Net Bill ေဆာင္</t>
  </si>
  <si>
    <t>(3/22) Mynamar Net Bill ေဆာင္</t>
  </si>
  <si>
    <t>22.2.22</t>
  </si>
  <si>
    <t>U Nyi Nyi Soe - Rubber ဖိုး (063/22) က်န္ေငြေပး</t>
  </si>
  <si>
    <t>038351</t>
  </si>
  <si>
    <t>UAB Bank - ၾကိဳ၀ယ္ (USD - 80000 x 1967) YT</t>
  </si>
  <si>
    <t>098832</t>
  </si>
  <si>
    <t>UAB Bank - ၾကိဳ၀ယ္ (         ။              ။     ) YT</t>
  </si>
  <si>
    <t>Tradenet 2.0 Training Fees</t>
  </si>
  <si>
    <t>Shwe Young Pya - Rubber ဖိုး (020/22) I ႀကိမ္ေပး</t>
  </si>
  <si>
    <t>KBZ(P)TM</t>
  </si>
  <si>
    <t>စက္႐ုံလစာ 2/22 ပႀကိမ္လြဲ</t>
  </si>
  <si>
    <t>Great Power သို႕ Diesel PHSD - 7275Li x 1608</t>
  </si>
  <si>
    <t>Cash Pay</t>
  </si>
  <si>
    <t>MICB - ႀကိဳ၀ယ္ (USD - 36700 x 1963)</t>
  </si>
  <si>
    <t>U Tun Wai - Mr.Dong Transfer (USD - 31000 x 1962)</t>
  </si>
  <si>
    <t>U Tun Wai - Mr.Dong Transfer (           ။        ။        )</t>
  </si>
  <si>
    <t>U Nyi Nyi Soe - Rubber ဖိုး (057/22) II ႀကိမ္ေပး</t>
  </si>
  <si>
    <t>23.2.22</t>
  </si>
  <si>
    <t>Shwe Young Pya သို႕ Rubber ဖိုး (020/22) II ႀကိမ္ေပး</t>
  </si>
  <si>
    <t>Shwe Young Pya သို႕ Rubber ဖိုး (020/22) III ႀကိမ္ေပး</t>
  </si>
  <si>
    <t>၀န္ထမ္းလစာေငြလြဲ 2/22</t>
  </si>
  <si>
    <t>YT စက္႐ုံအတြက္ MPTG Tube ၀ယ္</t>
  </si>
  <si>
    <t>000077</t>
  </si>
  <si>
    <t>Golden Horse - (1x40')TMQ/RD +(3x40')Carbon Black Duty ခေပး</t>
  </si>
  <si>
    <t>Golden Horse - (1x40')TMQ/RD +(3x40')Carbon Black Agent ခေပး</t>
  </si>
  <si>
    <t xml:space="preserve">E Sun Bank - ႀကိဳသြင္း </t>
  </si>
  <si>
    <t>24.2.22</t>
  </si>
  <si>
    <t>U Aung Kyi - Rubber ဖိုး (014/21) II ႀကိမ္ေပး</t>
  </si>
  <si>
    <t>000006</t>
  </si>
  <si>
    <t>UAB Bank - ႀကိဳ၀ယ္ (USD - 89500 x 1964)</t>
  </si>
  <si>
    <t>000007</t>
  </si>
  <si>
    <t>UAB Bank - ႀကိဳ၀ယ္ (      ။           ။         )</t>
  </si>
  <si>
    <t>MEC-HM</t>
  </si>
  <si>
    <t>016989</t>
  </si>
  <si>
    <t>(1/22) မီတာ‌ေဆာင္ခ</t>
  </si>
  <si>
    <t>U Nyi Nyi Soe - Rubber ဖိုး (057/22) III ႀကိမ္ေပး</t>
  </si>
  <si>
    <t>Daw Thi - Rubber ဖိုး (065/22) I ႀကိမ္ေပး</t>
  </si>
  <si>
    <t>25.2.22</t>
  </si>
  <si>
    <t>အန္တီႀကိဳင္ေဆး႐ုံးတတ္သြား</t>
  </si>
  <si>
    <t>Shwe Young Pya - Rubber ဖိုး (020/22)IV ႀကိမ္ေပး</t>
  </si>
  <si>
    <t>006571</t>
  </si>
  <si>
    <t>Rental Charges-Belin</t>
  </si>
  <si>
    <t>စက္႐ုံဌားရမ္းခ</t>
  </si>
  <si>
    <t>Golden Horse - (1x40')Nylon Tyre Cord +(1x40') Dong Ah Duty ခေပး</t>
  </si>
  <si>
    <t>Golden Horse - (1x40')Nylon Tyre Cord +(1x40') Dong Ah Agent ခေပး</t>
  </si>
  <si>
    <t>Golden Horse - (3x40')Carbon Black Agent ခေပး</t>
  </si>
  <si>
    <t>Golden Horse - (3x40')Carbon Black Duty ခေပး</t>
  </si>
  <si>
    <t>Daw Thi - Rubber ဖိုး (065/22)</t>
  </si>
  <si>
    <t>ေရႊျမန္မာဆန္စက္သို႕ ဆန္အိတ္ဖိုး</t>
  </si>
  <si>
    <t>038352</t>
  </si>
  <si>
    <t>UAB Bank - ႀကိဳ၀ယ္ (USD - 28650 x 1964)</t>
  </si>
  <si>
    <t>UAB Bank - ႀကိဳ၀ယ္ (      ။           ။      )</t>
  </si>
  <si>
    <t>မုံရြာၿမိဳ႕သစ္အိမ္(၃)လုံးေဆာက္ရန္</t>
  </si>
  <si>
    <t>2/22 ဝါစက္႐ုံလစာလြဲ</t>
  </si>
  <si>
    <t>26.2.22</t>
  </si>
  <si>
    <t>U Nyi Nyi Soe - Rubber ဖိုး (057/22) IV ႀကိမ္ေပး</t>
  </si>
  <si>
    <t>28.2.22</t>
  </si>
  <si>
    <t>U Nyi Nyi Soe - Rubber ဖိုး (057/22) က်န္ေငြေပး</t>
  </si>
  <si>
    <t>U Nyi Nyi Soe - Rubber ဖိုး (062/22) I ႀကိမ္ေပး</t>
  </si>
  <si>
    <t>E Sun Bank - ႀကိဳ၀ယ္ (USD - 40000 x 1786.8)</t>
  </si>
  <si>
    <t>SMA သို႕ Diesel ဖိုးေပး (7275Li x 1609)</t>
  </si>
  <si>
    <t>Great Power သို႕ Diesel ဖိုး (7275Li x 1613)</t>
  </si>
  <si>
    <t>Jananuary 2022 ဖူလုံေရးေဆာင္</t>
  </si>
  <si>
    <t>000023</t>
  </si>
  <si>
    <t>၀ါစက္ရုံလစာ+အေထြေထြသုံး</t>
  </si>
  <si>
    <t>ေရႊက်ားအိမ္လစာ+ဆစ္တိုက္တန္းခ+ေန႕စားခ+အေထြေထြ</t>
  </si>
  <si>
    <t>(2/22) ပန္းဆိုးတန္းရုံးလစာ</t>
  </si>
  <si>
    <t>Salary &amp; Wages-MDY</t>
  </si>
  <si>
    <t>(2/22) MDY SR လစာ</t>
  </si>
  <si>
    <t>(2/22) MDY SR အေထြေထြ</t>
  </si>
  <si>
    <t>ရုံးခ်ဳပ္မွဦးေဌးျဖင့္ေငြသားေပး (feb'22 factory Salary)</t>
  </si>
  <si>
    <t>U Kyaw ပန္းဆိုးတန္းအသုံးထုတ္</t>
  </si>
  <si>
    <t>1.3.22</t>
  </si>
  <si>
    <t>(2/22) BYN SR လစာ</t>
  </si>
  <si>
    <t>SR 2/2022 မီတာခ</t>
  </si>
  <si>
    <t>Internet Bill</t>
  </si>
  <si>
    <t xml:space="preserve">ဧည့္ခံစရိတ္ </t>
  </si>
  <si>
    <t xml:space="preserve">Feb လအတြက္ phone Bill </t>
  </si>
  <si>
    <t>အေထြေထြျပဳျပင္စရိတ္</t>
  </si>
  <si>
    <t>၀န္ထမ္းမ်ားကားခကုန္ေငြ</t>
  </si>
  <si>
    <t>Golden Horse - Bead Wire Duty ခေပး</t>
  </si>
  <si>
    <t>Golden Horse - Bead Wire Agent ခေပး</t>
  </si>
  <si>
    <t>Daw Thi - Rubber ဖိုး (065/22)က်န္ေငြ (064/22) I ႀကိမ္ေပး</t>
  </si>
  <si>
    <t>U Kyaw - Junky Transfer</t>
  </si>
  <si>
    <t>E Sun Bank - HM A/c ႀကိဳသြင္း</t>
  </si>
  <si>
    <t>2.3.22</t>
  </si>
  <si>
    <t>U Aung Kyi - Rubber ဖိုး (014/21) က်န္ေငြေပး</t>
  </si>
  <si>
    <t>U Aung Kyi - Rubber ဖိုး (015/21) I ႀကိမ္ေပး</t>
  </si>
  <si>
    <t>Daw Thi - Rubber ဖိုး (064/22) II ႀကိမ္ေပး</t>
  </si>
  <si>
    <t>3.3.22</t>
  </si>
  <si>
    <t>YNE သို႕ေပး (USD-20740.18 x 1900)</t>
  </si>
  <si>
    <t>098833</t>
  </si>
  <si>
    <t>E Sun Bank - HM ႀကိဳ၀ယ္ (USD-30000 x 1786.8)</t>
  </si>
  <si>
    <t>098834</t>
  </si>
  <si>
    <t>E Sun Bank - HM ႀကိဳ၀ယ္ (  ။            ။    )</t>
  </si>
  <si>
    <t>ေငြေဆာင္ဟိုတယ္ေဆာက္လုပ္ေရးအတြက္လြဲ</t>
  </si>
  <si>
    <t>မီတာခ(1/22) စက္႐ုံ+အိမ္ယာ+ေရတြန္းစက္</t>
  </si>
  <si>
    <t>ေဒၚေမာ္အိမ္အသုံး+အေထြေထြလစာ စာရင္း</t>
  </si>
  <si>
    <t>U Nyi Nyi Soe - Rubber ဖိုးက်န္ေငြရှင္း</t>
  </si>
  <si>
    <t>4.3.22</t>
  </si>
  <si>
    <t>ေဒၚျမသိန္းသို႕ Plastic ဖိုးေပး (1800Lb x 1800)</t>
  </si>
  <si>
    <t>T Shirt (125Pcs x 6000)</t>
  </si>
  <si>
    <t>မီးစက္အတြက္ ဒီဇယ္၀ယ္</t>
  </si>
  <si>
    <t>098835</t>
  </si>
  <si>
    <t>UAB ကုန္သြယ္ေရး A/c သြင္း</t>
  </si>
  <si>
    <t>MDY၀န္ထမ္းစားစရိတ္</t>
  </si>
  <si>
    <t>E Sun Bank - AHM A/c သြင္း</t>
  </si>
  <si>
    <t>5.3.22</t>
  </si>
  <si>
    <t>U Aung Kyi - Rubber ဖိုး (015/21) II ႀကိမ္ေပး</t>
  </si>
  <si>
    <t>7.3.22</t>
  </si>
  <si>
    <t>U Aung Kyi - Rubber ဖိုး (015/21) III ႀကိမ္ေပး</t>
  </si>
  <si>
    <t>038353</t>
  </si>
  <si>
    <t>ေအာင္ေက်ာ္စည္ - Tube ဖိုး (800Pcs x 11200) 5% Dis</t>
  </si>
  <si>
    <t>Audit Fees</t>
  </si>
  <si>
    <t>Daw Than Than Naing (Audit) သို႕ေပး</t>
  </si>
  <si>
    <t>Golden Horse - (1x20')Zinc Oxide Duty ခ</t>
  </si>
  <si>
    <t>Golden Horse - (1x20')Zinc Oxide Agent ခ</t>
  </si>
  <si>
    <t>Shwe Young Pya - Rubber ဖိုး (020/22) V ႀကိမ္ေပး</t>
  </si>
  <si>
    <t>Shwe Young Pya - Rubber ဖိုး (020/22) VI ႀကိမ္ေပး</t>
  </si>
  <si>
    <t>8.3.22</t>
  </si>
  <si>
    <t>cash</t>
  </si>
  <si>
    <t xml:space="preserve">E Sun Bank - A/c သြင္း </t>
  </si>
  <si>
    <t>Golden Horse - (3x40')Carbon Balck+(2x20')Aromatic Oil Duty ခ</t>
  </si>
  <si>
    <t>Golden Horse - (3x40')Carbon Balck+(2x20')Aromatic Oil Agent ခ</t>
  </si>
  <si>
    <t>BYN SR Mask ၀ယ္</t>
  </si>
  <si>
    <t>စာေရးကိရိယာ+မွင္ဘူး+Mask+ခ်ည္လက္အိတ္</t>
  </si>
  <si>
    <t>ေဒၚရတနာသို႕ေငြသားျပန္ေပး</t>
  </si>
  <si>
    <t>098836</t>
  </si>
  <si>
    <t>ေဒၚေမာ္သို႕ေငြသားျပန္ေပး</t>
  </si>
  <si>
    <t>038354</t>
  </si>
  <si>
    <t>ဦးေဌးသို႕ေငြသားျပန္ေပး</t>
  </si>
  <si>
    <t>ေဒၚသီတာသို႕ေငြသားျပန္ေပး</t>
  </si>
  <si>
    <t xml:space="preserve">E Sun Bank - HM A/c ႀကိဳသြင္း </t>
  </si>
  <si>
    <t>9.3.22</t>
  </si>
  <si>
    <t>U Aung Kyi - Rubber ဖိုး (015/21) က်န္ေငြေပး</t>
  </si>
  <si>
    <t>U Aung Kyi - Rubber ဖိုး (017/21) I ႀကိမ္ေပး</t>
  </si>
  <si>
    <t>Daw Thi - Rubber ဖိုး (064/22) က်န္ေငြေပး</t>
  </si>
  <si>
    <t>U Nyi Nyi Soe - Rubber ဖိုး (062/22) II ႀကိမ္ေပး</t>
  </si>
  <si>
    <t>Daw Thi - Rubber ဖိုး (068/22) I ႀကိမ္ေပး</t>
  </si>
  <si>
    <t>ေငြေဆာင္ Transformer အတြက္ Deposit သြင္းေငြ</t>
  </si>
  <si>
    <t>ေငြေဆာင္ Transformer အတြက္ အာမခံေငြ+ႀကိဳးသြယ္မီးဆက္ခ+ဌာနႀကီးၾကပ္</t>
  </si>
  <si>
    <t>Shwe Young Pya - Rubber ဖိုး (020/22) က်န္ေငြေပး</t>
  </si>
  <si>
    <t>028599</t>
  </si>
  <si>
    <t>Great Power သို႕ Diesel ဖိုးေပး</t>
  </si>
  <si>
    <t>10.3.22</t>
  </si>
  <si>
    <t>U Aung Kyi - Rubber ဖိုး (017/21) က်န္ေငြေပး</t>
  </si>
  <si>
    <t>U Aung Kyi - Rubber ဖိုး (018/22) I ႀကိမ္ေပး</t>
  </si>
  <si>
    <t>E Sun Bank - HM A/c သြင္း</t>
  </si>
  <si>
    <t>U Nyi Nyi Soe - Rubber ဖိုး (062/22) III ႀကိမ္ေပး</t>
  </si>
  <si>
    <t>11.3.22</t>
  </si>
  <si>
    <t>U Nyi Nyi Soe - Rubber ဖိုး (062/22) က်န္ေငြေပး</t>
  </si>
  <si>
    <t>000024</t>
  </si>
  <si>
    <t>၀ါစက္႐ုံေန႕စားခ+ဝါစက္႐ုံအေထြေထြသုံး</t>
  </si>
  <si>
    <t>ၿမိဳ႕သစ္၀င္းအေဆာက္အဦးအတြက္လိုေငြ</t>
  </si>
  <si>
    <t>မံုရြာၿမိဳ႕သစ္ရပ္ကြက္ ေျမ(၄)ကြက္ႏွင့္အတြင္းလမ္း(၄)ကြက္ဂရံေလွ်ာက္ဒုႀကိမ္</t>
  </si>
  <si>
    <t>ဘီးလင္းစက္႐ုံဌားရမ္းခ CT Tax (5%)(Dec 21 to May 22)</t>
  </si>
  <si>
    <t>စက္မႈ၀န္ႀကီးဌာနအမွတ္(၂)စက္မႈလုပ္ငန္းဆြမ္းဆန္စိမ္းေလာင္းရန္အလွဴေငြ</t>
  </si>
  <si>
    <t>MDY SR မီးစက္ဆီ၀ယ္+အေထြေထြသုံး</t>
  </si>
  <si>
    <t>U Myo Thant - (2x20')Aromatic Oil Duty ခေပး</t>
  </si>
  <si>
    <t>U Myo Thant - (2x20')Aromatic Oil Agent ခေပး</t>
  </si>
  <si>
    <t>E Sun Bank - TM A/c ႀကိဳသြင္း</t>
  </si>
  <si>
    <t>14.3.22</t>
  </si>
  <si>
    <t>Gold Ok Transfer -  U Htin Kyaw  SGD 11523 x 1460</t>
  </si>
  <si>
    <t>U Tun Wai - Mr.Dong Transfer (USD-71000 x 2008)</t>
  </si>
  <si>
    <t>U Tun Wai - Mr.Dong Transfer (    ။                ။  )</t>
  </si>
  <si>
    <t>UAB -TM</t>
  </si>
  <si>
    <t>098837</t>
  </si>
  <si>
    <t>Gold Ok Transfer -  U Htin Kyaw  (    ။               ။     )</t>
  </si>
  <si>
    <t>UTG သို႕ Tube ဖိုးေပး 700 x 750 -16 (3 &amp; 2%)Dis</t>
  </si>
  <si>
    <t>ေဒၚျမသိန္းသို႕ - Plastic ဖိုးေပး (5577.1Lb x 1925)</t>
  </si>
  <si>
    <t>SMA သို႕ - Diesel ဖိုးေပး (7275 Li x 1942)</t>
  </si>
  <si>
    <t>U Aung Kyi - Rubber ဖိုး (018/22) II ႀကိမ္ေပး</t>
  </si>
  <si>
    <t>15.3.22</t>
  </si>
  <si>
    <t>U Aung Kyi - Rubber ဖိုး (018/22) III ႀကိမ္ေပး</t>
  </si>
  <si>
    <t>Tun Star - Dynamic Plus &amp; Gear EP220 ဖိုးေပး</t>
  </si>
  <si>
    <t>098838</t>
  </si>
  <si>
    <t>U Tun Wai - Barcol Air Transfer (USD-5250 x 2015)</t>
  </si>
  <si>
    <t>Gold Ok - မိုးသက္ထား (SGD - 11283 x 1465)</t>
  </si>
  <si>
    <t>17.3.22</t>
  </si>
  <si>
    <t>Golden Horse - (1x20') Ground Sulphur Duty ခေပး</t>
  </si>
  <si>
    <t>Golden Horse - (1x20')Bead Wire Duty ခေပး</t>
  </si>
  <si>
    <t>Golden Horse - (1x20')SBR + Zinc Oxide Duty ခေပး</t>
  </si>
  <si>
    <t>Golden Horse - (1x20')Bead Wire Agent ခေပး</t>
  </si>
  <si>
    <t>Golden Horse - (1x20')SBR + Zinc Oxide Agent ခေပး</t>
  </si>
  <si>
    <t>Golden Horse - (1x20') Ground Sulphur Agent ခေပး</t>
  </si>
  <si>
    <t>ကိုမင္းမင္းထြန္း သို႕ Lincense (6) ေစာင္ ၀န္ေဆာင္ခေပး</t>
  </si>
  <si>
    <t>Great Power - Diesel ဖိုး‌ေငြေပးေခ်ျခင္း</t>
  </si>
  <si>
    <t>SMA - Diesel ဖိုးေပးေခ်ျခင္း</t>
  </si>
  <si>
    <t>E Comax-Reclaimed Rubber ဖိုးေပးေခ်ျခင္း</t>
  </si>
  <si>
    <t>ကေလာနန္းတဲေျမတိုင္းကိစၥအတြက္ေငြလြဲ</t>
  </si>
  <si>
    <t>U Nyi Nyi Soe - Rubber ဖိုး (070/22) I ႀကိမ္ေပး</t>
  </si>
  <si>
    <t>18.3.22</t>
  </si>
  <si>
    <t>U Nyi Nyi Soe - Rubber ဖိုး (070/22) II ႀကိမ္ေပး</t>
  </si>
  <si>
    <t>U Aung Kyi - Rubber ဖိုး (018/22) က်န္ေငြေပး</t>
  </si>
  <si>
    <t>U Aung Kyi - Rubber ဖိုး (019/22) I ႀကိမ္ေပး</t>
  </si>
  <si>
    <t>Daw Thi - Rubber ဖိုး (068/22) II ႀကိမ္ေပး</t>
  </si>
  <si>
    <t>098839</t>
  </si>
  <si>
    <t>MDY SR အ‌ေထြေထြအသုံး</t>
  </si>
  <si>
    <t>000025</t>
  </si>
  <si>
    <t>ဝါစက္႐ုံေန႕စားခ+အေထြေထြ+မီးအာမခံေၾကး</t>
  </si>
  <si>
    <t>သကၤန္းလွဴ</t>
  </si>
  <si>
    <t>MOGE Gas - Jan+Feb+March အတြက္ေငြသြင္း</t>
  </si>
  <si>
    <t>Daw Thi - Rubber ဖိုး</t>
  </si>
  <si>
    <t>ေဒၚျမသိန္း - Plastic ဖိုးေပးေခ်ျခင္း</t>
  </si>
  <si>
    <t>U Nyi Nyi Soe - Rubber ဖိုး</t>
  </si>
  <si>
    <t>19.3.22</t>
  </si>
  <si>
    <t>U Aung Kyi - Rubber ဖိုး (019/22) II ႀကိမ္ေပး</t>
  </si>
  <si>
    <t>21.3.22</t>
  </si>
  <si>
    <t>U Aung Kyi - Rubber ဖိုး (019/22) III ႀကိမ္ေပး</t>
  </si>
  <si>
    <t>Golden Horse - Carbon Black Agent ခေပး</t>
  </si>
  <si>
    <t>Golden Horse - Steel Cord Agent ခေပး</t>
  </si>
  <si>
    <t>Golden Horse - Dong Ah Tube +Nylon Tyre Agent ခေပး</t>
  </si>
  <si>
    <t>Golden Horse - Carbon Black Duty ခေပး</t>
  </si>
  <si>
    <t>Golden Horse - Steel Cord Duty ခေပး</t>
  </si>
  <si>
    <t>E Sun Bank - AHM A/c ႀကိဳသြင္း</t>
  </si>
  <si>
    <t>Advance Payment</t>
  </si>
  <si>
    <t>ဦးသန္းေအး (MDY) Rebate ေပး</t>
  </si>
  <si>
    <t>ပန္းဆိုးတန္း႐ုံး Internet Bill ေဆာင္</t>
  </si>
  <si>
    <t>000079</t>
  </si>
  <si>
    <t>(2/22) KBZ Home မီတာေဆာင္</t>
  </si>
  <si>
    <t>ကေလာအတြက္မီးစက္၀ယ္</t>
  </si>
  <si>
    <t xml:space="preserve">မီးစက္အတြက္ ဒီဇယ္၀ယ္ </t>
  </si>
  <si>
    <t>(3/22) လစာ (ပ) ႀကိမ္လႊဲ</t>
  </si>
  <si>
    <t>CCTV Expenses</t>
  </si>
  <si>
    <t>CCTV တပ္စရံေပးေငြ</t>
  </si>
  <si>
    <t>22.3.22</t>
  </si>
  <si>
    <t>(2/22) ဘီးလင္းစက္႐ုံမီတာခ</t>
  </si>
  <si>
    <t>Great Power - Diesel ဖိုး (7275Li x 2104)</t>
  </si>
  <si>
    <t>SMA သို႕ Diesel ဖိုး (7275 Li x 1962)</t>
  </si>
  <si>
    <t>000080</t>
  </si>
  <si>
    <t>Golden Horse - Nylon Tyre Cord(1x40')Duty ခေပး</t>
  </si>
  <si>
    <t>23.3.22</t>
  </si>
  <si>
    <t>U Kyaw - Mr.Dong Transfer (USD-31354 x 1980)</t>
  </si>
  <si>
    <t>Loan Payment</t>
  </si>
  <si>
    <t>ဦးေသာင္းစိန္ကို KBZ (P) Call A/c သို႕ထည့္ေငြျပန္ေပး</t>
  </si>
  <si>
    <t>098841</t>
  </si>
  <si>
    <t>ဦးေတာ္မီကို AYA(B)Call A/c (5000)မွ I ႀကိမ္ျပန္ေပး</t>
  </si>
  <si>
    <t>U Myo Thant - (1x40') Nylon Tyre Cord Agent ခေပး</t>
  </si>
  <si>
    <t>U Aung Kyi - Rubber ဖိုး (019/22) က်န္ေငြေပး</t>
  </si>
  <si>
    <t>Decoland - Tape ဖိုး 2'' Prin (Red &amp; Blue)</t>
  </si>
  <si>
    <t>Royal Aung Chan - Heptane (USD-18560 x 2035) ဖိုး</t>
  </si>
  <si>
    <t>ကိုစည္သူ - (USD -2000 x 1786)</t>
  </si>
  <si>
    <t>U Aung Kyi - Rubber ဖိုး (046/22) I ႀကိမ္ေပး</t>
  </si>
  <si>
    <t>24.3.22</t>
  </si>
  <si>
    <t>E Sun Bank - A/c သြင္း</t>
  </si>
  <si>
    <t>U Myo Thant - (1/22) (8x40')(2x20') Ctnr ကားခရွင္း</t>
  </si>
  <si>
    <t>U Myo Thant - (1/22) (4x40')(2x20') Ctnr ကားခရွင္း</t>
  </si>
  <si>
    <t>U Myo Thant - (12/21) (4x40')(2x20') Ctnr ကားခရွင္း</t>
  </si>
  <si>
    <t>U Myo Thant - (1/22) (4x20') Ctnr ကားခရွင္း</t>
  </si>
  <si>
    <t>U Myo Thant - (1/22) (8x40')(2x20') Agent ခရွင္း</t>
  </si>
  <si>
    <t>Golden Horse - (1/22) (4x40')(2x20') Agent ခရွင္း</t>
  </si>
  <si>
    <t>U Myo Thant - (12/21) (4x40')(2x20') Agent ခရွင္း</t>
  </si>
  <si>
    <t>U Myo Thant - (1/22) (4x40')(2x20') Agent ခရွင္း</t>
  </si>
  <si>
    <t>Golden Horse - (1/22) (4x20') Agent ခရွင္း</t>
  </si>
  <si>
    <t>Golden Horse - (12/21) (7x20') Agent ခရွင္း</t>
  </si>
  <si>
    <t>MR.Dong Transfer (USD - 31354 x 1980)</t>
  </si>
  <si>
    <t>000081</t>
  </si>
  <si>
    <t>Feb/22 အတြက္ စက္႐ုံမီတာခ</t>
  </si>
  <si>
    <t>E Sun Bank - YT A/c သြင္း</t>
  </si>
  <si>
    <t>ပင္စင္ထည့္၀င္ေၾကးသြင္း (3/22) (105) ဦးအတြက္</t>
  </si>
  <si>
    <t>ပင္စင္ထည့္၀င္ေၾကးသြင္း (2/22) (105) ဦးအတြက္</t>
  </si>
  <si>
    <t>25.3.22</t>
  </si>
  <si>
    <t>028600</t>
  </si>
  <si>
    <t>RMT Co., - HSD (7273 Li x 2130) + ကားခ</t>
  </si>
  <si>
    <t>ေဒၚျမသိန္း - Tube Power အိတ္ဖိုးေပး</t>
  </si>
  <si>
    <t>ဘီးလင္းစက္႐ုံ (3/22) လစာ II ႀကိမ္ေပး</t>
  </si>
  <si>
    <t>ေငြၾကာယံအခြန္ကိစၥထုတ္</t>
  </si>
  <si>
    <t>098842</t>
  </si>
  <si>
    <t>MDY SR တာယာတန္ဆာခ+မီတာခ+အိမ္/ေျမ ခြန္</t>
  </si>
  <si>
    <t>Ooredoo (20) လုံး Bill ေဆာင္</t>
  </si>
  <si>
    <t>ကိုေက်ာ္စိုးမင္းကေလာခရီးစရိတ္</t>
  </si>
  <si>
    <t>ဝါစက္႐ုံေန႕စားခ</t>
  </si>
  <si>
    <t>26.3.22</t>
  </si>
  <si>
    <t>U Aung Kyi - Rubber ဖိုး (046/22) II ႀကိမ္ေပး</t>
  </si>
  <si>
    <t>28.3.22</t>
  </si>
  <si>
    <t>U Aung Kyi - Rubber ဖိုး (046/22) က်န္ေငြေပး</t>
  </si>
  <si>
    <t>MDY SR CCTV မ်ားျပဳျပင္ကုန္ေငြ</t>
  </si>
  <si>
    <t>E Sun Bank AHM A/c သြင္း</t>
  </si>
  <si>
    <t>Shwe Young Pya - Rubber ဖိုး I ႀကိမ္ေပး</t>
  </si>
  <si>
    <t>000082</t>
  </si>
  <si>
    <t>U Kyaw - Junky Transfer (USD-8390 x 2050)</t>
  </si>
  <si>
    <t>U Aung Kyi - Rubber ဖိုး (021/22) I ႀကိမ္ေပး</t>
  </si>
  <si>
    <t>29.3.22</t>
  </si>
  <si>
    <t>U Aung Kyi - Rubber ဖိုး (021/22) II ႀကိမ္ေပး</t>
  </si>
  <si>
    <t>မိုးသက္ထား (Ausi 2700 x 1470)</t>
  </si>
  <si>
    <t>ကေလာအိမ္လစာ+အေထြေထြသုံး</t>
  </si>
  <si>
    <t>SMA သို႕ Diesel ဖိုးေပး</t>
  </si>
  <si>
    <t>(4/22) MPT Internet Bill Chgs</t>
  </si>
  <si>
    <t>ဦးအီဆပ္ထံမွရေငြ (3/22)လစာ (III) ႀကိမ္</t>
  </si>
  <si>
    <t>ဘီးလင္းစက္႐ုံလစာ IV ႀကိမ္</t>
  </si>
  <si>
    <t>UAB Bank ကုန္သြယ္ေရး A/c သြင္း</t>
  </si>
  <si>
    <t>Golden Horse - Carbon Black (4x40') Duty ခေပး</t>
  </si>
  <si>
    <t>Golden Horse - Carbon Black (4x40') Agent ခေပး</t>
  </si>
  <si>
    <t>ေရႊက်ားအိမ္လစာ+ဆစ္တိုက္တန္းအခန္းခ+ေန႕စားခ</t>
  </si>
  <si>
    <t>ဝါစက္႐ုံ၀န္ထမ္းလစာ (3/22)</t>
  </si>
  <si>
    <t>30.3.22</t>
  </si>
  <si>
    <t>MOGES ႏွင့္ လုပ္ငန္းစာခ်ဳပ္အတြက္ကုန္က်စရိတ္</t>
  </si>
  <si>
    <t>General Expenses-Belin</t>
  </si>
  <si>
    <t>CCTV 12 လုံးတပ္ဆင္ျခင္းအတြက္က်န္ေငြေပး</t>
  </si>
  <si>
    <t>098844</t>
  </si>
  <si>
    <t>ဦးေတာ္မီမွ AYA(B) A/c သို႕ ထည့္သြင္းေငြ(II) ႀကိမ္ေပး</t>
  </si>
  <si>
    <t>31.3.22</t>
  </si>
  <si>
    <t>Golden Horse - (1x20') Silicone Emulsion Duty ခ‌ေပး</t>
  </si>
  <si>
    <t>(1/22)MDY SR ၀န္ထမ္းလစာ</t>
  </si>
  <si>
    <t>Golden Horse - (1x20') Silicone Emulsion Agent ခ‌ေပး</t>
  </si>
  <si>
    <t>Golden Horse - (2x20')Bead Wire Agent ခေပး</t>
  </si>
  <si>
    <t>(3/22) ေဒၚေမာ္အိမ္၀န္ထမ္းလစာ+အေထြေထြ</t>
  </si>
  <si>
    <t>Golden Horse - (2x20')Bead Wire Duty ခေပး</t>
  </si>
  <si>
    <t>ပန္းဆိုးတန္း႐ုံး၀န္ထမ္းလစာ</t>
  </si>
  <si>
    <t>ရုံးခ်ဳပ္မွ ဦးေဌးျဖင့္ ေငြသားေပး</t>
  </si>
  <si>
    <t>ရုံးခ်ဳပ္မွဦးေဌးျဖင့္ေငြသားေပး (Mar'22 factory Salary)</t>
  </si>
  <si>
    <t>SR (3/22) Salary payment</t>
  </si>
  <si>
    <t>(March/22) လွ်ပ္စစ္မီတာေၾကး</t>
  </si>
  <si>
    <t>(Feb/March 22) စည္ပင္ေၾကး</t>
  </si>
  <si>
    <t>5 ထပ္မှ‌ေရပန္႕ျပဳျပင္ပစၥည္း၀ယ္+လက္ခ</t>
  </si>
  <si>
    <t xml:space="preserve">March လအတြက္ phone Bill </t>
  </si>
  <si>
    <t>ဓာတ္ေလွကားထိန္းသိမ္းစရိတ္+အေထြေထြျပဳျပင္စရိတ္</t>
  </si>
  <si>
    <t>CCTV အတြက္ ပစၥည္း၀ယ္</t>
  </si>
  <si>
    <t>(၁၀၀၀၀)တန္အတုပါ၍ Bank သြင္းလိုေငြစိုက္ျခင္း</t>
  </si>
  <si>
    <t>၀န္ထမ္းမ်ားကားခ+ဦးၾကည္လင္း (1)ရက္ ကားခ</t>
  </si>
  <si>
    <t>4.4.22</t>
  </si>
  <si>
    <t>(3/22) MDY SR ၀န္ထမ္းလစာ</t>
  </si>
  <si>
    <t xml:space="preserve"> Purchase Foreign</t>
  </si>
  <si>
    <t>DESCRIPTION</t>
  </si>
  <si>
    <t>A/U</t>
  </si>
  <si>
    <t>PRICE
 (US$ )</t>
  </si>
  <si>
    <t>QTY 
RECEIVE</t>
  </si>
  <si>
    <t>Rate</t>
  </si>
  <si>
    <t>YTF-Pur;Amt</t>
  </si>
  <si>
    <t>Belin-Pur;Amt</t>
  </si>
  <si>
    <t>Machine Tools</t>
  </si>
  <si>
    <t>AMOUNT (US$) 
DETAIL</t>
  </si>
  <si>
    <t>Ex;Rate</t>
  </si>
  <si>
    <t>Amount 
(MMK)</t>
  </si>
  <si>
    <t>Dif</t>
  </si>
  <si>
    <t>Cost 
(MMK)</t>
  </si>
  <si>
    <t>INVOICE</t>
  </si>
  <si>
    <t>C/O</t>
  </si>
  <si>
    <t>SUPPLIER</t>
  </si>
  <si>
    <t>COMPANY</t>
  </si>
  <si>
    <t>REMARKS</t>
  </si>
  <si>
    <t>Carbon Black N-220 ;V6</t>
  </si>
  <si>
    <t>Kg</t>
  </si>
  <si>
    <t>TU211258</t>
  </si>
  <si>
    <t>TAIWAN</t>
  </si>
  <si>
    <t>JUNKY</t>
  </si>
  <si>
    <t>AHM CO., LTD</t>
  </si>
  <si>
    <t>GRN No-   001 / 1  / 22 (F)
invoice no: -TU 211 258
Date. 3  / 1  / 22</t>
  </si>
  <si>
    <t>Carbon Black N-330 ;V3</t>
  </si>
  <si>
    <t xml:space="preserve">Carbon Black N-660 ;SV </t>
  </si>
  <si>
    <t>made in  Taiwan</t>
  </si>
  <si>
    <t>Nylon Tt 840 D/2 21.5 EPI</t>
  </si>
  <si>
    <t>21K0910A(21-34#)</t>
  </si>
  <si>
    <t>CHINA</t>
  </si>
  <si>
    <t>MR.DONG</t>
  </si>
  <si>
    <t>YT CO., LTD</t>
  </si>
  <si>
    <t>GRN No-   002 / 1  / 22 (F)
invoice no: - 21 K0910A
Date. 7  / 1  / 22</t>
  </si>
  <si>
    <t>Nylon Tt 1260 D/2 26EPI</t>
  </si>
  <si>
    <t>21K1021(21-35#)</t>
  </si>
  <si>
    <t>GRN No-   003 / 1  / 22 (F)
invoice no: - 21K1021
Date. 7  / 1  / 22</t>
  </si>
  <si>
    <t>KIPIPOL PR040 ( KBR )</t>
  </si>
  <si>
    <t>TU211257</t>
  </si>
  <si>
    <t>HM CO., LTD</t>
  </si>
  <si>
    <t>GRN No-   005 / 1  / 22 (F)
invoice no: - TU211257
Date. 12  / 1  / 22</t>
  </si>
  <si>
    <t xml:space="preserve"> Zinc oxide</t>
  </si>
  <si>
    <t>T211211</t>
  </si>
  <si>
    <t>GRN No-   006 / 1  / 22 (F)
invoice no: - T211211
Date. 12  / 1  / 22</t>
  </si>
  <si>
    <t xml:space="preserve">G-Sulphur           </t>
  </si>
  <si>
    <t>I-Sulphur</t>
  </si>
  <si>
    <t>made in Taiwan</t>
  </si>
  <si>
    <t xml:space="preserve">PVI                   </t>
  </si>
  <si>
    <t xml:space="preserve">Silicone Emulsion    </t>
  </si>
  <si>
    <t>40 MSFL M (Homogentzing Agent)</t>
  </si>
  <si>
    <t>Iron Exchange Resin</t>
  </si>
  <si>
    <t>Pressure Switch ( 4" * 350 Kg, ½PT )</t>
  </si>
  <si>
    <t>Pcs</t>
  </si>
  <si>
    <t>( 1 Box )</t>
  </si>
  <si>
    <t>21/3158</t>
  </si>
  <si>
    <t>INDONESIA</t>
  </si>
  <si>
    <t>BRENNTAG</t>
  </si>
  <si>
    <t>GRN No-   007 / 1  / 22 (F)
invoice no: - 21 / 3158
Date. 17  / 1  / 22</t>
  </si>
  <si>
    <t>T211213</t>
  </si>
  <si>
    <t>GRN No-   008 / 1  / 22 (F)
invoice no: - T211213
Date. 20  / 1  / 22</t>
  </si>
  <si>
    <t xml:space="preserve"> Mica Powder</t>
  </si>
  <si>
    <t>Silica</t>
  </si>
  <si>
    <t>Sand for Mould Cleaning</t>
  </si>
  <si>
    <t>2022 CALENDAR</t>
  </si>
  <si>
    <t>BOX</t>
  </si>
  <si>
    <t>FREE</t>
  </si>
  <si>
    <t>IV;2160089</t>
  </si>
  <si>
    <t>MAHA</t>
  </si>
  <si>
    <t>TM CO., LTD</t>
  </si>
  <si>
    <t>GRN No-   009 / 1  / 22 (F)
invoice no: - 2160089
Date. 20  / 1  / 22</t>
  </si>
  <si>
    <t>Flap Curring Press ( 825 / 900 - 16 )</t>
  </si>
  <si>
    <t>Set</t>
  </si>
  <si>
    <t>T211212</t>
  </si>
  <si>
    <t>GRN No-   010 / 1  / 22 (F)
invoice no: - T211212
Date. 24  / 1  / 22</t>
  </si>
  <si>
    <t>Flap Mould( 825 / 900 - 16 )</t>
  </si>
  <si>
    <t>Center Post Shaft ( ɸ 35 + 986 L )</t>
  </si>
  <si>
    <t>Lower Ring Sylinder Set</t>
  </si>
  <si>
    <t>Heat Insulation Plate Rotary Joint</t>
  </si>
  <si>
    <r>
      <t xml:space="preserve">Boiler Feed Pump </t>
    </r>
    <r>
      <rPr>
        <b/>
        <sz val="14"/>
        <color rgb="FF000000"/>
        <rFont val="Pyidaungsu"/>
        <family val="2"/>
      </rPr>
      <t/>
    </r>
  </si>
  <si>
    <t>pcs</t>
  </si>
  <si>
    <r>
      <t xml:space="preserve">Boiler Feed Pump's  Shaft </t>
    </r>
    <r>
      <rPr>
        <b/>
        <sz val="14"/>
        <color rgb="FF000000"/>
        <rFont val="Pyidaungsu"/>
        <family val="2"/>
      </rPr>
      <t/>
    </r>
  </si>
  <si>
    <t>Mechanical Seal , Front</t>
  </si>
  <si>
    <t>Mechanical Seal , Rear</t>
  </si>
  <si>
    <t>Guide Rail ( L = 2040 mm )</t>
  </si>
  <si>
    <t>Guide Rail ( L = 3930 mm )</t>
  </si>
  <si>
    <t>Guide Block</t>
  </si>
  <si>
    <t>24" Bladder</t>
  </si>
  <si>
    <t>Pressure Reducing valve ( DN 100 )</t>
  </si>
  <si>
    <t>Valve &amp; Flange ( For 48" Curing Press Instailation )</t>
  </si>
  <si>
    <t>Indent # 07 - 2021</t>
  </si>
  <si>
    <t>Ball valve ( # 316 , ¾" )</t>
  </si>
  <si>
    <t>Pressure Gauge ( 00 - 5000 PSI )</t>
  </si>
  <si>
    <t>Wog Ball valve 1½"</t>
  </si>
  <si>
    <t>Won Ball valve 1¼"</t>
  </si>
  <si>
    <t>Won Ball valve 1"</t>
  </si>
  <si>
    <t>Won Ball valve ½"</t>
  </si>
  <si>
    <t>Check valve 1½"</t>
  </si>
  <si>
    <t>Check valve 1¼"</t>
  </si>
  <si>
    <t>Check valve 1"</t>
  </si>
  <si>
    <t>Check valve ½"</t>
  </si>
  <si>
    <t>Glove valve ( 20K - 20 )</t>
  </si>
  <si>
    <t>Glove valve ( 10K - 20 )</t>
  </si>
  <si>
    <t>1" Gate valve</t>
  </si>
  <si>
    <t>½" Gate valve</t>
  </si>
  <si>
    <t>Indent # 09 - 2021</t>
  </si>
  <si>
    <t>Check valve ( Fc, 6" x 10 K )</t>
  </si>
  <si>
    <t>Check Flange ( Fc, 2½ x 10k )</t>
  </si>
  <si>
    <t>Expansion Joint ( FCD , 6" x 10K )</t>
  </si>
  <si>
    <t>Boiler Main stop valve ( FCD, 5" PN 25 )</t>
  </si>
  <si>
    <t>Check valve Flange ( FCA " x 0 x )</t>
  </si>
  <si>
    <t>Globe valve ( FCD, 3" , PN25 )</t>
  </si>
  <si>
    <t>Globe valve ( FCD , 4" , PN25 )</t>
  </si>
  <si>
    <t>Pump valve ( WCB, 6" ,PN40 )</t>
  </si>
  <si>
    <t>Boiler Blow Doun valve ( 2" x 20k ) with     
  ( Ball valve 2Pcs &amp; Globe valve 2Pcs )</t>
  </si>
  <si>
    <t>Boiler Feedind Pump valve
 ( FCD, 2",PN25 )</t>
  </si>
  <si>
    <t>BoilerFeeding Pump valve
(FCD, 1½,PN 25)</t>
  </si>
  <si>
    <t>21K0910B</t>
  </si>
  <si>
    <t>GRN No-   011 / 1  / 22 (F)
invoice no: - 21K0910B
Date. 26  / 1  / 22</t>
  </si>
  <si>
    <t>A Pastilies 
Air Freight ဖြင့်ရောက်ရှိခြင်း။</t>
  </si>
  <si>
    <t>IV;;0220006</t>
  </si>
  <si>
    <t>USA</t>
  </si>
  <si>
    <t>BIKAWA</t>
  </si>
  <si>
    <t>GRN No-   014 / 1  / 22 (F)
invoice no: - Bika wa / 0220006
Date. 27  / 1  / 22</t>
  </si>
  <si>
    <t xml:space="preserve">Bead wire HT .1.26 mm </t>
  </si>
  <si>
    <t>2022-01-1032/RBM-303</t>
  </si>
  <si>
    <t>KISSWIRE</t>
  </si>
  <si>
    <t>GRN No-   015 / 1  / 22 (F)
invoice no: - 2022 - 01 - 1032 RBM - 303
Date. 27  / 1  / 22</t>
  </si>
  <si>
    <t>Synthetic Rubber    BR 0150 ( B GRADE)</t>
  </si>
  <si>
    <t>TU 220101</t>
  </si>
  <si>
    <t>GRN No-   016 / 2  / 22 (F)
Date. 2  / 2  / 22</t>
  </si>
  <si>
    <t>Synthetic Rubber   SBR 1500 /1502</t>
  </si>
  <si>
    <t xml:space="preserve">Synthetic Rubber   SBR 1712 </t>
  </si>
  <si>
    <t>Nylon Tt 140/2 - 1100
 (1260 D/2 100EPD)(1260D2 - 25.4EPI)</t>
  </si>
  <si>
    <t>21K0908</t>
  </si>
  <si>
    <t>KING IND</t>
  </si>
  <si>
    <t>GRN No-   017 / 2  / 22 (F)
Date. 4  / 2  / 22</t>
  </si>
  <si>
    <t xml:space="preserve">Nylon Tt 140/2 - 850
 (1260 D/2 -21.5EPI ,N6) </t>
  </si>
  <si>
    <t xml:space="preserve"> RD / TMQ        </t>
  </si>
  <si>
    <t>21K1027</t>
  </si>
  <si>
    <t>GRN No-   018 / 2  / 22 (F)
Date. 4  / 2  / 22</t>
  </si>
  <si>
    <t xml:space="preserve">TBBS </t>
  </si>
  <si>
    <t>PP Linner 1600 MM ( L * 300 M )</t>
  </si>
  <si>
    <t>M</t>
  </si>
  <si>
    <t>Polyster cord 1000 D/2  25.4EPI (F1000)</t>
  </si>
  <si>
    <t>TV220103</t>
  </si>
  <si>
    <t>VIETNAM</t>
  </si>
  <si>
    <t>GRN No-   019 / 2  / 22 (F) 
Date. 9  / 2  / 22</t>
  </si>
  <si>
    <t>Polyster cord 1500 D/2  25.4EPI (F1000)</t>
  </si>
  <si>
    <t>TU220102</t>
  </si>
  <si>
    <t>GRN No-   020 / 2  / 22 (F) 
Date. 10  / 2  / 22</t>
  </si>
  <si>
    <t>21K1124</t>
  </si>
  <si>
    <t>GRN No-   021 / 2  / 22 (F) 21K1124
Date. 17  / 2  / 22</t>
  </si>
  <si>
    <t>"</t>
  </si>
  <si>
    <t>Rotary Joint</t>
  </si>
  <si>
    <t>Nos</t>
  </si>
  <si>
    <t>Dryer For Compressor</t>
  </si>
  <si>
    <t>T220101</t>
  </si>
  <si>
    <t>GRN No-   022 / 2  / 22 (F) 
Date. 17  / 2  / 22</t>
  </si>
  <si>
    <t xml:space="preserve">CBS                 </t>
  </si>
  <si>
    <t xml:space="preserve">Lamp Black       </t>
  </si>
  <si>
    <t xml:space="preserve">Aromatic Oil </t>
  </si>
  <si>
    <t>TM220206</t>
  </si>
  <si>
    <t>MALAYSIA</t>
  </si>
  <si>
    <t>GRN No-   024 / 2  / 22 (F)
Date. 22  / 2  / 22</t>
  </si>
  <si>
    <t>21K - 1223</t>
  </si>
  <si>
    <t>GRN No-   025 / 2  / 22 (F)
Date. 22  / 2  / 22</t>
  </si>
  <si>
    <t xml:space="preserve">6PPD          </t>
  </si>
  <si>
    <t xml:space="preserve">Octly Phenolic Resin ( SP1068) </t>
  </si>
  <si>
    <t>Reinforced Phenol Resin SP-6701</t>
  </si>
  <si>
    <t xml:space="preserve">Type  A  Curing  Resin (SP - 1045)                  </t>
  </si>
  <si>
    <t xml:space="preserve"> Modified Phenolic resin SL3025C </t>
  </si>
  <si>
    <t>W B-16</t>
  </si>
  <si>
    <t xml:space="preserve">Adhesive  Agent RA 65 (HMMM)                           </t>
  </si>
  <si>
    <t>21K - 1203</t>
  </si>
  <si>
    <t>GRN No-   026 / 2  / 22 (F) 
Date. 24  / 2  / 22</t>
  </si>
  <si>
    <t>SJ - 103 Resin ( Peptizer A - 86 )</t>
  </si>
  <si>
    <t xml:space="preserve">Plasticizer A                </t>
  </si>
  <si>
    <t>Tyre Mould ( 7.50 - 16 YT - 723 )</t>
  </si>
  <si>
    <t>21K 1217</t>
  </si>
  <si>
    <t>GRN No-   027 / 2  / 22 (F) 
Date. 24  / 2  / 22</t>
  </si>
  <si>
    <t>21K1126</t>
  </si>
  <si>
    <t>GRN No-   028 / 2  / 22 (F)
Date. 28 / 2  / 22</t>
  </si>
  <si>
    <t>TC220104</t>
  </si>
  <si>
    <t>GRN No-   029 / 2  / 22 (F) 
Date. 28 / 2  / 22</t>
  </si>
  <si>
    <t>Bead Wire  0.95HT</t>
  </si>
  <si>
    <t>BW - Yangon - 220201</t>
  </si>
  <si>
    <t>Vietnam</t>
  </si>
  <si>
    <t>HYOSUNG</t>
  </si>
  <si>
    <t>GRN No-   030 / 3  / 22 (F)
Date. 1  / 3  / 22</t>
  </si>
  <si>
    <t>TV220208</t>
  </si>
  <si>
    <t>GRN No-   032 / 3  / 22 (F)
Date. 8  / 3  / 22</t>
  </si>
  <si>
    <t>TU220207</t>
  </si>
  <si>
    <t>GRN No-   033 / 3  / 22 (F)
Date. 9  / 3  / 22</t>
  </si>
  <si>
    <t>Heptane ; Spirit(Top Sol 60/145)</t>
  </si>
  <si>
    <t>Gal</t>
  </si>
  <si>
    <t>11/22/1(11-3-22)</t>
  </si>
  <si>
    <t>Singapore</t>
  </si>
  <si>
    <t>ROYAL AUNG CHAN</t>
  </si>
  <si>
    <t>GRN No-   034 / 3  / 22 (F)
Date. 9  / 3  / 22</t>
  </si>
  <si>
    <t>16761327SE</t>
  </si>
  <si>
    <t>Thailand</t>
  </si>
  <si>
    <t>H&amp;R</t>
  </si>
  <si>
    <t>GRN No-   035 / 3  / 22 (F)
Date. 10  / 3  / 22</t>
  </si>
  <si>
    <t>26760540SE</t>
  </si>
  <si>
    <t>GRN No-   036 / 3  / 22 (F)
Date. 14  / 3  / 22</t>
  </si>
  <si>
    <t xml:space="preserve"> T220202</t>
  </si>
  <si>
    <t>GRN No-   037 / 3  / 22 (F)
Date. 19  / 3  / 22</t>
  </si>
  <si>
    <t>BW - Yangon - 220202</t>
  </si>
  <si>
    <t>GRN No-   038 / 3  / 22 (F)
Date. 19  / 3  / 22</t>
  </si>
  <si>
    <t xml:space="preserve">CIIR - BUTYL   (Chlorobutyl-1301)            </t>
  </si>
  <si>
    <t>C220105</t>
  </si>
  <si>
    <t>GRN No-   039 / 3  / 22 (F)
Date. 19  / 3  / 22</t>
  </si>
  <si>
    <t xml:space="preserve">BUTYL  IIR532            </t>
  </si>
  <si>
    <t>Indonesia</t>
  </si>
  <si>
    <t>MY</t>
  </si>
  <si>
    <t>GRN No-   040 / 3  / 22 (F)
Date. 19  / 3  / 22</t>
  </si>
  <si>
    <t>2021KIIC0910C/22-03#</t>
  </si>
  <si>
    <t>Nylon cord N6 840 D/2  26EPI  (F1040)</t>
  </si>
  <si>
    <t>2022KIIC0214/22-04#</t>
  </si>
  <si>
    <t>2022KIIC1021A/22-02#</t>
  </si>
  <si>
    <t>Steel cord 2 + 7 x 0.25 HT</t>
  </si>
  <si>
    <t>KG</t>
  </si>
  <si>
    <t>2022-02-1099/RCM501</t>
  </si>
  <si>
    <t>TC220309</t>
  </si>
  <si>
    <t>TOTAL</t>
  </si>
  <si>
    <t>Ex;loss</t>
  </si>
  <si>
    <t>Purchase Total</t>
  </si>
  <si>
    <t xml:space="preserve"> </t>
  </si>
  <si>
    <t xml:space="preserve"> Purchase Local</t>
  </si>
  <si>
    <t>Date</t>
  </si>
  <si>
    <t>Order
 No.</t>
  </si>
  <si>
    <t>Type</t>
  </si>
  <si>
    <t>Supplier Name</t>
  </si>
  <si>
    <t>Co;</t>
  </si>
  <si>
    <t>Payment Amount</t>
  </si>
  <si>
    <t>009</t>
  </si>
  <si>
    <t>(RSS-1) 340Bags (009/21)    (37400Lb x 1110) က်န္ေငြေပး</t>
  </si>
  <si>
    <t>RSS-1</t>
  </si>
  <si>
    <t>U Aung Kyi</t>
  </si>
  <si>
    <t>010</t>
  </si>
  <si>
    <t>(RSS-1) 340Bags (010/21)    I ႀကိမ္ေပး</t>
  </si>
  <si>
    <t>(RSS-1) 340Bags (010/21)    II ႀကိမ္ေပး</t>
  </si>
  <si>
    <t>(RSS-1) 340Bags (010/21) က်န္ေငြေပး</t>
  </si>
  <si>
    <t>011</t>
  </si>
  <si>
    <t>(RSS-1) 340Bags (011/21)     I ႀကိမ္ေပး</t>
  </si>
  <si>
    <t>(RSS-1) 340Bags (011/21)     က်န္ေငြေပး</t>
  </si>
  <si>
    <t>012</t>
  </si>
  <si>
    <t>(RSS-1) 340Bags (012/21)     I ႀကိမ္ေပး</t>
  </si>
  <si>
    <t>(RSS-1) 340Bags (012/21)     II ႀကိမ္ေပး</t>
  </si>
  <si>
    <t>(RSS-1) 340Bags (012/21)     III ႀကိမ္ေပး</t>
  </si>
  <si>
    <t>(RSS-1) 340Bags (012/21) (37400Lb x 1110) IV ႀကိမ္ေပး</t>
  </si>
  <si>
    <t>(RSS-1) 340Bags (012/21) (37400Lb x 1110) က်န္ေငြေပး</t>
  </si>
  <si>
    <t>013</t>
  </si>
  <si>
    <t>(RSS-1) 340Bags (013/21)      I ႀကိမ္ေပး</t>
  </si>
  <si>
    <t>(RSS-1) 340Bags (013/21)      II ႀကိမ္ေပး</t>
  </si>
  <si>
    <t>(RSS-1) 340Bags (013/21)      က်န္ေငြေပး</t>
  </si>
  <si>
    <t>014</t>
  </si>
  <si>
    <t>(RSS-1) 340Bags (014/21)      I ႀကိမ္ေပး</t>
  </si>
  <si>
    <t>(RSS-1) 340Bags (014/21)      II ႀကိမ္ေပး</t>
  </si>
  <si>
    <t>(RSS-1) 340Bags (014/21) (37400Lb x 1110) က်န္ေငြေပး</t>
  </si>
  <si>
    <t>015</t>
  </si>
  <si>
    <t>(RSS-1) 340Bags (015/21)       I ႀကိမ္ေပး</t>
  </si>
  <si>
    <t>(RSS-1) 340Bags (015/21)      II ႀကိမ္ေပး</t>
  </si>
  <si>
    <t>(RSS-1) 340Bags (015/21)      III ႀကိမ္ေပး</t>
  </si>
  <si>
    <t>(RSS-1) 340Bags (015/21)    က်န္ေငြေပး</t>
  </si>
  <si>
    <t>016</t>
  </si>
  <si>
    <t>(RSS-1) 3905Bags (016/21)    I ႀကိမ္ေပး</t>
  </si>
  <si>
    <t>Shwe Young Pya</t>
  </si>
  <si>
    <t>(RSS-1) 3905Bags (016/21)   III ႀကိမ္ေပး</t>
  </si>
  <si>
    <t>(RSS-1) 3905Bags (016/21) (429550Lb x 1150) IV ႀကိမ္ေပး</t>
  </si>
  <si>
    <t>(RSS-1) 3905Bags (016/21) (429550Lb x 1150) V ႀကိမ္ေပး</t>
  </si>
  <si>
    <t>(RSS-1) 3905Bags (016/21) (429550Lb x 1150) VI ႀကိမ္ေပး</t>
  </si>
  <si>
    <t>(RSS-1) 3905Bags  (016/21)    (429550Lb x 1150) VII ၾကိမ္ေပး</t>
  </si>
  <si>
    <t>(RSS-1) 3905Bags(016/21)    (429550Lb x 1150) က်န္ေငြေပး</t>
  </si>
  <si>
    <t>017</t>
  </si>
  <si>
    <t>(RSS-1) 340Bags (017/21)      I ႀကိမ္ေပး</t>
  </si>
  <si>
    <t>(RSS-1) 340Bags (017/21)    က်န္ေငြေပး</t>
  </si>
  <si>
    <t>018</t>
  </si>
  <si>
    <t>(RSS-1) 340Bags (018/22)     I ႀကိမ္ေပး</t>
  </si>
  <si>
    <t>(RSS-1) 340Bags (018/22)   II ႀကိမ္ေပး</t>
  </si>
  <si>
    <t>(RSS-1) 340Bags (018/22)   III ႀကိမ္ေပး</t>
  </si>
  <si>
    <t>(RSS-1) 340Bags (018/22)   က်န္ေငြေပး</t>
  </si>
  <si>
    <t>019</t>
  </si>
  <si>
    <t>(RSS-1) 4000Bags (019/21)    V ႀကိမ္ေပး</t>
  </si>
  <si>
    <t xml:space="preserve">Shwe Young Pya </t>
  </si>
  <si>
    <t>(RSS-1) 4000Bags (019/21)  (440000Lb x 1140)က်န္ေငြေပး</t>
  </si>
  <si>
    <t>(RSS-1) 340Bags (019/22)     I ႀကိမ္ေပး</t>
  </si>
  <si>
    <t>(RSS-1) 340Bags (019/22)     II ႀကိမ္ေပး</t>
  </si>
  <si>
    <t>(RSS-1) 340Bags (019/22)     III ႀကိမ္ေပး</t>
  </si>
  <si>
    <t>(RSS-1) 340Bags (019/22)   က်န္ေငြေပး</t>
  </si>
  <si>
    <t>020</t>
  </si>
  <si>
    <t>(RSS-1) 3000Bags (020/22)       I ႀကိမ္ေပး</t>
  </si>
  <si>
    <t>(RSS-1) 3000Bags (020/22)       II ႀကိမ္ေပး</t>
  </si>
  <si>
    <t>(RSS-1) 3000Bags (020/22)       III ႀကိမ္ေပး</t>
  </si>
  <si>
    <t>(RSS-1) 3000Bags (020/22)       IV ႀကိမ္ေပး</t>
  </si>
  <si>
    <t>(RSS-1)3000Bags (020/22) (330000Lb x 1250) V ႀကိမ္ေပး</t>
  </si>
  <si>
    <t>(RSS-1)3000Bags (020/22) (330000Lb x 1250) VI ႀကိမ္ေပး</t>
  </si>
  <si>
    <t>(RSS-1)3000Bags (020/22) (330000Lb x 1250) က်န္ေငြေပး</t>
  </si>
  <si>
    <t>021</t>
  </si>
  <si>
    <t>(RSS-1) 340Bags (021/22)     I ႀကိမ္ေပး</t>
  </si>
  <si>
    <t>(RSS-1) 340Bags (021/22)     II ႀကိမ္ေပး</t>
  </si>
  <si>
    <t>022</t>
  </si>
  <si>
    <t>(RSS-1) 220Bags (022/22)      I ႀကိမ္ေပး</t>
  </si>
  <si>
    <t>Daw Thi</t>
  </si>
  <si>
    <t>(RSS-1) 220Bags         (24200Lb x 1340) က်န္ေငြေပး</t>
  </si>
  <si>
    <t>024</t>
  </si>
  <si>
    <t>(RSS-1) 219Bags (024/21)      (24090Lb x 1155) က်န္ေငြေပး</t>
  </si>
  <si>
    <t>026</t>
  </si>
  <si>
    <t>(RSS-3) 340Bags (        )       I ႀကိမ္ေပး</t>
  </si>
  <si>
    <t>RSS-3</t>
  </si>
  <si>
    <t>U Nyi Nyi Soe</t>
  </si>
  <si>
    <t>(RSS-3) 340Bags(026/21)       (37400Lb x 1100) II ႀကိမ္ေပး</t>
  </si>
  <si>
    <t>(RSS-3) 340Bags(026/21)       (37400Lb x 1100) III ႀကိမ္ေပး</t>
  </si>
  <si>
    <t>(RSS-1) 340Bags (026/21) (37400Lb x 1100)က်န္ေငြေပး</t>
  </si>
  <si>
    <t>028</t>
  </si>
  <si>
    <t>(RSS-1) 220Bags (028/21)      I ႀကိမ္ေပး</t>
  </si>
  <si>
    <t>(RSS-1) 220Bags (028/21)      က်န္ေငြေပး</t>
  </si>
  <si>
    <t>029</t>
  </si>
  <si>
    <t>(RSS-1) 220Bags (029/21)      I ႀကိမ္ေပး</t>
  </si>
  <si>
    <t>(RSS-1) 220Bags (029/21) က်န္ေငြေပး</t>
  </si>
  <si>
    <t>030</t>
  </si>
  <si>
    <t>(RSS-1) 220Bags (030/21)      I ႀကိမ္ေပး</t>
  </si>
  <si>
    <t>(RSS-1) 220Bags (030/21)      က်န္ေငြေပး</t>
  </si>
  <si>
    <t>033</t>
  </si>
  <si>
    <t>(RSS-3) 345Bags  (033/21)  (37950Lb x 1110) က်န္ေငြရွင္း</t>
  </si>
  <si>
    <t>036</t>
  </si>
  <si>
    <t>(RSS-1) 345Bags(036/22)       I ႀကိမ္ေပး</t>
  </si>
  <si>
    <t>(RSS-1) 345Bags(036/22)       II ႀကိမ္ေပး</t>
  </si>
  <si>
    <t>(RSS-1) 345Bags(036/22)       III ႀကိမ္ေပး</t>
  </si>
  <si>
    <t>(RSS-1) 345Bags (036/21)  (37950Lb x 1200)က်န္ေငြ</t>
  </si>
  <si>
    <t>037</t>
  </si>
  <si>
    <t>(RSS-3) 345Bags (037/22)      I ႀကိမ္ေပး</t>
  </si>
  <si>
    <t>(RSS-3) 345Bags (037/22)      II ႀကိမ္ေပး</t>
  </si>
  <si>
    <t>(RSS-3) 345Bags (037/22)      III ႀကိမ္ေပး</t>
  </si>
  <si>
    <t>(RSS-3) 345Bags (037/22)      က်န္ေငြေပး</t>
  </si>
  <si>
    <t>038</t>
  </si>
  <si>
    <t>(RSS-1) 220Bags (038/22)      I ႀကိမ္ေပး</t>
  </si>
  <si>
    <t>(RSS-1) 220Bags (038/22)  (24200Lb x 1200)က်န္ေငြေပး</t>
  </si>
  <si>
    <t>(RSS-3) 220Bags (038/22)  (24200Lb x 1100) I ႀကိမ္ေပး</t>
  </si>
  <si>
    <t>041</t>
  </si>
  <si>
    <t>(RSS-3) 220Bags (041/22)  (24200Lb x 1100) က်န္ေငြေပး</t>
  </si>
  <si>
    <t>039</t>
  </si>
  <si>
    <t xml:space="preserve">(RSS-1) 220Bags (039/22)  </t>
  </si>
  <si>
    <t>040</t>
  </si>
  <si>
    <t>(RSS-1) 220Bags (040/22)      I ႀကိမ္ေပး</t>
  </si>
  <si>
    <t>(RSS-1) 220Bags (040/22)  (24200Lb x 1200) က်န္ေငြရွင္း</t>
  </si>
  <si>
    <t>042</t>
  </si>
  <si>
    <t>(RSS-1) 220Bags (042/22)      I ႀကိမ္</t>
  </si>
  <si>
    <t>(RSS-1) 220Bags (042/22)      II ႀကိမ္</t>
  </si>
  <si>
    <t>(RSS-1) 220Bags (042/22)      III ႀကိမ္</t>
  </si>
  <si>
    <t>(RSS-1) 220Bags (042/22)    (24200Lb x 1200) က်န္ေငြေပး</t>
  </si>
  <si>
    <t>043</t>
  </si>
  <si>
    <t>(RSS-3) 220Bags (043/22)      I ႀကိမ္ေပး</t>
  </si>
  <si>
    <t>(RSS-3) 220Bags (043/22)      က်န္ေငြေပး</t>
  </si>
  <si>
    <t>044</t>
  </si>
  <si>
    <t>(RSS-1) 340Bags (044/21)      I ႀကိမ္ေပး</t>
  </si>
  <si>
    <t>(RSS-1) 340Bags (044/21) က်န္ေငြေပး</t>
  </si>
  <si>
    <t>045</t>
  </si>
  <si>
    <t>(RSS-1) 345Bags (045/22)      I ႀကိမ္ေပး</t>
  </si>
  <si>
    <t>(RSS-1) 345Bags (045/22)      II ႀကိမ္ေပး</t>
  </si>
  <si>
    <t>(RSS-1) 345Bags (045/22)      III ႀကိမ္ေပး</t>
  </si>
  <si>
    <t>(RSS-1) 345Bags (045/22)      က်န္ေငြေပး</t>
  </si>
  <si>
    <t>046</t>
  </si>
  <si>
    <t>(RSS-3) 340Bags (046/22) I ႀကိမ္ေပး</t>
  </si>
  <si>
    <t>(RSS-3) 340Bags (046/22) II ႀကိမ္ေပး</t>
  </si>
  <si>
    <t>(RSS-3) 340Bags (046/22)  က်န္ေငြေပး</t>
  </si>
  <si>
    <t>047</t>
  </si>
  <si>
    <t>(RSS-1) 345Bags (047/22)      I ႀကိမ္ေပး</t>
  </si>
  <si>
    <t>(RSS-1) 345Bags (047/22)      II ႀကိမ္ေပး</t>
  </si>
  <si>
    <t>(RSS-1) 345Bags (047/22)      III ႀကိမ္ေပး</t>
  </si>
  <si>
    <t>(RSS-1) 345Bags (047/22)      က်န္ေငြေပး</t>
  </si>
  <si>
    <t>048</t>
  </si>
  <si>
    <t>(RSS-1) 345Bags (048/22)     I  ႀကိမ္ေပး</t>
  </si>
  <si>
    <t>(RSS-1) 345Bags (048/22)     II  ႀကိမ္ေပး</t>
  </si>
  <si>
    <t>(RSS-1) 345Bags (048/22)    III ႀကိမ္ေပး</t>
  </si>
  <si>
    <t>(RSS-1) 345Bags (048/22)    က်န္ေငြေပး</t>
  </si>
  <si>
    <t>049</t>
  </si>
  <si>
    <t>(RSS-1) 345Bags (049/22)     I  ႀကိမ္ေပး</t>
  </si>
  <si>
    <t>(RSS-1) 345Bags (049/22)     II  ႀကိမ္ေပး</t>
  </si>
  <si>
    <t>(RSS-1) 345Bags          (37950Lb x 1235) က်န္ေငြေပး</t>
  </si>
  <si>
    <t>050</t>
  </si>
  <si>
    <t>(RSS-3) 345Bags (050/22)      I ႀကိမ္ေပး</t>
  </si>
  <si>
    <t>(RSS-3) 345Bags (050/22)      II ႀကိမ္ေပး</t>
  </si>
  <si>
    <t>(RSS-3) 345Bags (050/22) (37950Lb x 1235)က်န္ေငြေပး</t>
  </si>
  <si>
    <t>051</t>
  </si>
  <si>
    <t>(RSS-1) 345Bags (051/22)     I ႀကိမ္ေပး</t>
  </si>
  <si>
    <t>(RSS-1) 345Bags (051/22)     II ႀကိမ္ေပး</t>
  </si>
  <si>
    <t>(RSS-1) 345Bags (051/22)     III ႀကိမ္ေပး</t>
  </si>
  <si>
    <t>(RSS-1) 345Bags (051/22)     IV ႀကိမ္ေပး</t>
  </si>
  <si>
    <t xml:space="preserve">(RSS-1) 345Bags (051/22)  (37950Lb x 1340) က်န္ေငြေပး </t>
  </si>
  <si>
    <t>052</t>
  </si>
  <si>
    <t>(RSS-1) 345Bags (052/22)     I ႀကိမ္ေပး</t>
  </si>
  <si>
    <t>(RSS-1) 345Bags (052/22)     II ႀကိမ္ေပး</t>
  </si>
  <si>
    <t>(RSS-1) 345Bags (052/22)     III ႀကိမ္ေပး</t>
  </si>
  <si>
    <t>(RSS-1) 345Bags (052/22)     IV ႀကိမ္ေပး</t>
  </si>
  <si>
    <t>(RSS-1) 345Bags (052/22)    က်န္ေငြေပး</t>
  </si>
  <si>
    <t>053</t>
  </si>
  <si>
    <t>(RSS-3) 220Bags (053/22)</t>
  </si>
  <si>
    <t>(RSS-1) 220Bags</t>
  </si>
  <si>
    <t>(RSS-1) 1095Bags</t>
  </si>
  <si>
    <t>054</t>
  </si>
  <si>
    <t>(RSS-3) 345Bags (054/22)      I ႀကိမ္ေပး</t>
  </si>
  <si>
    <t>(RSS-3) 345Bags (054/22) (37950Lb x 1270) II ၾကိမ္ေပး</t>
  </si>
  <si>
    <t>(RSS-3) 345Bags (054/22)      III ႀကိမ္ေပး</t>
  </si>
  <si>
    <t>(RSS-3) 345Bags (054/22)     IV ၾကိမ္ေပး</t>
  </si>
  <si>
    <t>(RSS-3) 345Bags (054/22)     က်န္ေငြေပး</t>
  </si>
  <si>
    <t>055</t>
  </si>
  <si>
    <t xml:space="preserve">(RSS-3) 440Bags (055/22)      </t>
  </si>
  <si>
    <t>056</t>
  </si>
  <si>
    <t xml:space="preserve">(RSS-3) 345Bags(056/22)       I ႀကိမ္ေပး </t>
  </si>
  <si>
    <t xml:space="preserve">(RSS-3) 345Bags(056/22)      II ႀကိမ္ေပး </t>
  </si>
  <si>
    <t xml:space="preserve">(RSS-3) 345Bags(056/22)      က်န္ေငြေပး </t>
  </si>
  <si>
    <t>057</t>
  </si>
  <si>
    <t>(RSS-3) 345Bags (057/22)      I ႀကိမ္ေပး</t>
  </si>
  <si>
    <t>(RSS-3) 345Bags (057/22)      II ႀကိမ္ေပး</t>
  </si>
  <si>
    <t>(RSS-3) 345Bags (057/22)      III ႀကိမ္ေပး</t>
  </si>
  <si>
    <t>(RSS-3) 345Bags (057/22)      IV ႀကိမ္ေပး</t>
  </si>
  <si>
    <t>(RSS-3) 345Bags (057/22)      က်န္ေငြေပး</t>
  </si>
  <si>
    <t>059</t>
  </si>
  <si>
    <t>(RSS-1) 340Bags (059/22)     III ႀကိမ္ေပး</t>
  </si>
  <si>
    <t>(RSS-3) 660Bags (059/22)      (72600Lbx1240)က်န္ေငြေပး</t>
  </si>
  <si>
    <t>062</t>
  </si>
  <si>
    <t>(RSS-3) 365Bags (062/22)      I ႀကိမ္ေပး</t>
  </si>
  <si>
    <t>(RSS-1) 180Bags (062/22)      I ႀကိမ္ေပး</t>
  </si>
  <si>
    <t>(RSS-1) 180Bags (062/22)      II ႀကိမ္ေပး</t>
  </si>
  <si>
    <t>(RSS-1) 180Bags (062/22)      III ႀကိမ္ေပး</t>
  </si>
  <si>
    <t>(RSS-1) 180Bags (062/22)      က်န္ေငြေပး</t>
  </si>
  <si>
    <t>063</t>
  </si>
  <si>
    <t>(RSS-1) 500Bags (063/22)      I ႀကိမ္ေပး</t>
  </si>
  <si>
    <t>(RSS-1) 500Bags (063/22) (38500Lb x 1360) က်န္ေငြေပး</t>
  </si>
  <si>
    <t>064</t>
  </si>
  <si>
    <t>(RSS-1) 220Bags (064/22)    I ႀကိမ္ေပး</t>
  </si>
  <si>
    <t>(RSS-1) 220Bags (064/22)    II ႀကိမ္ေပး</t>
  </si>
  <si>
    <t>(RSS-1) 220Bags (064/22)    က်န္ေငြေပး</t>
  </si>
  <si>
    <t>065</t>
  </si>
  <si>
    <t>(RSS-1) 440Bags (065/22)      I ႀကိမ္ေပး</t>
  </si>
  <si>
    <t>(RSS-1) 440Bags (065/22) (48400Lb x 1290) II ႀကိမ္ေပး</t>
  </si>
  <si>
    <t>(RSS-1) 440Bags (065/22) (48400Lb x 1290) က်န္ေငြေပး</t>
  </si>
  <si>
    <t>068</t>
  </si>
  <si>
    <t>(RSS-3) 220Bags (068/22)     I ႀကိမ္ေပး</t>
  </si>
  <si>
    <t>(RSS-1) 220Bags (068/22)    (24200Lb x 1310) က်န္ေငြေပး</t>
  </si>
  <si>
    <t>070</t>
  </si>
  <si>
    <t>(RSS-1) 500Bags (070/22)      I ႀကိမ္ေပး</t>
  </si>
  <si>
    <t>(RSS-1) 500Bags (070/22)      II ႀကိမ္ေပး</t>
  </si>
  <si>
    <t>(RSS-1) 500Bags (070/22) (38500Lb x 1410)က်န္ေငြရွင္း</t>
  </si>
  <si>
    <t>Plastic</t>
  </si>
  <si>
    <t>Daw Mya Thein</t>
  </si>
  <si>
    <t>Re Rubber</t>
  </si>
  <si>
    <t>E Comax</t>
  </si>
  <si>
    <t>(RSS-1) 2100Bags I ႀကိမ္ေပး</t>
  </si>
  <si>
    <t>(RSS-3) 165Bags        (18150Lb x 1285) က်န္ေငြရွင္း</t>
  </si>
  <si>
    <t>E Comax-Reclaimed Rubber ဖိုးေပးေခ်ျခင္း (20Tons x 1100000)</t>
  </si>
  <si>
    <t>ေဒၚျမသိန္း - Plastic ဖိုးေပးေခ်ျခင္း12" x 18" (5460Lb x 1925)</t>
  </si>
  <si>
    <t>ပုံႏွိပ္ခ (1900.4Lb x 600)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</si>
</sst>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"/>
  </numFmts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Zawgyi-One"/>
      <family val="2"/>
    </font>
    <font>
      <b/>
      <sz val="18"/>
      <color rgb="FF000000"/>
      <name val="Zawgyi-One"/>
      <family val="2"/>
    </font>
    <font>
      <sz val="11"/>
      <color rgb="FF000000"/>
      <name val="Calibri"/>
      <family val="2"/>
    </font>
    <font>
      <b/>
      <sz val="11"/>
      <color rgb="FF000000"/>
      <name val="Zawgyi-One"/>
      <family val="2"/>
    </font>
    <font>
      <sz val="10"/>
      <color rgb="FF000000"/>
      <name val="Zawgyi-One"/>
      <family val="2"/>
    </font>
    <font>
      <sz val="9"/>
      <color rgb="FF000000"/>
      <name val="Zawgyi-One"/>
      <family val="2"/>
    </font>
    <font>
      <sz val="10"/>
      <color rgb="FF000000"/>
      <name val="Calibri"/>
      <family val="2"/>
    </font>
    <font>
      <sz val="11"/>
      <color rgb="FF000000"/>
      <name val="Zawgyi-One"/>
      <family val="2"/>
    </font>
    <font>
      <sz val="12"/>
      <color rgb="FF000000"/>
      <name val="Zawgyi-One"/>
      <family val="2"/>
    </font>
    <font>
      <sz val="11"/>
      <color theme="1"/>
      <name val="Calibri"/>
      <family val="2"/>
    </font>
    <font>
      <b/>
      <sz val="12"/>
      <color rgb="FF000000"/>
      <name val="Zawgyi-One"/>
      <family val="2"/>
    </font>
    <font>
      <b/>
      <sz val="11"/>
      <color rgb="FF000000"/>
      <name val="Pyidaungsu"/>
      <family val="2"/>
    </font>
    <font>
      <sz val="11"/>
      <color rgb="FF000000"/>
      <name val="Pyidaungsu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2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2" applyBorder="1" fontId="4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left"/>
    </xf>
    <xf xfId="0" numFmtId="0" borderId="3" applyBorder="1" fontId="5" applyFont="1" fillId="0" applyAlignment="1">
      <alignment horizontal="center"/>
    </xf>
    <xf xfId="0" numFmtId="3" applyNumberFormat="1" borderId="3" applyBorder="1" fontId="5" applyFont="1" fillId="0" applyAlignment="1">
      <alignment horizontal="right"/>
    </xf>
    <xf xfId="0" numFmtId="3" applyNumberFormat="1" borderId="2" applyBorder="1" fontId="5" applyFont="1" fillId="0" applyAlignment="1">
      <alignment horizontal="right"/>
    </xf>
    <xf xfId="0" numFmtId="3" applyNumberFormat="1" borderId="2" applyBorder="1" fontId="5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0" borderId="4" applyBorder="1" fontId="5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5" applyFont="1" fillId="0" applyAlignment="1">
      <alignment horizontal="center"/>
    </xf>
    <xf xfId="0" numFmtId="0" borderId="5" applyBorder="1" fontId="5" applyFont="1" fillId="0" applyAlignment="1">
      <alignment horizontal="left"/>
    </xf>
    <xf xfId="0" numFmtId="0" borderId="5" applyBorder="1" fontId="5" applyFont="1" fillId="0" applyAlignment="1">
      <alignment horizontal="center"/>
    </xf>
    <xf xfId="0" numFmtId="0" borderId="3" applyBorder="1" fontId="6" applyFont="1" fillId="0" applyAlignment="1">
      <alignment horizontal="left"/>
    </xf>
    <xf xfId="0" numFmtId="0" borderId="6" applyBorder="1" fontId="6" applyFont="1" fillId="0" applyAlignment="1">
      <alignment horizontal="left"/>
    </xf>
    <xf xfId="0" numFmtId="0" borderId="5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3" applyNumberFormat="1" borderId="7" applyBorder="1" fontId="5" applyFont="1" fillId="0" applyAlignment="1">
      <alignment horizontal="right"/>
    </xf>
    <xf xfId="0" numFmtId="0" borderId="8" applyBorder="1" fontId="6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3" applyNumberFormat="1" borderId="5" applyBorder="1" fontId="5" applyFont="1" fillId="0" applyAlignment="1">
      <alignment horizontal="left"/>
    </xf>
    <xf xfId="0" numFmtId="3" applyNumberFormat="1" borderId="7" applyBorder="1" fontId="5" applyFont="1" fillId="0" applyAlignment="1">
      <alignment horizontal="left"/>
    </xf>
    <xf xfId="0" numFmtId="0" borderId="9" applyBorder="1" fontId="5" applyFont="1" fillId="0" applyAlignment="1">
      <alignment horizontal="center"/>
    </xf>
    <xf xfId="0" numFmtId="0" borderId="10" applyBorder="1" fontId="5" applyFont="1" fillId="0" applyAlignment="1">
      <alignment horizontal="left"/>
    </xf>
    <xf xfId="0" numFmtId="3" applyNumberFormat="1" borderId="10" applyBorder="1" fontId="5" applyFont="1" fillId="0" applyAlignment="1">
      <alignment horizontal="left"/>
    </xf>
    <xf xfId="0" numFmtId="0" borderId="10" applyBorder="1" fontId="5" applyFont="1" fillId="0" applyAlignment="1">
      <alignment horizontal="center"/>
    </xf>
    <xf xfId="0" numFmtId="3" applyNumberFormat="1" borderId="10" applyBorder="1" fontId="5" applyFont="1" fillId="0" applyAlignment="1">
      <alignment horizontal="right"/>
    </xf>
    <xf xfId="0" numFmtId="3" applyNumberFormat="1" borderId="2" applyBorder="1" fontId="7" applyFont="1" fillId="0" applyAlignment="1">
      <alignment horizontal="left"/>
    </xf>
    <xf xfId="0" numFmtId="3" applyNumberFormat="1" borderId="2" applyBorder="1" fontId="8" applyFont="1" fillId="0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3" applyNumberFormat="1" borderId="7" applyBorder="1" fontId="8" applyFont="1" fillId="0" applyAlignment="1">
      <alignment horizontal="left"/>
    </xf>
    <xf xfId="0" numFmtId="0" borderId="11" applyBorder="1" fontId="9" applyFont="1" fillId="0" applyAlignment="1">
      <alignment horizontal="left"/>
    </xf>
    <xf xfId="0" numFmtId="3" applyNumberFormat="1" borderId="11" applyBorder="1" fontId="9" applyFont="1" fillId="0" applyAlignment="1">
      <alignment horizontal="left"/>
    </xf>
    <xf xfId="0" numFmtId="0" borderId="11" applyBorder="1" fontId="1" applyFont="1" fillId="0" applyAlignment="1">
      <alignment horizontal="center"/>
    </xf>
    <xf xfId="0" numFmtId="0" borderId="11" applyBorder="1" fontId="5" applyFont="1" fillId="0" applyAlignment="1">
      <alignment horizontal="center"/>
    </xf>
    <xf xfId="0" numFmtId="3" applyNumberFormat="1" borderId="11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0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11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4" applyNumberFormat="1" borderId="1" applyBorder="1" fontId="11" applyFont="1" fillId="0" applyAlignment="1">
      <alignment horizontal="center"/>
    </xf>
    <xf xfId="0" numFmtId="3" applyNumberFormat="1" borderId="12" applyBorder="1" fontId="12" applyFont="1" fillId="0" applyAlignment="1">
      <alignment horizontal="center" vertical="top"/>
    </xf>
    <xf xfId="0" numFmtId="0" borderId="12" applyBorder="1" fontId="12" applyFont="1" fillId="0" applyAlignment="1">
      <alignment horizontal="center" vertical="top"/>
    </xf>
    <xf xfId="0" numFmtId="0" borderId="2" applyBorder="1" fontId="12" applyFont="1" fillId="0" applyAlignment="1">
      <alignment horizontal="center" vertical="top"/>
    </xf>
    <xf xfId="0" numFmtId="4" applyNumberFormat="1" borderId="12" applyBorder="1" fontId="12" applyFont="1" fillId="0" applyAlignment="1">
      <alignment horizontal="center" vertical="top" wrapText="1"/>
    </xf>
    <xf xfId="0" numFmtId="3" applyNumberFormat="1" borderId="12" applyBorder="1" fontId="12" applyFont="1" fillId="0" applyAlignment="1">
      <alignment horizontal="center" vertical="top" wrapText="1"/>
    </xf>
    <xf xfId="0" numFmtId="0" borderId="1" applyBorder="1" fontId="12" applyFont="1" fillId="0" applyAlignment="1">
      <alignment horizontal="left"/>
    </xf>
    <xf xfId="0" numFmtId="3" applyNumberFormat="1" borderId="13" applyBorder="1" fontId="12" applyFont="1" fillId="0" applyAlignment="1">
      <alignment horizontal="center"/>
    </xf>
    <xf xfId="0" numFmtId="0" borderId="13" applyBorder="1" fontId="12" applyFont="1" fillId="0" applyAlignment="1">
      <alignment horizontal="center"/>
    </xf>
    <xf xfId="0" numFmtId="0" borderId="2" applyBorder="1" fontId="12" applyFont="1" fillId="0" applyAlignment="1">
      <alignment horizontal="center"/>
    </xf>
    <xf xfId="0" numFmtId="4" applyNumberFormat="1" borderId="13" applyBorder="1" fontId="12" applyFont="1" fillId="0" applyAlignment="1">
      <alignment horizontal="center"/>
    </xf>
    <xf xfId="0" numFmtId="3" applyNumberFormat="1" borderId="13" applyBorder="1" fontId="12" applyFont="1" fillId="0" applyAlignment="1">
      <alignment horizontal="center" wrapText="1"/>
    </xf>
    <xf xfId="0" numFmtId="4" applyNumberFormat="1" borderId="13" applyBorder="1" fontId="12" applyFont="1" fillId="0" applyAlignment="1">
      <alignment horizontal="center" wrapText="1"/>
    </xf>
    <xf xfId="0" numFmtId="3" applyNumberFormat="1" borderId="2" applyBorder="1" fontId="13" applyFont="1" fillId="0" applyAlignment="1">
      <alignment horizontal="center"/>
    </xf>
    <xf xfId="0" numFmtId="0" borderId="2" applyBorder="1" fontId="13" applyFont="1" fillId="0" applyAlignment="1">
      <alignment horizontal="left"/>
    </xf>
    <xf xfId="0" numFmtId="0" borderId="2" applyBorder="1" fontId="13" applyFont="1" fillId="0" applyAlignment="1">
      <alignment horizontal="center"/>
    </xf>
    <xf xfId="0" numFmtId="4" applyNumberFormat="1" borderId="2" applyBorder="1" fontId="13" applyFont="1" fillId="0" applyAlignment="1">
      <alignment horizontal="center"/>
    </xf>
    <xf xfId="0" numFmtId="3" applyNumberFormat="1" borderId="2" applyBorder="1" fontId="13" applyFont="1" fillId="0" applyAlignment="1">
      <alignment horizontal="right"/>
    </xf>
    <xf xfId="0" numFmtId="3" applyNumberFormat="1" borderId="12" applyBorder="1" fontId="13" applyFont="1" fillId="0" applyAlignment="1">
      <alignment horizontal="right"/>
    </xf>
    <xf xfId="0" numFmtId="4" applyNumberFormat="1" borderId="12" applyBorder="1" fontId="13" applyFont="1" fillId="0" applyAlignment="1">
      <alignment horizontal="right"/>
    </xf>
    <xf xfId="0" numFmtId="3" applyNumberFormat="1" borderId="12" applyBorder="1" fontId="13" applyFont="1" fillId="0" applyAlignment="1">
      <alignment horizontal="left"/>
    </xf>
    <xf xfId="0" numFmtId="0" borderId="12" applyBorder="1" fontId="13" applyFont="1" fillId="0" applyAlignment="1">
      <alignment horizontal="left"/>
    </xf>
    <xf xfId="0" numFmtId="0" borderId="12" applyBorder="1" fontId="13" applyFont="1" fillId="0" applyAlignment="1">
      <alignment horizontal="right"/>
    </xf>
    <xf xfId="0" numFmtId="0" borderId="12" applyBorder="1" fontId="13" applyFont="1" fillId="0" applyAlignment="1">
      <alignment horizontal="left" vertical="top" wrapText="1"/>
    </xf>
    <xf xfId="0" numFmtId="0" borderId="1" applyBorder="1" fontId="13" applyFont="1" fillId="0" applyAlignment="1">
      <alignment horizontal="left"/>
    </xf>
    <xf xfId="0" numFmtId="0" borderId="7" applyBorder="1" fontId="13" applyFont="1" fillId="0" applyAlignment="1">
      <alignment horizontal="left" wrapText="1"/>
    </xf>
    <xf xfId="0" numFmtId="0" borderId="2" applyBorder="1" fontId="13" applyFont="1" fillId="0" applyAlignment="1">
      <alignment horizontal="left" wrapText="1"/>
    </xf>
    <xf xfId="0" numFmtId="0" borderId="12" applyBorder="1" fontId="13" applyFont="1" fillId="0" applyAlignment="1">
      <alignment horizontal="left" wrapText="1"/>
    </xf>
    <xf xfId="0" numFmtId="164" applyNumberFormat="1" borderId="2" applyBorder="1" fontId="13" applyFont="1" fillId="0" applyAlignment="1">
      <alignment horizontal="center"/>
    </xf>
    <xf xfId="0" numFmtId="3" applyNumberFormat="1" borderId="12" applyBorder="1" fontId="13" applyFont="1" fillId="0" applyAlignment="1">
      <alignment horizontal="center"/>
    </xf>
    <xf xfId="0" numFmtId="4" applyNumberFormat="1" borderId="12" applyBorder="1" fontId="13" applyFont="1" fillId="0" applyAlignment="1">
      <alignment horizontal="center"/>
    </xf>
    <xf xfId="0" numFmtId="4" applyNumberFormat="1" borderId="2" applyBorder="1" fontId="13" applyFont="1" fillId="0" applyAlignment="1">
      <alignment horizontal="right"/>
    </xf>
    <xf xfId="0" numFmtId="3" applyNumberFormat="1" borderId="2" applyBorder="1" fontId="13" applyFont="1" fillId="0" applyAlignment="1">
      <alignment horizontal="left"/>
    </xf>
    <xf xfId="0" numFmtId="0" borderId="2" applyBorder="1" fontId="13" applyFont="1" fillId="0" applyAlignment="1">
      <alignment horizontal="right"/>
    </xf>
    <xf xfId="0" numFmtId="0" borderId="13" applyBorder="1" fontId="13" applyFont="1" fillId="0" applyAlignment="1">
      <alignment horizontal="left" wrapText="1"/>
    </xf>
    <xf xfId="0" numFmtId="3" applyNumberFormat="1" borderId="1" applyBorder="1" fontId="13" applyFont="1" fillId="0" applyAlignment="1">
      <alignment horizontal="center"/>
    </xf>
    <xf xfId="0" numFmtId="3" applyNumberFormat="1" borderId="1" applyBorder="1" fontId="13" applyFont="1" fillId="0" applyAlignment="1">
      <alignment horizontal="left"/>
    </xf>
    <xf xfId="0" numFmtId="0" borderId="2" applyBorder="1" fontId="12" applyFont="1" fillId="0" applyAlignment="1">
      <alignment horizontal="left"/>
    </xf>
    <xf xfId="0" numFmtId="0" borderId="12" applyBorder="1" fontId="13" applyFont="1" fillId="0" applyAlignment="1">
      <alignment horizontal="center"/>
    </xf>
    <xf xfId="0" numFmtId="165" applyNumberFormat="1" borderId="12" applyBorder="1" fontId="13" applyFont="1" fillId="0" applyAlignment="1">
      <alignment horizontal="right"/>
    </xf>
    <xf xfId="0" numFmtId="3" applyNumberFormat="1" borderId="7" applyBorder="1" fontId="13" applyFont="1" fillId="0" applyAlignment="1">
      <alignment horizontal="left"/>
    </xf>
    <xf xfId="0" numFmtId="4" applyNumberFormat="1" borderId="7" applyBorder="1" fontId="13" applyFont="1" fillId="0" applyAlignment="1">
      <alignment horizontal="right"/>
    </xf>
    <xf xfId="0" numFmtId="0" borderId="2" applyBorder="1" fontId="13" applyFont="1" fillId="0" applyAlignment="1">
      <alignment horizontal="center" vertical="top" wrapText="1"/>
    </xf>
    <xf xfId="0" numFmtId="0" borderId="2" applyBorder="1" fontId="13" applyFont="1" fillId="0" applyAlignment="1">
      <alignment horizontal="center" wrapText="1"/>
    </xf>
    <xf xfId="0" numFmtId="3" applyNumberFormat="1" borderId="12" applyBorder="1" fontId="13" applyFont="1" fillId="0" applyAlignment="1">
      <alignment horizontal="center" vertical="top"/>
    </xf>
    <xf xfId="0" numFmtId="3" applyNumberFormat="1" borderId="13" applyBorder="1" fontId="13" applyFont="1" fillId="0" applyAlignment="1">
      <alignment horizontal="center"/>
    </xf>
    <xf xfId="0" numFmtId="3" applyNumberFormat="1" borderId="2" applyBorder="1" fontId="12" applyFont="1" fillId="0" applyAlignment="1">
      <alignment horizontal="center"/>
    </xf>
    <xf xfId="0" numFmtId="3" applyNumberFormat="1" borderId="2" applyBorder="1" fontId="12" applyFont="1" fillId="0" applyAlignment="1">
      <alignment horizontal="right"/>
    </xf>
    <xf xfId="0" numFmtId="4" applyNumberFormat="1" borderId="2" applyBorder="1" fontId="12" applyFont="1" fillId="0" applyAlignment="1">
      <alignment horizontal="right"/>
    </xf>
    <xf xfId="0" numFmtId="3" applyNumberFormat="1" borderId="2" applyBorder="1" fontId="12" applyFont="1" fillId="0" applyAlignment="1">
      <alignment horizontal="left"/>
    </xf>
    <xf xfId="0" numFmtId="0" borderId="2" applyBorder="1" fontId="12" applyFont="1" fillId="0" applyAlignment="1">
      <alignment horizontal="left" wrapText="1"/>
    </xf>
    <xf xfId="0" numFmtId="0" borderId="1" applyBorder="1" fontId="13" applyFont="1" fillId="0" applyAlignment="1">
      <alignment horizontal="center"/>
    </xf>
    <xf xfId="0" numFmtId="4" applyNumberFormat="1" borderId="1" applyBorder="1" fontId="13" applyFont="1" fillId="0" applyAlignment="1">
      <alignment horizontal="left"/>
    </xf>
    <xf xfId="0" numFmtId="4" applyNumberFormat="1" borderId="1" applyBorder="1" fontId="13" applyFont="1" fillId="0" applyAlignment="1">
      <alignment horizontal="right"/>
    </xf>
    <xf xfId="0" numFmtId="4" applyNumberFormat="1" borderId="1" applyBorder="1" fontId="12" applyFont="1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left"/>
    </xf>
    <xf xfId="0" numFmtId="0" borderId="1" applyBorder="1" fontId="11" applyFont="1" fillId="0" applyAlignment="1">
      <alignment horizontal="left"/>
    </xf>
    <xf xfId="0" numFmtId="0" borderId="2" applyBorder="1" fontId="1" applyFont="1" fillId="0" applyAlignment="1">
      <alignment horizontal="center" wrapText="1"/>
    </xf>
    <xf xfId="0" numFmtId="0" borderId="2" applyBorder="1" fontId="5" applyFont="1" fillId="0" applyAlignment="1">
      <alignment horizontal="left" wrapText="1"/>
    </xf>
    <xf xfId="0" numFmtId="0" borderId="2" applyBorder="1" fontId="5" applyFont="1" fillId="0" applyAlignment="1">
      <alignment horizontal="center" wrapText="1"/>
    </xf>
    <xf xfId="0" numFmtId="3" applyNumberFormat="1" borderId="1" applyBorder="1" fontId="8" applyFont="1" fillId="0" applyAlignment="1">
      <alignment horizontal="right"/>
    </xf>
    <xf xfId="0" numFmtId="3" applyNumberFormat="1" borderId="2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right"/>
    </xf>
    <xf xfId="0" numFmtId="3" applyNumberFormat="1" borderId="2" applyBorder="1" fontId="5" applyFont="1" fillId="0" applyAlignment="1">
      <alignment horizontal="right" wrapText="1"/>
    </xf>
    <xf xfId="0" numFmtId="0" borderId="14" applyBorder="1" fontId="1" applyFont="1" fillId="0" applyAlignment="1">
      <alignment horizontal="center"/>
    </xf>
    <xf xfId="0" numFmtId="3" applyNumberFormat="1" borderId="14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4"/>
  <sheetViews>
    <sheetView workbookViewId="0"/>
  </sheetViews>
  <sheetFormatPr defaultRowHeight="15" x14ac:dyDescent="0.25"/>
  <cols>
    <col min="1" max="1" style="48" width="9.147857142857141" customWidth="1" bestFit="1"/>
    <col min="2" max="2" style="48" width="7.862142857142857" customWidth="1" bestFit="1"/>
    <col min="3" max="3" style="48" width="51.43357142857143" customWidth="1" bestFit="1"/>
    <col min="4" max="4" style="48" width="8.290714285714287" customWidth="1" bestFit="1"/>
    <col min="5" max="5" style="48" width="15.862142857142858" customWidth="1" bestFit="1"/>
    <col min="6" max="6" style="48" width="7.147857142857143" customWidth="1" bestFit="1"/>
    <col min="7" max="7" style="49" width="19.14785714285714" customWidth="1" bestFit="1"/>
    <col min="8" max="8" style="48" width="18.576428571428572" customWidth="1" bestFit="1"/>
    <col min="9" max="9" style="48" width="13.576428571428572" customWidth="1" bestFit="1"/>
    <col min="10" max="10" style="48" width="13.576428571428572" customWidth="1" bestFit="1"/>
  </cols>
  <sheetData>
    <row x14ac:dyDescent="0.25" r="1" customHeight="1" ht="18.75">
      <c r="A1" s="47"/>
      <c r="B1" s="47"/>
      <c r="C1" s="47"/>
      <c r="D1" s="47"/>
      <c r="E1" s="47"/>
      <c r="F1" s="47"/>
      <c r="G1" s="4"/>
      <c r="H1" s="47"/>
      <c r="I1" s="47"/>
      <c r="J1" s="47"/>
    </row>
    <row x14ac:dyDescent="0.25" r="2" customHeight="1" ht="20.1">
      <c r="A2" s="55" t="s">
        <v>1040</v>
      </c>
      <c r="B2" s="55"/>
      <c r="C2" s="55"/>
      <c r="D2" s="55"/>
      <c r="E2" s="55"/>
      <c r="F2" s="55"/>
      <c r="G2" s="54"/>
      <c r="H2" s="115"/>
      <c r="I2" s="115"/>
      <c r="J2" s="115"/>
    </row>
    <row x14ac:dyDescent="0.25" r="3" customHeight="1" ht="20.1">
      <c r="A3" s="47"/>
      <c r="B3" s="47"/>
      <c r="C3" s="47"/>
      <c r="D3" s="47"/>
      <c r="E3" s="47"/>
      <c r="F3" s="47"/>
      <c r="G3" s="4"/>
      <c r="H3" s="47"/>
      <c r="I3" s="115"/>
      <c r="J3" s="47"/>
    </row>
    <row x14ac:dyDescent="0.25" r="4" customHeight="1" ht="47.25">
      <c r="A4" s="7" t="s">
        <v>1041</v>
      </c>
      <c r="B4" s="116" t="s">
        <v>1042</v>
      </c>
      <c r="C4" s="7" t="s">
        <v>5</v>
      </c>
      <c r="D4" s="7" t="s">
        <v>1043</v>
      </c>
      <c r="E4" s="116" t="s">
        <v>1044</v>
      </c>
      <c r="F4" s="7" t="s">
        <v>1045</v>
      </c>
      <c r="G4" s="8" t="s">
        <v>1046</v>
      </c>
      <c r="H4" s="47"/>
      <c r="I4" s="47"/>
      <c r="J4" s="47"/>
    </row>
    <row x14ac:dyDescent="0.25" r="5" customHeight="1" ht="42">
      <c r="A5" s="19" t="s">
        <v>47</v>
      </c>
      <c r="B5" s="20" t="s">
        <v>1047</v>
      </c>
      <c r="C5" s="117" t="s">
        <v>1048</v>
      </c>
      <c r="D5" s="118" t="s">
        <v>1049</v>
      </c>
      <c r="E5" s="20" t="s">
        <v>1050</v>
      </c>
      <c r="F5" s="20" t="s">
        <v>10</v>
      </c>
      <c r="G5" s="13">
        <v>18725500</v>
      </c>
      <c r="H5" s="47"/>
      <c r="I5" s="47"/>
      <c r="J5" s="47"/>
    </row>
    <row x14ac:dyDescent="0.25" r="6" customHeight="1" ht="20.1">
      <c r="A6" s="19" t="s">
        <v>47</v>
      </c>
      <c r="B6" s="20" t="s">
        <v>1051</v>
      </c>
      <c r="C6" s="117" t="s">
        <v>1052</v>
      </c>
      <c r="D6" s="118" t="s">
        <v>1049</v>
      </c>
      <c r="E6" s="20" t="s">
        <v>1050</v>
      </c>
      <c r="F6" s="20" t="s">
        <v>10</v>
      </c>
      <c r="G6" s="13">
        <v>7329800</v>
      </c>
      <c r="H6" s="47"/>
      <c r="I6" s="47"/>
      <c r="J6" s="47"/>
    </row>
    <row x14ac:dyDescent="0.25" r="7" customHeight="1" ht="20.1">
      <c r="A7" s="19" t="s">
        <v>111</v>
      </c>
      <c r="B7" s="20" t="s">
        <v>1051</v>
      </c>
      <c r="C7" s="117" t="s">
        <v>1053</v>
      </c>
      <c r="D7" s="118" t="s">
        <v>1049</v>
      </c>
      <c r="E7" s="20" t="s">
        <v>1050</v>
      </c>
      <c r="F7" s="20" t="s">
        <v>10</v>
      </c>
      <c r="G7" s="13">
        <v>29540000</v>
      </c>
      <c r="H7" s="47"/>
      <c r="I7" s="47"/>
      <c r="J7" s="47"/>
    </row>
    <row x14ac:dyDescent="0.25" r="8" customHeight="1" ht="20.1">
      <c r="A8" s="19" t="s">
        <v>168</v>
      </c>
      <c r="B8" s="20" t="s">
        <v>1051</v>
      </c>
      <c r="C8" s="117" t="s">
        <v>1054</v>
      </c>
      <c r="D8" s="118" t="s">
        <v>1049</v>
      </c>
      <c r="E8" s="20" t="s">
        <v>1050</v>
      </c>
      <c r="F8" s="20" t="s">
        <v>10</v>
      </c>
      <c r="G8" s="13">
        <v>4270200</v>
      </c>
      <c r="H8" s="47"/>
      <c r="I8" s="47"/>
      <c r="J8" s="47"/>
    </row>
    <row x14ac:dyDescent="0.25" r="9" customHeight="1" ht="20.1">
      <c r="A9" s="19" t="s">
        <v>168</v>
      </c>
      <c r="B9" s="20" t="s">
        <v>1055</v>
      </c>
      <c r="C9" s="117" t="s">
        <v>1056</v>
      </c>
      <c r="D9" s="118" t="s">
        <v>1049</v>
      </c>
      <c r="E9" s="20" t="s">
        <v>1050</v>
      </c>
      <c r="F9" s="20" t="s">
        <v>10</v>
      </c>
      <c r="G9" s="13">
        <v>27597300</v>
      </c>
      <c r="H9" s="47"/>
      <c r="I9" s="47"/>
      <c r="J9" s="47"/>
    </row>
    <row x14ac:dyDescent="0.25" r="10" customHeight="1" ht="20.1">
      <c r="A10" s="19" t="s">
        <v>218</v>
      </c>
      <c r="B10" s="20" t="s">
        <v>1055</v>
      </c>
      <c r="C10" s="117" t="s">
        <v>1057</v>
      </c>
      <c r="D10" s="118" t="s">
        <v>1049</v>
      </c>
      <c r="E10" s="20" t="s">
        <v>1050</v>
      </c>
      <c r="F10" s="20" t="s">
        <v>10</v>
      </c>
      <c r="G10" s="13">
        <v>13916700</v>
      </c>
      <c r="H10" s="47"/>
      <c r="I10" s="47"/>
      <c r="J10" s="47"/>
    </row>
    <row x14ac:dyDescent="0.25" r="11" customHeight="1" ht="20.1">
      <c r="A11" s="19" t="s">
        <v>218</v>
      </c>
      <c r="B11" s="20" t="s">
        <v>1058</v>
      </c>
      <c r="C11" s="117" t="s">
        <v>1059</v>
      </c>
      <c r="D11" s="118" t="s">
        <v>1049</v>
      </c>
      <c r="E11" s="20" t="s">
        <v>1050</v>
      </c>
      <c r="F11" s="20" t="s">
        <v>10</v>
      </c>
      <c r="G11" s="13">
        <v>701800</v>
      </c>
      <c r="H11" s="47"/>
      <c r="I11" s="47"/>
      <c r="J11" s="47"/>
    </row>
    <row x14ac:dyDescent="0.25" r="12" customHeight="1" ht="20.1">
      <c r="A12" s="19" t="s">
        <v>233</v>
      </c>
      <c r="B12" s="20" t="s">
        <v>1058</v>
      </c>
      <c r="C12" s="117" t="s">
        <v>1060</v>
      </c>
      <c r="D12" s="118" t="s">
        <v>1049</v>
      </c>
      <c r="E12" s="20" t="s">
        <v>1050</v>
      </c>
      <c r="F12" s="20" t="s">
        <v>10</v>
      </c>
      <c r="G12" s="13">
        <v>13875500</v>
      </c>
      <c r="H12" s="47"/>
      <c r="I12" s="47"/>
      <c r="J12" s="47"/>
    </row>
    <row x14ac:dyDescent="0.25" r="13" customHeight="1" ht="20.1">
      <c r="A13" s="19" t="s">
        <v>296</v>
      </c>
      <c r="B13" s="20" t="s">
        <v>1058</v>
      </c>
      <c r="C13" s="117" t="s">
        <v>1061</v>
      </c>
      <c r="D13" s="118" t="s">
        <v>1049</v>
      </c>
      <c r="E13" s="20" t="s">
        <v>1050</v>
      </c>
      <c r="F13" s="20" t="s">
        <v>10</v>
      </c>
      <c r="G13" s="13">
        <v>19944500</v>
      </c>
      <c r="H13" s="47"/>
      <c r="I13" s="47"/>
      <c r="J13" s="47"/>
    </row>
    <row x14ac:dyDescent="0.25" r="14" customHeight="1" ht="18.75">
      <c r="A14" s="19" t="s">
        <v>338</v>
      </c>
      <c r="B14" s="20" t="s">
        <v>1058</v>
      </c>
      <c r="C14" s="117" t="s">
        <v>1062</v>
      </c>
      <c r="D14" s="118" t="s">
        <v>1049</v>
      </c>
      <c r="E14" s="20" t="s">
        <v>1050</v>
      </c>
      <c r="F14" s="20" t="s">
        <v>10</v>
      </c>
      <c r="G14" s="13">
        <v>4693500</v>
      </c>
      <c r="H14" s="47"/>
      <c r="I14" s="47"/>
      <c r="J14" s="47"/>
    </row>
    <row x14ac:dyDescent="0.25" r="15" customHeight="1" ht="18.75">
      <c r="A15" s="19" t="s">
        <v>361</v>
      </c>
      <c r="B15" s="20" t="s">
        <v>1058</v>
      </c>
      <c r="C15" s="117" t="s">
        <v>1063</v>
      </c>
      <c r="D15" s="118" t="s">
        <v>1049</v>
      </c>
      <c r="E15" s="20" t="s">
        <v>1050</v>
      </c>
      <c r="F15" s="20" t="s">
        <v>10</v>
      </c>
      <c r="G15" s="13">
        <v>2298700</v>
      </c>
      <c r="H15" s="47"/>
      <c r="I15" s="47"/>
      <c r="J15" s="47"/>
    </row>
    <row x14ac:dyDescent="0.25" r="16" customHeight="1" ht="18.75">
      <c r="A16" s="19" t="s">
        <v>361</v>
      </c>
      <c r="B16" s="20" t="s">
        <v>1064</v>
      </c>
      <c r="C16" s="117" t="s">
        <v>1065</v>
      </c>
      <c r="D16" s="118" t="s">
        <v>1049</v>
      </c>
      <c r="E16" s="20" t="s">
        <v>1050</v>
      </c>
      <c r="F16" s="20" t="s">
        <v>10</v>
      </c>
      <c r="G16" s="13">
        <v>15730300</v>
      </c>
      <c r="H16" s="47"/>
      <c r="I16" s="47"/>
      <c r="J16" s="47"/>
    </row>
    <row x14ac:dyDescent="0.25" r="17" customHeight="1" ht="18.75">
      <c r="A17" s="19" t="s">
        <v>400</v>
      </c>
      <c r="B17" s="20" t="s">
        <v>1064</v>
      </c>
      <c r="C17" s="117" t="s">
        <v>1066</v>
      </c>
      <c r="D17" s="118" t="s">
        <v>1049</v>
      </c>
      <c r="E17" s="20" t="s">
        <v>1050</v>
      </c>
      <c r="F17" s="20" t="s">
        <v>10</v>
      </c>
      <c r="G17" s="14">
        <v>13824000</v>
      </c>
      <c r="H17" s="47"/>
      <c r="I17" s="47"/>
      <c r="J17" s="47"/>
    </row>
    <row x14ac:dyDescent="0.25" r="18" customHeight="1" ht="18.75">
      <c r="A18" s="19" t="s">
        <v>444</v>
      </c>
      <c r="B18" s="20" t="s">
        <v>1064</v>
      </c>
      <c r="C18" s="117" t="s">
        <v>1067</v>
      </c>
      <c r="D18" s="118" t="s">
        <v>1049</v>
      </c>
      <c r="E18" s="20" t="s">
        <v>1050</v>
      </c>
      <c r="F18" s="20" t="s">
        <v>10</v>
      </c>
      <c r="G18" s="14">
        <v>11585700</v>
      </c>
      <c r="H18" s="47"/>
      <c r="I18" s="47"/>
      <c r="J18" s="47"/>
    </row>
    <row x14ac:dyDescent="0.25" r="19" customHeight="1" ht="18.75">
      <c r="A19" s="19" t="s">
        <v>444</v>
      </c>
      <c r="B19" s="20" t="s">
        <v>1068</v>
      </c>
      <c r="C19" s="117" t="s">
        <v>1069</v>
      </c>
      <c r="D19" s="118" t="s">
        <v>1049</v>
      </c>
      <c r="E19" s="20" t="s">
        <v>1050</v>
      </c>
      <c r="F19" s="20" t="s">
        <v>10</v>
      </c>
      <c r="G19" s="14">
        <v>7431200</v>
      </c>
      <c r="H19" s="47"/>
      <c r="I19" s="47"/>
      <c r="J19" s="47"/>
    </row>
    <row x14ac:dyDescent="0.25" r="20" customHeight="1" ht="18.75">
      <c r="A20" s="19" t="s">
        <v>515</v>
      </c>
      <c r="B20" s="20" t="s">
        <v>1068</v>
      </c>
      <c r="C20" s="117" t="s">
        <v>1070</v>
      </c>
      <c r="D20" s="118" t="s">
        <v>1049</v>
      </c>
      <c r="E20" s="20" t="s">
        <v>1050</v>
      </c>
      <c r="F20" s="20" t="s">
        <v>10</v>
      </c>
      <c r="G20" s="13">
        <v>26030500</v>
      </c>
      <c r="H20" s="47"/>
      <c r="I20" s="47"/>
      <c r="J20" s="47"/>
    </row>
    <row x14ac:dyDescent="0.25" r="21" customHeight="1" ht="18.75">
      <c r="A21" s="19" t="s">
        <v>574</v>
      </c>
      <c r="B21" s="20" t="s">
        <v>1068</v>
      </c>
      <c r="C21" s="117" t="s">
        <v>1071</v>
      </c>
      <c r="D21" s="118" t="s">
        <v>1049</v>
      </c>
      <c r="E21" s="20" t="s">
        <v>1050</v>
      </c>
      <c r="F21" s="20" t="s">
        <v>10</v>
      </c>
      <c r="G21" s="13">
        <v>8052300</v>
      </c>
      <c r="H21" s="47"/>
      <c r="I21" s="47"/>
      <c r="J21" s="47"/>
    </row>
    <row x14ac:dyDescent="0.25" r="22" customHeight="1" ht="18.75">
      <c r="A22" s="19" t="s">
        <v>574</v>
      </c>
      <c r="B22" s="20" t="s">
        <v>1072</v>
      </c>
      <c r="C22" s="117" t="s">
        <v>1073</v>
      </c>
      <c r="D22" s="118" t="s">
        <v>1049</v>
      </c>
      <c r="E22" s="20" t="s">
        <v>1050</v>
      </c>
      <c r="F22" s="20" t="s">
        <v>10</v>
      </c>
      <c r="G22" s="13">
        <v>12154200</v>
      </c>
      <c r="H22" s="47"/>
      <c r="I22" s="47"/>
      <c r="J22" s="47"/>
    </row>
    <row x14ac:dyDescent="0.25" r="23" customHeight="1" ht="18.75">
      <c r="A23" s="19" t="s">
        <v>596</v>
      </c>
      <c r="B23" s="20" t="s">
        <v>1072</v>
      </c>
      <c r="C23" s="117" t="s">
        <v>1074</v>
      </c>
      <c r="D23" s="118" t="s">
        <v>1049</v>
      </c>
      <c r="E23" s="20" t="s">
        <v>1050</v>
      </c>
      <c r="F23" s="20" t="s">
        <v>10</v>
      </c>
      <c r="G23" s="13">
        <v>16000000</v>
      </c>
      <c r="H23" s="47"/>
      <c r="I23" s="47"/>
      <c r="J23" s="47"/>
    </row>
    <row x14ac:dyDescent="0.25" r="24" customHeight="1" ht="18.75">
      <c r="A24" s="19" t="s">
        <v>598</v>
      </c>
      <c r="B24" s="20" t="s">
        <v>1072</v>
      </c>
      <c r="C24" s="117" t="s">
        <v>1075</v>
      </c>
      <c r="D24" s="118" t="s">
        <v>1049</v>
      </c>
      <c r="E24" s="20" t="s">
        <v>1050</v>
      </c>
      <c r="F24" s="20" t="s">
        <v>10</v>
      </c>
      <c r="G24" s="13">
        <v>12500000</v>
      </c>
      <c r="H24" s="47"/>
      <c r="I24" s="47"/>
      <c r="J24" s="47"/>
    </row>
    <row x14ac:dyDescent="0.25" r="25" customHeight="1" ht="18.75">
      <c r="A25" s="19" t="s">
        <v>622</v>
      </c>
      <c r="B25" s="20" t="s">
        <v>1072</v>
      </c>
      <c r="C25" s="117" t="s">
        <v>1076</v>
      </c>
      <c r="D25" s="118" t="s">
        <v>1049</v>
      </c>
      <c r="E25" s="20" t="s">
        <v>1050</v>
      </c>
      <c r="F25" s="20" t="s">
        <v>10</v>
      </c>
      <c r="G25" s="13">
        <v>859800</v>
      </c>
      <c r="H25" s="47"/>
      <c r="I25" s="47"/>
      <c r="J25" s="47"/>
    </row>
    <row x14ac:dyDescent="0.25" r="26" customHeight="1" ht="18.75">
      <c r="A26" s="19" t="s">
        <v>223</v>
      </c>
      <c r="B26" s="20" t="s">
        <v>1077</v>
      </c>
      <c r="C26" s="117" t="s">
        <v>1078</v>
      </c>
      <c r="D26" s="118" t="s">
        <v>1049</v>
      </c>
      <c r="E26" s="19" t="s">
        <v>1079</v>
      </c>
      <c r="F26" s="20" t="s">
        <v>10</v>
      </c>
      <c r="G26" s="13">
        <v>26620000</v>
      </c>
      <c r="H26" s="47"/>
      <c r="I26" s="47"/>
      <c r="J26" s="47"/>
    </row>
    <row x14ac:dyDescent="0.25" r="27" customHeight="1" ht="18.75">
      <c r="A27" s="19" t="s">
        <v>261</v>
      </c>
      <c r="B27" s="20" t="s">
        <v>1077</v>
      </c>
      <c r="C27" s="117" t="s">
        <v>1080</v>
      </c>
      <c r="D27" s="118" t="s">
        <v>1049</v>
      </c>
      <c r="E27" s="19" t="s">
        <v>1079</v>
      </c>
      <c r="F27" s="20" t="s">
        <v>10</v>
      </c>
      <c r="G27" s="13">
        <v>100000000</v>
      </c>
      <c r="H27" s="47"/>
      <c r="I27" s="47"/>
      <c r="J27" s="47"/>
    </row>
    <row x14ac:dyDescent="0.25" r="28" customHeight="1" ht="18.75">
      <c r="A28" s="19" t="s">
        <v>351</v>
      </c>
      <c r="B28" s="20" t="s">
        <v>1077</v>
      </c>
      <c r="C28" s="117" t="s">
        <v>1081</v>
      </c>
      <c r="D28" s="118" t="s">
        <v>1049</v>
      </c>
      <c r="E28" s="20" t="s">
        <v>1079</v>
      </c>
      <c r="F28" s="20" t="s">
        <v>10</v>
      </c>
      <c r="G28" s="13">
        <v>84300000</v>
      </c>
      <c r="H28" s="119"/>
      <c r="I28" s="47"/>
      <c r="J28" s="47"/>
    </row>
    <row x14ac:dyDescent="0.25" r="29" customHeight="1" ht="18.75">
      <c r="A29" s="19" t="s">
        <v>351</v>
      </c>
      <c r="B29" s="20" t="s">
        <v>1077</v>
      </c>
      <c r="C29" s="117" t="s">
        <v>1082</v>
      </c>
      <c r="D29" s="118" t="s">
        <v>1049</v>
      </c>
      <c r="E29" s="20" t="s">
        <v>1079</v>
      </c>
      <c r="F29" s="20" t="s">
        <v>10</v>
      </c>
      <c r="G29" s="13">
        <v>55787500</v>
      </c>
      <c r="H29" s="47"/>
      <c r="I29" s="47"/>
      <c r="J29" s="47"/>
    </row>
    <row x14ac:dyDescent="0.25" r="30" customHeight="1" ht="18.75">
      <c r="A30" s="19" t="s">
        <v>367</v>
      </c>
      <c r="B30" s="20" t="s">
        <v>1077</v>
      </c>
      <c r="C30" s="117" t="s">
        <v>1083</v>
      </c>
      <c r="D30" s="118" t="s">
        <v>1049</v>
      </c>
      <c r="E30" s="20" t="s">
        <v>1079</v>
      </c>
      <c r="F30" s="20" t="s">
        <v>10</v>
      </c>
      <c r="G30" s="13">
        <v>50000000</v>
      </c>
      <c r="H30" s="47"/>
      <c r="I30" s="47"/>
      <c r="J30" s="47"/>
    </row>
    <row x14ac:dyDescent="0.25" r="31" customHeight="1" ht="18.75">
      <c r="A31" s="19" t="s">
        <v>377</v>
      </c>
      <c r="B31" s="20" t="s">
        <v>1077</v>
      </c>
      <c r="C31" s="117" t="s">
        <v>1084</v>
      </c>
      <c r="D31" s="118" t="s">
        <v>1049</v>
      </c>
      <c r="E31" s="20" t="s">
        <v>1079</v>
      </c>
      <c r="F31" s="20" t="s">
        <v>10</v>
      </c>
      <c r="G31" s="14">
        <v>66487500</v>
      </c>
      <c r="H31" s="47"/>
      <c r="I31" s="47"/>
      <c r="J31" s="47"/>
    </row>
    <row x14ac:dyDescent="0.25" r="32" customHeight="1" ht="18.75">
      <c r="A32" s="19" t="s">
        <v>413</v>
      </c>
      <c r="B32" s="20" t="s">
        <v>1077</v>
      </c>
      <c r="C32" s="117" t="s">
        <v>1085</v>
      </c>
      <c r="D32" s="118" t="s">
        <v>1049</v>
      </c>
      <c r="E32" s="20" t="s">
        <v>1079</v>
      </c>
      <c r="F32" s="20" t="s">
        <v>10</v>
      </c>
      <c r="G32" s="120">
        <v>110787500</v>
      </c>
      <c r="H32" s="47"/>
      <c r="I32" s="47"/>
      <c r="J32" s="47"/>
    </row>
    <row x14ac:dyDescent="0.25" r="33" customHeight="1" ht="18.75">
      <c r="A33" s="19" t="s">
        <v>622</v>
      </c>
      <c r="B33" s="20" t="s">
        <v>1086</v>
      </c>
      <c r="C33" s="117" t="s">
        <v>1087</v>
      </c>
      <c r="D33" s="118" t="s">
        <v>1049</v>
      </c>
      <c r="E33" s="20" t="s">
        <v>1050</v>
      </c>
      <c r="F33" s="20" t="s">
        <v>10</v>
      </c>
      <c r="G33" s="13">
        <v>34000200</v>
      </c>
      <c r="H33" s="47"/>
      <c r="I33" s="47"/>
      <c r="J33" s="47"/>
    </row>
    <row x14ac:dyDescent="0.25" r="34" customHeight="1" ht="18.75">
      <c r="A34" s="19" t="s">
        <v>633</v>
      </c>
      <c r="B34" s="20" t="s">
        <v>1086</v>
      </c>
      <c r="C34" s="117" t="s">
        <v>1088</v>
      </c>
      <c r="D34" s="118" t="s">
        <v>1049</v>
      </c>
      <c r="E34" s="20" t="s">
        <v>1050</v>
      </c>
      <c r="F34" s="20" t="s">
        <v>10</v>
      </c>
      <c r="G34" s="13">
        <v>7513800</v>
      </c>
      <c r="H34" s="47"/>
      <c r="I34" s="47"/>
      <c r="J34" s="47"/>
    </row>
    <row x14ac:dyDescent="0.25" r="35" customHeight="1" ht="18.75">
      <c r="A35" s="19" t="s">
        <v>633</v>
      </c>
      <c r="B35" s="20" t="s">
        <v>1089</v>
      </c>
      <c r="C35" s="117" t="s">
        <v>1090</v>
      </c>
      <c r="D35" s="118" t="s">
        <v>1049</v>
      </c>
      <c r="E35" s="20" t="s">
        <v>1050</v>
      </c>
      <c r="F35" s="20" t="s">
        <v>10</v>
      </c>
      <c r="G35" s="13">
        <v>7486200</v>
      </c>
      <c r="H35" s="47"/>
      <c r="I35" s="47"/>
      <c r="J35" s="47"/>
    </row>
    <row x14ac:dyDescent="0.25" r="36" customHeight="1" ht="18.75">
      <c r="A36" s="19" t="s">
        <v>650</v>
      </c>
      <c r="B36" s="20" t="s">
        <v>1089</v>
      </c>
      <c r="C36" s="117" t="s">
        <v>1091</v>
      </c>
      <c r="D36" s="118" t="s">
        <v>1049</v>
      </c>
      <c r="E36" s="20" t="s">
        <v>1050</v>
      </c>
      <c r="F36" s="20" t="s">
        <v>10</v>
      </c>
      <c r="G36" s="13">
        <v>20000000</v>
      </c>
      <c r="H36" s="47"/>
      <c r="I36" s="47"/>
      <c r="J36" s="47"/>
    </row>
    <row x14ac:dyDescent="0.25" r="37" customHeight="1" ht="18.75">
      <c r="A37" s="19" t="s">
        <v>661</v>
      </c>
      <c r="B37" s="20" t="s">
        <v>1089</v>
      </c>
      <c r="C37" s="117" t="s">
        <v>1092</v>
      </c>
      <c r="D37" s="118" t="s">
        <v>1049</v>
      </c>
      <c r="E37" s="20" t="s">
        <v>1050</v>
      </c>
      <c r="F37" s="20" t="s">
        <v>10</v>
      </c>
      <c r="G37" s="13">
        <v>15000000</v>
      </c>
      <c r="H37" s="47"/>
      <c r="I37" s="47"/>
      <c r="J37" s="47"/>
    </row>
    <row x14ac:dyDescent="0.25" r="38" customHeight="1" ht="18.75">
      <c r="A38" s="19" t="s">
        <v>680</v>
      </c>
      <c r="B38" s="20" t="s">
        <v>1089</v>
      </c>
      <c r="C38" s="117" t="s">
        <v>1093</v>
      </c>
      <c r="D38" s="118" t="s">
        <v>1049</v>
      </c>
      <c r="E38" s="20" t="s">
        <v>1050</v>
      </c>
      <c r="F38" s="20" t="s">
        <v>10</v>
      </c>
      <c r="G38" s="13">
        <v>523800</v>
      </c>
      <c r="H38" s="47"/>
      <c r="I38" s="47"/>
      <c r="J38" s="47"/>
    </row>
    <row x14ac:dyDescent="0.25" r="39" customHeight="1" ht="18.75">
      <c r="A39" s="19" t="s">
        <v>111</v>
      </c>
      <c r="B39" s="20" t="s">
        <v>1094</v>
      </c>
      <c r="C39" s="117" t="s">
        <v>1095</v>
      </c>
      <c r="D39" s="118" t="s">
        <v>1049</v>
      </c>
      <c r="E39" s="20" t="s">
        <v>1096</v>
      </c>
      <c r="F39" s="20" t="s">
        <v>8</v>
      </c>
      <c r="G39" s="120">
        <v>180000000</v>
      </c>
      <c r="H39" s="121"/>
      <c r="I39" s="47"/>
      <c r="J39" s="47"/>
    </row>
    <row x14ac:dyDescent="0.25" r="40" customHeight="1" ht="18.75">
      <c r="A40" s="19" t="s">
        <v>128</v>
      </c>
      <c r="B40" s="20" t="s">
        <v>1094</v>
      </c>
      <c r="C40" s="117" t="s">
        <v>1097</v>
      </c>
      <c r="D40" s="118" t="s">
        <v>1049</v>
      </c>
      <c r="E40" s="20" t="s">
        <v>1096</v>
      </c>
      <c r="F40" s="20" t="s">
        <v>8</v>
      </c>
      <c r="G40" s="120">
        <v>67060000</v>
      </c>
      <c r="H40" s="121"/>
      <c r="I40" s="47"/>
      <c r="J40" s="47"/>
    </row>
    <row x14ac:dyDescent="0.25" r="41" customHeight="1" ht="18.75">
      <c r="A41" s="19" t="s">
        <v>680</v>
      </c>
      <c r="B41" s="20" t="s">
        <v>1094</v>
      </c>
      <c r="C41" s="117" t="s">
        <v>1098</v>
      </c>
      <c r="D41" s="118" t="s">
        <v>1049</v>
      </c>
      <c r="E41" s="20" t="s">
        <v>1050</v>
      </c>
      <c r="F41" s="20" t="s">
        <v>10</v>
      </c>
      <c r="G41" s="13">
        <v>23665700</v>
      </c>
      <c r="H41" s="47"/>
      <c r="I41" s="47"/>
      <c r="J41" s="47"/>
    </row>
    <row x14ac:dyDescent="0.25" r="42" customHeight="1" ht="18.75">
      <c r="A42" s="19" t="s">
        <v>694</v>
      </c>
      <c r="B42" s="20" t="s">
        <v>1094</v>
      </c>
      <c r="C42" s="117" t="s">
        <v>1099</v>
      </c>
      <c r="D42" s="118" t="s">
        <v>1049</v>
      </c>
      <c r="E42" s="20" t="s">
        <v>1050</v>
      </c>
      <c r="F42" s="20" t="s">
        <v>10</v>
      </c>
      <c r="G42" s="13">
        <v>11000000</v>
      </c>
      <c r="H42" s="47"/>
      <c r="I42" s="47"/>
      <c r="J42" s="47"/>
    </row>
    <row x14ac:dyDescent="0.25" r="43" customHeight="1" ht="18.75">
      <c r="A43" s="19" t="s">
        <v>696</v>
      </c>
      <c r="B43" s="20" t="s">
        <v>1094</v>
      </c>
      <c r="C43" s="117" t="s">
        <v>1100</v>
      </c>
      <c r="D43" s="118" t="s">
        <v>1049</v>
      </c>
      <c r="E43" s="20" t="s">
        <v>1050</v>
      </c>
      <c r="F43" s="20" t="s">
        <v>10</v>
      </c>
      <c r="G43" s="13">
        <v>9000000</v>
      </c>
      <c r="H43" s="47"/>
      <c r="I43" s="47"/>
      <c r="J43" s="47"/>
    </row>
    <row x14ac:dyDescent="0.25" r="44" customHeight="1" ht="18.75">
      <c r="A44" s="19" t="s">
        <v>720</v>
      </c>
      <c r="B44" s="20" t="s">
        <v>1094</v>
      </c>
      <c r="C44" s="117" t="s">
        <v>1101</v>
      </c>
      <c r="D44" s="118" t="s">
        <v>1049</v>
      </c>
      <c r="E44" s="20" t="s">
        <v>1050</v>
      </c>
      <c r="F44" s="20" t="s">
        <v>10</v>
      </c>
      <c r="G44" s="13">
        <v>1588300</v>
      </c>
      <c r="H44" s="47"/>
      <c r="I44" s="47"/>
      <c r="J44" s="47"/>
    </row>
    <row x14ac:dyDescent="0.25" r="45" customHeight="1" ht="18.75">
      <c r="A45" s="19" t="s">
        <v>490</v>
      </c>
      <c r="B45" s="20" t="s">
        <v>1102</v>
      </c>
      <c r="C45" s="117" t="s">
        <v>1103</v>
      </c>
      <c r="D45" s="118" t="s">
        <v>1049</v>
      </c>
      <c r="E45" s="20" t="s">
        <v>1079</v>
      </c>
      <c r="F45" s="20" t="s">
        <v>10</v>
      </c>
      <c r="G45" s="120">
        <v>80000000</v>
      </c>
      <c r="H45" s="47"/>
      <c r="I45" s="47"/>
      <c r="J45" s="47"/>
    </row>
    <row x14ac:dyDescent="0.25" r="46" customHeight="1" ht="18.75">
      <c r="A46" s="19" t="s">
        <v>506</v>
      </c>
      <c r="B46" s="20" t="s">
        <v>1102</v>
      </c>
      <c r="C46" s="117" t="s">
        <v>1104</v>
      </c>
      <c r="D46" s="118" t="s">
        <v>1049</v>
      </c>
      <c r="E46" s="20" t="s">
        <v>1079</v>
      </c>
      <c r="F46" s="20" t="s">
        <v>10</v>
      </c>
      <c r="G46" s="13">
        <v>21722500</v>
      </c>
      <c r="H46" s="47"/>
      <c r="I46" s="47"/>
      <c r="J46" s="47"/>
    </row>
    <row x14ac:dyDescent="0.25" r="47" customHeight="1" ht="18.75">
      <c r="A47" s="19" t="s">
        <v>506</v>
      </c>
      <c r="B47" s="20" t="s">
        <v>1102</v>
      </c>
      <c r="C47" s="117" t="s">
        <v>1105</v>
      </c>
      <c r="D47" s="118" t="s">
        <v>1049</v>
      </c>
      <c r="E47" s="20" t="s">
        <v>1079</v>
      </c>
      <c r="F47" s="20" t="s">
        <v>10</v>
      </c>
      <c r="G47" s="13">
        <v>60000000</v>
      </c>
      <c r="H47" s="47"/>
      <c r="I47" s="47"/>
      <c r="J47" s="47"/>
    </row>
    <row x14ac:dyDescent="0.25" r="48" customHeight="1" ht="18.75">
      <c r="A48" s="19" t="s">
        <v>526</v>
      </c>
      <c r="B48" s="20" t="s">
        <v>1102</v>
      </c>
      <c r="C48" s="117" t="s">
        <v>1106</v>
      </c>
      <c r="D48" s="118" t="s">
        <v>1049</v>
      </c>
      <c r="E48" s="20" t="s">
        <v>1079</v>
      </c>
      <c r="F48" s="20" t="s">
        <v>10</v>
      </c>
      <c r="G48" s="13">
        <v>41722500</v>
      </c>
      <c r="H48" s="47"/>
      <c r="I48" s="47"/>
      <c r="J48" s="47"/>
    </row>
    <row x14ac:dyDescent="0.25" r="49" customHeight="1" ht="18.75">
      <c r="A49" s="19" t="s">
        <v>598</v>
      </c>
      <c r="B49" s="20" t="s">
        <v>1102</v>
      </c>
      <c r="C49" s="117" t="s">
        <v>1107</v>
      </c>
      <c r="D49" s="118" t="s">
        <v>1049</v>
      </c>
      <c r="E49" s="20" t="s">
        <v>1096</v>
      </c>
      <c r="F49" s="20" t="s">
        <v>10</v>
      </c>
      <c r="G49" s="13">
        <v>62657500</v>
      </c>
      <c r="H49" s="47"/>
      <c r="I49" s="47"/>
      <c r="J49" s="47"/>
    </row>
    <row x14ac:dyDescent="0.25" r="50" customHeight="1" ht="18.75">
      <c r="A50" s="19" t="s">
        <v>598</v>
      </c>
      <c r="B50" s="20" t="s">
        <v>1102</v>
      </c>
      <c r="C50" s="117" t="s">
        <v>1108</v>
      </c>
      <c r="D50" s="118" t="s">
        <v>1049</v>
      </c>
      <c r="E50" s="20" t="s">
        <v>1096</v>
      </c>
      <c r="F50" s="20" t="s">
        <v>10</v>
      </c>
      <c r="G50" s="13">
        <v>5610000</v>
      </c>
      <c r="H50" s="47"/>
      <c r="I50" s="47"/>
      <c r="J50" s="47"/>
    </row>
    <row x14ac:dyDescent="0.25" r="51" customHeight="1" ht="18.75">
      <c r="A51" s="19" t="s">
        <v>622</v>
      </c>
      <c r="B51" s="20" t="s">
        <v>1102</v>
      </c>
      <c r="C51" s="117" t="s">
        <v>1109</v>
      </c>
      <c r="D51" s="118" t="s">
        <v>1049</v>
      </c>
      <c r="E51" s="20" t="s">
        <v>1096</v>
      </c>
      <c r="F51" s="20" t="s">
        <v>10</v>
      </c>
      <c r="G51" s="13">
        <v>140787500</v>
      </c>
      <c r="H51" s="47"/>
      <c r="I51" s="47"/>
      <c r="J51" s="47"/>
    </row>
    <row x14ac:dyDescent="0.25" r="52" customHeight="1" ht="18.75">
      <c r="A52" s="19" t="s">
        <v>763</v>
      </c>
      <c r="B52" s="20" t="s">
        <v>1110</v>
      </c>
      <c r="C52" s="117" t="s">
        <v>1111</v>
      </c>
      <c r="D52" s="118" t="s">
        <v>1049</v>
      </c>
      <c r="E52" s="20" t="s">
        <v>1050</v>
      </c>
      <c r="F52" s="20" t="s">
        <v>10</v>
      </c>
      <c r="G52" s="13">
        <v>8414700</v>
      </c>
      <c r="H52" s="47"/>
      <c r="I52" s="47"/>
      <c r="J52" s="47"/>
    </row>
    <row x14ac:dyDescent="0.25" r="53" customHeight="1" ht="18.75">
      <c r="A53" s="19" t="s">
        <v>763</v>
      </c>
      <c r="B53" s="20" t="s">
        <v>1110</v>
      </c>
      <c r="C53" s="117" t="s">
        <v>1112</v>
      </c>
      <c r="D53" s="118" t="s">
        <v>1049</v>
      </c>
      <c r="E53" s="20" t="s">
        <v>1050</v>
      </c>
      <c r="F53" s="20" t="s">
        <v>10</v>
      </c>
      <c r="G53" s="13">
        <v>15000000</v>
      </c>
      <c r="H53" s="47"/>
      <c r="I53" s="47"/>
      <c r="J53" s="47"/>
    </row>
    <row x14ac:dyDescent="0.25" r="54" customHeight="1" ht="18.75">
      <c r="A54" s="19" t="s">
        <v>361</v>
      </c>
      <c r="B54" s="20" t="s">
        <v>1113</v>
      </c>
      <c r="C54" s="117" t="s">
        <v>1114</v>
      </c>
      <c r="D54" s="118" t="s">
        <v>1049</v>
      </c>
      <c r="E54" s="20" t="s">
        <v>1115</v>
      </c>
      <c r="F54" s="20" t="s">
        <v>10</v>
      </c>
      <c r="G54" s="13">
        <v>9304000</v>
      </c>
      <c r="H54" s="47"/>
      <c r="I54" s="47"/>
      <c r="J54" s="47"/>
    </row>
    <row x14ac:dyDescent="0.25" r="55" customHeight="1" ht="18.75">
      <c r="A55" s="19" t="s">
        <v>377</v>
      </c>
      <c r="B55" s="20" t="s">
        <v>1113</v>
      </c>
      <c r="C55" s="117" t="s">
        <v>1116</v>
      </c>
      <c r="D55" s="118" t="s">
        <v>1049</v>
      </c>
      <c r="E55" s="20" t="s">
        <v>1115</v>
      </c>
      <c r="F55" s="20" t="s">
        <v>10</v>
      </c>
      <c r="G55" s="14">
        <v>23124000</v>
      </c>
      <c r="H55" s="47"/>
      <c r="I55" s="47"/>
      <c r="J55" s="47"/>
    </row>
    <row x14ac:dyDescent="0.25" r="56" customHeight="1" ht="18.75">
      <c r="A56" s="19" t="s">
        <v>19</v>
      </c>
      <c r="B56" s="20" t="s">
        <v>1117</v>
      </c>
      <c r="C56" s="117" t="s">
        <v>1118</v>
      </c>
      <c r="D56" s="118" t="s">
        <v>1049</v>
      </c>
      <c r="E56" s="20" t="s">
        <v>1115</v>
      </c>
      <c r="F56" s="20" t="s">
        <v>8</v>
      </c>
      <c r="G56" s="13">
        <v>10455950</v>
      </c>
      <c r="H56" s="47"/>
      <c r="I56" s="47"/>
      <c r="J56" s="47"/>
    </row>
    <row x14ac:dyDescent="0.25" r="57" customHeight="1" ht="18.75">
      <c r="A57" s="19" t="s">
        <v>90</v>
      </c>
      <c r="B57" s="20" t="s">
        <v>1119</v>
      </c>
      <c r="C57" s="117" t="s">
        <v>1120</v>
      </c>
      <c r="D57" s="118" t="s">
        <v>1121</v>
      </c>
      <c r="E57" s="20" t="s">
        <v>1122</v>
      </c>
      <c r="F57" s="20" t="s">
        <v>8</v>
      </c>
      <c r="G57" s="120">
        <v>6403000</v>
      </c>
      <c r="H57" s="47"/>
      <c r="I57" s="47"/>
      <c r="J57" s="47"/>
    </row>
    <row x14ac:dyDescent="0.25" r="58" customHeight="1" ht="18.75">
      <c r="A58" s="19" t="s">
        <v>90</v>
      </c>
      <c r="B58" s="20" t="s">
        <v>1119</v>
      </c>
      <c r="C58" s="117" t="s">
        <v>1123</v>
      </c>
      <c r="D58" s="118" t="s">
        <v>1121</v>
      </c>
      <c r="E58" s="20" t="s">
        <v>1122</v>
      </c>
      <c r="F58" s="20" t="s">
        <v>8</v>
      </c>
      <c r="G58" s="13">
        <v>12000000</v>
      </c>
      <c r="H58" s="47"/>
      <c r="I58" s="47"/>
      <c r="J58" s="47"/>
    </row>
    <row x14ac:dyDescent="0.25" r="59" customHeight="1" ht="18.75">
      <c r="A59" s="19" t="s">
        <v>105</v>
      </c>
      <c r="B59" s="20" t="s">
        <v>1119</v>
      </c>
      <c r="C59" s="117" t="s">
        <v>1124</v>
      </c>
      <c r="D59" s="118" t="s">
        <v>1121</v>
      </c>
      <c r="E59" s="20" t="s">
        <v>1122</v>
      </c>
      <c r="F59" s="20" t="s">
        <v>8</v>
      </c>
      <c r="G59" s="120">
        <v>10050000</v>
      </c>
      <c r="H59" s="47"/>
      <c r="I59" s="47"/>
      <c r="J59" s="47"/>
    </row>
    <row x14ac:dyDescent="0.25" r="60" customHeight="1" ht="18.75">
      <c r="A60" s="19" t="s">
        <v>90</v>
      </c>
      <c r="B60" s="20" t="s">
        <v>1119</v>
      </c>
      <c r="C60" s="117" t="s">
        <v>1125</v>
      </c>
      <c r="D60" s="118" t="s">
        <v>1049</v>
      </c>
      <c r="E60" s="20" t="s">
        <v>1122</v>
      </c>
      <c r="F60" s="20" t="s">
        <v>8</v>
      </c>
      <c r="G60" s="120">
        <v>12687000</v>
      </c>
      <c r="H60" s="47"/>
      <c r="I60" s="47"/>
      <c r="J60" s="47"/>
    </row>
    <row x14ac:dyDescent="0.25" r="61" customHeight="1" ht="18.75">
      <c r="A61" s="117" t="s">
        <v>19</v>
      </c>
      <c r="B61" s="118" t="s">
        <v>1126</v>
      </c>
      <c r="C61" s="117" t="s">
        <v>1127</v>
      </c>
      <c r="D61" s="118" t="s">
        <v>1049</v>
      </c>
      <c r="E61" s="20" t="s">
        <v>1115</v>
      </c>
      <c r="F61" s="20" t="s">
        <v>8</v>
      </c>
      <c r="G61" s="122">
        <v>19544050</v>
      </c>
      <c r="H61" s="47"/>
      <c r="I61" s="47"/>
      <c r="J61" s="47"/>
    </row>
    <row x14ac:dyDescent="0.25" r="62" customHeight="1" ht="18.75">
      <c r="A62" s="19" t="s">
        <v>36</v>
      </c>
      <c r="B62" s="20" t="s">
        <v>1126</v>
      </c>
      <c r="C62" s="117" t="s">
        <v>1128</v>
      </c>
      <c r="D62" s="118" t="s">
        <v>1049</v>
      </c>
      <c r="E62" s="20" t="s">
        <v>1115</v>
      </c>
      <c r="F62" s="20" t="s">
        <v>8</v>
      </c>
      <c r="G62" s="13">
        <v>6107950</v>
      </c>
      <c r="H62" s="47"/>
      <c r="I62" s="47"/>
      <c r="J62" s="47"/>
    </row>
    <row x14ac:dyDescent="0.25" r="63" customHeight="1" ht="18.75">
      <c r="A63" s="19" t="s">
        <v>36</v>
      </c>
      <c r="B63" s="20" t="s">
        <v>1129</v>
      </c>
      <c r="C63" s="117" t="s">
        <v>1130</v>
      </c>
      <c r="D63" s="118" t="s">
        <v>1049</v>
      </c>
      <c r="E63" s="20" t="s">
        <v>1115</v>
      </c>
      <c r="F63" s="20" t="s">
        <v>8</v>
      </c>
      <c r="G63" s="13">
        <v>15336050</v>
      </c>
      <c r="H63" s="47"/>
      <c r="I63" s="47"/>
      <c r="J63" s="47"/>
    </row>
    <row x14ac:dyDescent="0.25" r="64" customHeight="1" ht="18.75">
      <c r="A64" s="19" t="s">
        <v>90</v>
      </c>
      <c r="B64" s="20" t="s">
        <v>1129</v>
      </c>
      <c r="C64" s="117" t="s">
        <v>1131</v>
      </c>
      <c r="D64" s="118" t="s">
        <v>1049</v>
      </c>
      <c r="E64" s="20" t="s">
        <v>1115</v>
      </c>
      <c r="F64" s="20" t="s">
        <v>8</v>
      </c>
      <c r="G64" s="13">
        <v>10315950</v>
      </c>
      <c r="H64" s="47"/>
      <c r="I64" s="47"/>
      <c r="J64" s="47"/>
    </row>
    <row x14ac:dyDescent="0.25" r="65" customHeight="1" ht="18.75">
      <c r="A65" s="19" t="s">
        <v>36</v>
      </c>
      <c r="B65" s="20" t="s">
        <v>1132</v>
      </c>
      <c r="C65" s="117" t="s">
        <v>1133</v>
      </c>
      <c r="D65" s="118" t="s">
        <v>1049</v>
      </c>
      <c r="E65" s="20" t="s">
        <v>1115</v>
      </c>
      <c r="F65" s="20" t="s">
        <v>8</v>
      </c>
      <c r="G65" s="13">
        <v>23892050</v>
      </c>
      <c r="H65" s="47"/>
      <c r="I65" s="47"/>
      <c r="J65" s="47"/>
    </row>
    <row x14ac:dyDescent="0.25" r="66" customHeight="1" ht="18.75">
      <c r="A66" s="19" t="s">
        <v>36</v>
      </c>
      <c r="B66" s="20" t="s">
        <v>1132</v>
      </c>
      <c r="C66" s="117" t="s">
        <v>1134</v>
      </c>
      <c r="D66" s="118" t="s">
        <v>1049</v>
      </c>
      <c r="E66" s="20" t="s">
        <v>1115</v>
      </c>
      <c r="F66" s="20" t="s">
        <v>8</v>
      </c>
      <c r="G66" s="13">
        <v>4663950</v>
      </c>
      <c r="H66" s="47"/>
      <c r="I66" s="47"/>
      <c r="J66" s="47"/>
    </row>
    <row x14ac:dyDescent="0.25" r="67" customHeight="1" ht="18.75">
      <c r="A67" s="19" t="s">
        <v>19</v>
      </c>
      <c r="B67" s="20" t="s">
        <v>1135</v>
      </c>
      <c r="C67" s="117" t="s">
        <v>1136</v>
      </c>
      <c r="D67" s="118" t="s">
        <v>1121</v>
      </c>
      <c r="E67" s="20" t="s">
        <v>1122</v>
      </c>
      <c r="F67" s="20" t="s">
        <v>8</v>
      </c>
      <c r="G67" s="13">
        <v>19998500</v>
      </c>
      <c r="H67" s="47"/>
      <c r="I67" s="47"/>
      <c r="J67" s="47"/>
    </row>
    <row x14ac:dyDescent="0.25" r="68" customHeight="1" ht="18.75">
      <c r="A68" s="19" t="s">
        <v>36</v>
      </c>
      <c r="B68" s="20" t="s">
        <v>1137</v>
      </c>
      <c r="C68" s="117" t="s">
        <v>1138</v>
      </c>
      <c r="D68" s="118" t="s">
        <v>1049</v>
      </c>
      <c r="E68" s="20" t="s">
        <v>1122</v>
      </c>
      <c r="F68" s="20" t="s">
        <v>8</v>
      </c>
      <c r="G68" s="13">
        <v>151500</v>
      </c>
      <c r="H68" s="47"/>
      <c r="I68" s="47"/>
      <c r="J68" s="47"/>
    </row>
    <row x14ac:dyDescent="0.25" r="69" customHeight="1" ht="18.75">
      <c r="A69" s="19" t="s">
        <v>47</v>
      </c>
      <c r="B69" s="20" t="s">
        <v>1137</v>
      </c>
      <c r="C69" s="117" t="s">
        <v>1139</v>
      </c>
      <c r="D69" s="118" t="s">
        <v>1049</v>
      </c>
      <c r="E69" s="20" t="s">
        <v>1122</v>
      </c>
      <c r="F69" s="20" t="s">
        <v>8</v>
      </c>
      <c r="G69" s="13">
        <v>19191500</v>
      </c>
      <c r="H69" s="47"/>
      <c r="I69" s="47"/>
      <c r="J69" s="47"/>
    </row>
    <row x14ac:dyDescent="0.25" r="70" customHeight="1" ht="18.75">
      <c r="A70" s="19" t="s">
        <v>69</v>
      </c>
      <c r="B70" s="20" t="s">
        <v>1137</v>
      </c>
      <c r="C70" s="117" t="s">
        <v>1140</v>
      </c>
      <c r="D70" s="118" t="s">
        <v>1049</v>
      </c>
      <c r="E70" s="20" t="s">
        <v>1122</v>
      </c>
      <c r="F70" s="20" t="s">
        <v>8</v>
      </c>
      <c r="G70" s="13">
        <v>12600000</v>
      </c>
      <c r="H70" s="47"/>
      <c r="I70" s="47"/>
      <c r="J70" s="47"/>
    </row>
    <row x14ac:dyDescent="0.25" r="71" customHeight="1" ht="18.75">
      <c r="A71" s="19" t="s">
        <v>90</v>
      </c>
      <c r="B71" s="20" t="s">
        <v>1137</v>
      </c>
      <c r="C71" s="117" t="s">
        <v>1141</v>
      </c>
      <c r="D71" s="118" t="s">
        <v>1049</v>
      </c>
      <c r="E71" s="20" t="s">
        <v>1122</v>
      </c>
      <c r="F71" s="20" t="s">
        <v>8</v>
      </c>
      <c r="G71" s="13">
        <v>13597000</v>
      </c>
      <c r="H71" s="47"/>
      <c r="I71" s="47"/>
      <c r="J71" s="47"/>
    </row>
    <row x14ac:dyDescent="0.25" r="72" customHeight="1" ht="18.75">
      <c r="A72" s="19" t="s">
        <v>111</v>
      </c>
      <c r="B72" s="20" t="s">
        <v>1142</v>
      </c>
      <c r="C72" s="117" t="s">
        <v>1143</v>
      </c>
      <c r="D72" s="118" t="s">
        <v>1121</v>
      </c>
      <c r="E72" s="20" t="s">
        <v>1122</v>
      </c>
      <c r="F72" s="20" t="s">
        <v>8</v>
      </c>
      <c r="G72" s="120">
        <v>2502000</v>
      </c>
      <c r="H72" s="47"/>
      <c r="I72" s="47"/>
      <c r="J72" s="47"/>
    </row>
    <row x14ac:dyDescent="0.25" r="73" customHeight="1" ht="18.75">
      <c r="A73" s="19" t="s">
        <v>122</v>
      </c>
      <c r="B73" s="20" t="s">
        <v>1142</v>
      </c>
      <c r="C73" s="117" t="s">
        <v>1144</v>
      </c>
      <c r="D73" s="118" t="s">
        <v>1121</v>
      </c>
      <c r="E73" s="20" t="s">
        <v>1122</v>
      </c>
      <c r="F73" s="20" t="s">
        <v>8</v>
      </c>
      <c r="G73" s="120">
        <v>25678000</v>
      </c>
      <c r="H73" s="47"/>
      <c r="I73" s="47"/>
      <c r="J73" s="47"/>
    </row>
    <row x14ac:dyDescent="0.25" r="74" customHeight="1" ht="18.75">
      <c r="A74" s="20" t="s">
        <v>128</v>
      </c>
      <c r="B74" s="20" t="s">
        <v>1142</v>
      </c>
      <c r="C74" s="117" t="s">
        <v>1145</v>
      </c>
      <c r="D74" s="118" t="s">
        <v>1121</v>
      </c>
      <c r="E74" s="20" t="s">
        <v>1122</v>
      </c>
      <c r="F74" s="20" t="s">
        <v>8</v>
      </c>
      <c r="G74" s="120">
        <v>10100000</v>
      </c>
      <c r="H74" s="47"/>
      <c r="I74" s="47"/>
      <c r="J74" s="47"/>
    </row>
    <row x14ac:dyDescent="0.25" r="75" customHeight="1" ht="18.75">
      <c r="A75" s="19" t="s">
        <v>144</v>
      </c>
      <c r="B75" s="20" t="s">
        <v>1142</v>
      </c>
      <c r="C75" s="117" t="s">
        <v>1146</v>
      </c>
      <c r="D75" s="118" t="s">
        <v>1121</v>
      </c>
      <c r="E75" s="20" t="s">
        <v>1122</v>
      </c>
      <c r="F75" s="20" t="s">
        <v>8</v>
      </c>
      <c r="G75" s="120">
        <v>4983000</v>
      </c>
      <c r="H75" s="47"/>
      <c r="I75" s="47"/>
      <c r="J75" s="47"/>
    </row>
    <row x14ac:dyDescent="0.25" r="76" customHeight="1" ht="18.75">
      <c r="A76" s="19" t="s">
        <v>111</v>
      </c>
      <c r="B76" s="20" t="s">
        <v>1147</v>
      </c>
      <c r="C76" s="117" t="s">
        <v>1148</v>
      </c>
      <c r="D76" s="118" t="s">
        <v>1049</v>
      </c>
      <c r="E76" s="20" t="s">
        <v>1115</v>
      </c>
      <c r="F76" s="20" t="s">
        <v>8</v>
      </c>
      <c r="G76" s="120">
        <v>15881000</v>
      </c>
      <c r="H76" s="47"/>
      <c r="I76" s="47"/>
      <c r="J76" s="47"/>
    </row>
    <row x14ac:dyDescent="0.25" r="77" customHeight="1" ht="18.75">
      <c r="A77" s="19" t="s">
        <v>128</v>
      </c>
      <c r="B77" s="20" t="s">
        <v>1147</v>
      </c>
      <c r="C77" s="117" t="s">
        <v>1149</v>
      </c>
      <c r="D77" s="118" t="s">
        <v>1049</v>
      </c>
      <c r="E77" s="20" t="s">
        <v>1115</v>
      </c>
      <c r="F77" s="20" t="s">
        <v>8</v>
      </c>
      <c r="G77" s="120">
        <v>13159000</v>
      </c>
      <c r="H77" s="47"/>
      <c r="I77" s="47"/>
      <c r="J77" s="47"/>
    </row>
    <row x14ac:dyDescent="0.25" r="78" customHeight="1" ht="18.75">
      <c r="A78" s="19" t="s">
        <v>128</v>
      </c>
      <c r="B78" s="20" t="s">
        <v>1147</v>
      </c>
      <c r="C78" s="117" t="s">
        <v>1150</v>
      </c>
      <c r="D78" s="118" t="s">
        <v>1121</v>
      </c>
      <c r="E78" s="20" t="s">
        <v>1115</v>
      </c>
      <c r="F78" s="20" t="s">
        <v>8</v>
      </c>
      <c r="G78" s="120">
        <v>16841000</v>
      </c>
      <c r="H78" s="47"/>
      <c r="I78" s="47"/>
      <c r="J78" s="47"/>
    </row>
    <row x14ac:dyDescent="0.25" r="79" customHeight="1" ht="18.75">
      <c r="A79" s="19" t="s">
        <v>128</v>
      </c>
      <c r="B79" s="20" t="s">
        <v>1151</v>
      </c>
      <c r="C79" s="117" t="s">
        <v>1152</v>
      </c>
      <c r="D79" s="118" t="s">
        <v>1121</v>
      </c>
      <c r="E79" s="20" t="s">
        <v>1115</v>
      </c>
      <c r="F79" s="20" t="s">
        <v>8</v>
      </c>
      <c r="G79" s="120">
        <v>9779000</v>
      </c>
      <c r="H79" s="47"/>
      <c r="I79" s="47"/>
      <c r="J79" s="47"/>
    </row>
    <row x14ac:dyDescent="0.25" r="80" customHeight="1" ht="18.75">
      <c r="A80" s="19" t="s">
        <v>179</v>
      </c>
      <c r="B80" s="20" t="s">
        <v>1153</v>
      </c>
      <c r="C80" s="117" t="s">
        <v>1154</v>
      </c>
      <c r="D80" s="118" t="s">
        <v>1049</v>
      </c>
      <c r="E80" s="20" t="s">
        <v>1115</v>
      </c>
      <c r="F80" s="20" t="s">
        <v>8</v>
      </c>
      <c r="G80" s="120">
        <v>26620000</v>
      </c>
      <c r="H80" s="47"/>
      <c r="I80" s="47"/>
      <c r="J80" s="47"/>
    </row>
    <row x14ac:dyDescent="0.25" r="81" customHeight="1" ht="18.75">
      <c r="A81" s="19" t="s">
        <v>168</v>
      </c>
      <c r="B81" s="20" t="s">
        <v>1155</v>
      </c>
      <c r="C81" s="117" t="s">
        <v>1156</v>
      </c>
      <c r="D81" s="118" t="s">
        <v>1049</v>
      </c>
      <c r="E81" s="20" t="s">
        <v>1115</v>
      </c>
      <c r="F81" s="20" t="s">
        <v>8</v>
      </c>
      <c r="G81" s="120">
        <v>2959500</v>
      </c>
      <c r="H81" s="47"/>
      <c r="I81" s="47"/>
      <c r="J81" s="47"/>
    </row>
    <row x14ac:dyDescent="0.25" r="82" customHeight="1" ht="18.75">
      <c r="A82" s="19" t="s">
        <v>179</v>
      </c>
      <c r="B82" s="20" t="s">
        <v>1155</v>
      </c>
      <c r="C82" s="117" t="s">
        <v>1157</v>
      </c>
      <c r="D82" s="118" t="s">
        <v>1049</v>
      </c>
      <c r="E82" s="20" t="s">
        <v>1115</v>
      </c>
      <c r="F82" s="20" t="s">
        <v>8</v>
      </c>
      <c r="G82" s="120">
        <v>26080500</v>
      </c>
      <c r="H82" s="47"/>
      <c r="I82" s="47"/>
      <c r="J82" s="47"/>
    </row>
    <row x14ac:dyDescent="0.25" r="83" customHeight="1" ht="18.75">
      <c r="A83" s="19" t="s">
        <v>179</v>
      </c>
      <c r="B83" s="20" t="s">
        <v>1158</v>
      </c>
      <c r="C83" s="117" t="s">
        <v>1159</v>
      </c>
      <c r="D83" s="118" t="s">
        <v>1049</v>
      </c>
      <c r="E83" s="20" t="s">
        <v>1115</v>
      </c>
      <c r="F83" s="20" t="s">
        <v>8</v>
      </c>
      <c r="G83" s="120">
        <v>12299500</v>
      </c>
      <c r="H83" s="47"/>
      <c r="I83" s="47"/>
      <c r="J83" s="47"/>
    </row>
    <row x14ac:dyDescent="0.25" r="84" customHeight="1" ht="18.75">
      <c r="A84" s="19" t="s">
        <v>218</v>
      </c>
      <c r="B84" s="20" t="s">
        <v>1158</v>
      </c>
      <c r="C84" s="117" t="s">
        <v>1160</v>
      </c>
      <c r="D84" s="118" t="s">
        <v>1049</v>
      </c>
      <c r="E84" s="20" t="s">
        <v>1115</v>
      </c>
      <c r="F84" s="20" t="s">
        <v>8</v>
      </c>
      <c r="G84" s="120">
        <v>4245500</v>
      </c>
      <c r="H84" s="47"/>
      <c r="I84" s="47"/>
      <c r="J84" s="47"/>
    </row>
    <row x14ac:dyDescent="0.25" r="85" customHeight="1" ht="18.75">
      <c r="A85" s="19" t="s">
        <v>296</v>
      </c>
      <c r="B85" s="20" t="s">
        <v>1158</v>
      </c>
      <c r="C85" s="117" t="s">
        <v>1161</v>
      </c>
      <c r="D85" s="118" t="s">
        <v>1049</v>
      </c>
      <c r="E85" s="20" t="s">
        <v>1115</v>
      </c>
      <c r="F85" s="20" t="s">
        <v>8</v>
      </c>
      <c r="G85" s="120">
        <v>712000</v>
      </c>
      <c r="H85" s="47"/>
      <c r="I85" s="47"/>
      <c r="J85" s="47"/>
    </row>
    <row x14ac:dyDescent="0.25" r="86" customHeight="1" ht="18.75">
      <c r="A86" s="19" t="s">
        <v>330</v>
      </c>
      <c r="B86" s="20" t="s">
        <v>1158</v>
      </c>
      <c r="C86" s="117" t="s">
        <v>1162</v>
      </c>
      <c r="D86" s="118" t="s">
        <v>1049</v>
      </c>
      <c r="E86" s="20" t="s">
        <v>1115</v>
      </c>
      <c r="F86" s="20" t="s">
        <v>8</v>
      </c>
      <c r="G86" s="120">
        <v>11783000</v>
      </c>
      <c r="H86" s="47"/>
      <c r="I86" s="47"/>
      <c r="J86" s="47"/>
    </row>
    <row x14ac:dyDescent="0.25" r="87" customHeight="1" ht="18.75">
      <c r="A87" s="19" t="s">
        <v>425</v>
      </c>
      <c r="B87" s="20" t="s">
        <v>1163</v>
      </c>
      <c r="C87" s="117" t="s">
        <v>1164</v>
      </c>
      <c r="D87" s="118" t="s">
        <v>1121</v>
      </c>
      <c r="E87" s="20" t="s">
        <v>1115</v>
      </c>
      <c r="F87" s="20" t="s">
        <v>8</v>
      </c>
      <c r="G87" s="13">
        <v>13552000</v>
      </c>
      <c r="H87" s="47"/>
      <c r="I87" s="47"/>
      <c r="J87" s="47"/>
    </row>
    <row x14ac:dyDescent="0.25" r="88" customHeight="1" ht="18.75">
      <c r="A88" s="19" t="s">
        <v>425</v>
      </c>
      <c r="B88" s="20" t="s">
        <v>1163</v>
      </c>
      <c r="C88" s="117" t="s">
        <v>1165</v>
      </c>
      <c r="D88" s="118" t="s">
        <v>1121</v>
      </c>
      <c r="E88" s="20" t="s">
        <v>1115</v>
      </c>
      <c r="F88" s="20" t="s">
        <v>8</v>
      </c>
      <c r="G88" s="14">
        <v>13068000</v>
      </c>
      <c r="H88" s="47"/>
      <c r="I88" s="47"/>
      <c r="J88" s="47"/>
    </row>
    <row x14ac:dyDescent="0.25" r="89" customHeight="1" ht="18.75">
      <c r="A89" s="19" t="s">
        <v>90</v>
      </c>
      <c r="B89" s="20" t="s">
        <v>1166</v>
      </c>
      <c r="C89" s="117" t="s">
        <v>1167</v>
      </c>
      <c r="D89" s="118" t="s">
        <v>1049</v>
      </c>
      <c r="E89" s="20" t="s">
        <v>1122</v>
      </c>
      <c r="F89" s="20" t="s">
        <v>8</v>
      </c>
      <c r="G89" s="120">
        <v>20000000</v>
      </c>
      <c r="H89" s="47"/>
      <c r="I89" s="47"/>
      <c r="J89" s="47"/>
    </row>
    <row x14ac:dyDescent="0.25" r="90" customHeight="1" ht="18.75">
      <c r="A90" s="19" t="s">
        <v>111</v>
      </c>
      <c r="B90" s="20" t="s">
        <v>1166</v>
      </c>
      <c r="C90" s="117" t="s">
        <v>1168</v>
      </c>
      <c r="D90" s="118" t="s">
        <v>1049</v>
      </c>
      <c r="E90" s="20" t="s">
        <v>1122</v>
      </c>
      <c r="F90" s="20" t="s">
        <v>8</v>
      </c>
      <c r="G90" s="120">
        <v>27932500</v>
      </c>
      <c r="H90" s="47"/>
      <c r="I90" s="47"/>
      <c r="J90" s="47"/>
    </row>
    <row x14ac:dyDescent="0.25" r="91" customHeight="1" ht="18.75">
      <c r="A91" s="19" t="s">
        <v>144</v>
      </c>
      <c r="B91" s="20" t="s">
        <v>1169</v>
      </c>
      <c r="C91" s="117" t="s">
        <v>1170</v>
      </c>
      <c r="D91" s="118" t="s">
        <v>1049</v>
      </c>
      <c r="E91" s="20" t="s">
        <v>1122</v>
      </c>
      <c r="F91" s="20" t="s">
        <v>8</v>
      </c>
      <c r="G91" s="120">
        <v>22517000</v>
      </c>
      <c r="H91" s="47"/>
      <c r="I91" s="47"/>
      <c r="J91" s="47"/>
    </row>
    <row x14ac:dyDescent="0.25" r="92" customHeight="1" ht="18.75">
      <c r="A92" s="19" t="s">
        <v>144</v>
      </c>
      <c r="B92" s="20" t="s">
        <v>1169</v>
      </c>
      <c r="C92" s="117" t="s">
        <v>1171</v>
      </c>
      <c r="D92" s="118" t="s">
        <v>1049</v>
      </c>
      <c r="E92" s="20" t="s">
        <v>1122</v>
      </c>
      <c r="F92" s="20" t="s">
        <v>8</v>
      </c>
      <c r="G92" s="120">
        <v>15000000</v>
      </c>
      <c r="H92" s="47"/>
      <c r="I92" s="47"/>
      <c r="J92" s="47"/>
    </row>
    <row x14ac:dyDescent="0.25" r="93" customHeight="1" ht="18.75">
      <c r="A93" s="19" t="s">
        <v>158</v>
      </c>
      <c r="B93" s="20" t="s">
        <v>1169</v>
      </c>
      <c r="C93" s="117" t="s">
        <v>1172</v>
      </c>
      <c r="D93" s="118" t="s">
        <v>1049</v>
      </c>
      <c r="E93" s="20" t="s">
        <v>1122</v>
      </c>
      <c r="F93" s="20" t="s">
        <v>8</v>
      </c>
      <c r="G93" s="120">
        <v>10060000</v>
      </c>
      <c r="H93" s="47"/>
      <c r="I93" s="47"/>
      <c r="J93" s="47"/>
    </row>
    <row x14ac:dyDescent="0.25" r="94" customHeight="1" ht="18.75">
      <c r="A94" s="19" t="s">
        <v>168</v>
      </c>
      <c r="B94" s="20" t="s">
        <v>1169</v>
      </c>
      <c r="C94" s="117" t="s">
        <v>1173</v>
      </c>
      <c r="D94" s="118" t="s">
        <v>1049</v>
      </c>
      <c r="E94" s="20" t="s">
        <v>1122</v>
      </c>
      <c r="F94" s="20" t="s">
        <v>8</v>
      </c>
      <c r="G94" s="120">
        <v>809250</v>
      </c>
      <c r="H94" s="47"/>
      <c r="I94" s="47"/>
      <c r="J94" s="47"/>
    </row>
    <row x14ac:dyDescent="0.25" r="95" customHeight="1" ht="18.75">
      <c r="A95" s="19" t="s">
        <v>720</v>
      </c>
      <c r="B95" s="20" t="s">
        <v>1174</v>
      </c>
      <c r="C95" s="117" t="s">
        <v>1175</v>
      </c>
      <c r="D95" s="118" t="s">
        <v>1121</v>
      </c>
      <c r="E95" s="20" t="s">
        <v>1050</v>
      </c>
      <c r="F95" s="20" t="s">
        <v>8</v>
      </c>
      <c r="G95" s="13">
        <v>10911700</v>
      </c>
      <c r="H95" s="47"/>
      <c r="I95" s="47"/>
      <c r="J95" s="47"/>
    </row>
    <row x14ac:dyDescent="0.25" r="96" customHeight="1" ht="18.75">
      <c r="A96" s="19" t="s">
        <v>761</v>
      </c>
      <c r="B96" s="20" t="s">
        <v>1174</v>
      </c>
      <c r="C96" s="117" t="s">
        <v>1176</v>
      </c>
      <c r="D96" s="118" t="s">
        <v>1121</v>
      </c>
      <c r="E96" s="20" t="s">
        <v>1050</v>
      </c>
      <c r="F96" s="20" t="s">
        <v>8</v>
      </c>
      <c r="G96" s="13">
        <v>27643000</v>
      </c>
      <c r="H96" s="47"/>
      <c r="I96" s="47"/>
      <c r="J96" s="47"/>
    </row>
    <row x14ac:dyDescent="0.25" r="97" customHeight="1" ht="18.75">
      <c r="A97" s="19" t="s">
        <v>763</v>
      </c>
      <c r="B97" s="20" t="s">
        <v>1174</v>
      </c>
      <c r="C97" s="117" t="s">
        <v>1177</v>
      </c>
      <c r="D97" s="118" t="s">
        <v>1121</v>
      </c>
      <c r="E97" s="20" t="s">
        <v>1050</v>
      </c>
      <c r="F97" s="20" t="s">
        <v>8</v>
      </c>
      <c r="G97" s="13">
        <v>2585300</v>
      </c>
      <c r="H97" s="47"/>
      <c r="I97" s="47"/>
      <c r="J97" s="47"/>
    </row>
    <row x14ac:dyDescent="0.25" r="98" customHeight="1" ht="18.75">
      <c r="A98" s="19" t="s">
        <v>168</v>
      </c>
      <c r="B98" s="20" t="s">
        <v>1178</v>
      </c>
      <c r="C98" s="117" t="s">
        <v>1179</v>
      </c>
      <c r="D98" s="118" t="s">
        <v>1049</v>
      </c>
      <c r="E98" s="20" t="s">
        <v>1122</v>
      </c>
      <c r="F98" s="20" t="s">
        <v>8</v>
      </c>
      <c r="G98" s="120">
        <v>11240750</v>
      </c>
      <c r="H98" s="47"/>
      <c r="I98" s="47"/>
      <c r="J98" s="47"/>
    </row>
    <row x14ac:dyDescent="0.25" r="99" customHeight="1" ht="18.75">
      <c r="A99" s="19" t="s">
        <v>179</v>
      </c>
      <c r="B99" s="20" t="s">
        <v>1178</v>
      </c>
      <c r="C99" s="117" t="s">
        <v>1180</v>
      </c>
      <c r="D99" s="118" t="s">
        <v>1049</v>
      </c>
      <c r="E99" s="20" t="s">
        <v>1122</v>
      </c>
      <c r="F99" s="20" t="s">
        <v>8</v>
      </c>
      <c r="G99" s="120">
        <v>15000000</v>
      </c>
      <c r="H99" s="47"/>
      <c r="I99" s="47"/>
      <c r="J99" s="47"/>
    </row>
    <row x14ac:dyDescent="0.25" r="100" customHeight="1" ht="18.75">
      <c r="A100" s="19" t="s">
        <v>218</v>
      </c>
      <c r="B100" s="20" t="s">
        <v>1178</v>
      </c>
      <c r="C100" s="117" t="s">
        <v>1181</v>
      </c>
      <c r="D100" s="118" t="s">
        <v>1049</v>
      </c>
      <c r="E100" s="20" t="s">
        <v>1122</v>
      </c>
      <c r="F100" s="20" t="s">
        <v>8</v>
      </c>
      <c r="G100" s="120">
        <v>19848000</v>
      </c>
      <c r="H100" s="47"/>
      <c r="I100" s="47"/>
      <c r="J100" s="47"/>
    </row>
    <row x14ac:dyDescent="0.25" r="101" customHeight="1" ht="18.75">
      <c r="A101" s="19" t="s">
        <v>223</v>
      </c>
      <c r="B101" s="20" t="s">
        <v>1178</v>
      </c>
      <c r="C101" s="117" t="s">
        <v>1182</v>
      </c>
      <c r="D101" s="118" t="s">
        <v>1049</v>
      </c>
      <c r="E101" s="20" t="s">
        <v>1122</v>
      </c>
      <c r="F101" s="20" t="s">
        <v>8</v>
      </c>
      <c r="G101" s="120">
        <v>3246250</v>
      </c>
      <c r="H101" s="47"/>
      <c r="I101" s="47"/>
      <c r="J101" s="47"/>
    </row>
    <row x14ac:dyDescent="0.25" r="102" customHeight="1" ht="18.75">
      <c r="A102" s="19" t="s">
        <v>223</v>
      </c>
      <c r="B102" s="20" t="s">
        <v>1183</v>
      </c>
      <c r="C102" s="117" t="s">
        <v>1184</v>
      </c>
      <c r="D102" s="118" t="s">
        <v>1049</v>
      </c>
      <c r="E102" s="20" t="s">
        <v>1122</v>
      </c>
      <c r="F102" s="20" t="s">
        <v>8</v>
      </c>
      <c r="G102" s="120">
        <v>7753750</v>
      </c>
      <c r="H102" s="47"/>
      <c r="I102" s="47"/>
      <c r="J102" s="47"/>
    </row>
    <row x14ac:dyDescent="0.25" r="103" customHeight="1" ht="18.75">
      <c r="A103" s="19" t="s">
        <v>233</v>
      </c>
      <c r="B103" s="20" t="s">
        <v>1183</v>
      </c>
      <c r="C103" s="117" t="s">
        <v>1185</v>
      </c>
      <c r="D103" s="118" t="s">
        <v>1049</v>
      </c>
      <c r="E103" s="20" t="s">
        <v>1122</v>
      </c>
      <c r="F103" s="20" t="s">
        <v>8</v>
      </c>
      <c r="G103" s="13">
        <v>10100000</v>
      </c>
      <c r="H103" s="47"/>
      <c r="I103" s="47"/>
      <c r="J103" s="47"/>
    </row>
    <row x14ac:dyDescent="0.25" r="104" customHeight="1" ht="18.75">
      <c r="A104" s="19" t="s">
        <v>251</v>
      </c>
      <c r="B104" s="20" t="s">
        <v>1183</v>
      </c>
      <c r="C104" s="117" t="s">
        <v>1186</v>
      </c>
      <c r="D104" s="118" t="s">
        <v>1049</v>
      </c>
      <c r="E104" s="20" t="s">
        <v>1122</v>
      </c>
      <c r="F104" s="20" t="s">
        <v>8</v>
      </c>
      <c r="G104" s="13">
        <v>20000000</v>
      </c>
      <c r="H104" s="47"/>
      <c r="I104" s="47"/>
      <c r="J104" s="47"/>
    </row>
    <row x14ac:dyDescent="0.25" r="105" customHeight="1" ht="18.75">
      <c r="A105" s="19" t="s">
        <v>261</v>
      </c>
      <c r="B105" s="20" t="s">
        <v>1183</v>
      </c>
      <c r="C105" s="117" t="s">
        <v>1187</v>
      </c>
      <c r="D105" s="118" t="s">
        <v>1049</v>
      </c>
      <c r="E105" s="20" t="s">
        <v>1122</v>
      </c>
      <c r="F105" s="20" t="s">
        <v>8</v>
      </c>
      <c r="G105" s="13">
        <v>11481250</v>
      </c>
      <c r="H105" s="47"/>
      <c r="I105" s="47"/>
      <c r="J105" s="47"/>
    </row>
    <row x14ac:dyDescent="0.25" r="106" customHeight="1" ht="18.75">
      <c r="A106" s="19" t="s">
        <v>261</v>
      </c>
      <c r="B106" s="20" t="s">
        <v>1188</v>
      </c>
      <c r="C106" s="117" t="s">
        <v>1189</v>
      </c>
      <c r="D106" s="118" t="s">
        <v>1049</v>
      </c>
      <c r="E106" s="20" t="s">
        <v>1122</v>
      </c>
      <c r="F106" s="20" t="s">
        <v>8</v>
      </c>
      <c r="G106" s="13">
        <v>1518750</v>
      </c>
      <c r="H106" s="47"/>
      <c r="I106" s="47"/>
      <c r="J106" s="47"/>
    </row>
    <row x14ac:dyDescent="0.25" r="107" customHeight="1" ht="18.75">
      <c r="A107" s="19" t="s">
        <v>261</v>
      </c>
      <c r="B107" s="20" t="s">
        <v>1188</v>
      </c>
      <c r="C107" s="117" t="s">
        <v>1190</v>
      </c>
      <c r="D107" s="118" t="s">
        <v>1049</v>
      </c>
      <c r="E107" s="20" t="s">
        <v>1122</v>
      </c>
      <c r="F107" s="20" t="s">
        <v>8</v>
      </c>
      <c r="G107" s="13">
        <v>19493000</v>
      </c>
      <c r="H107" s="47"/>
      <c r="I107" s="47"/>
      <c r="J107" s="47"/>
    </row>
    <row x14ac:dyDescent="0.25" r="108" customHeight="1" ht="18.75">
      <c r="A108" s="19" t="s">
        <v>288</v>
      </c>
      <c r="B108" s="20" t="s">
        <v>1188</v>
      </c>
      <c r="C108" s="117" t="s">
        <v>1191</v>
      </c>
      <c r="D108" s="118" t="s">
        <v>1049</v>
      </c>
      <c r="E108" s="20" t="s">
        <v>1122</v>
      </c>
      <c r="F108" s="20" t="s">
        <v>8</v>
      </c>
      <c r="G108" s="13">
        <v>25856500</v>
      </c>
      <c r="H108" s="47"/>
      <c r="I108" s="47"/>
      <c r="J108" s="47"/>
    </row>
    <row x14ac:dyDescent="0.25" r="109" customHeight="1" ht="18.75">
      <c r="A109" s="19" t="s">
        <v>296</v>
      </c>
      <c r="B109" s="20" t="s">
        <v>1192</v>
      </c>
      <c r="C109" s="117" t="s">
        <v>1193</v>
      </c>
      <c r="D109" s="118" t="s">
        <v>1121</v>
      </c>
      <c r="E109" s="20" t="s">
        <v>1122</v>
      </c>
      <c r="F109" s="20" t="s">
        <v>8</v>
      </c>
      <c r="G109" s="120">
        <v>10010000</v>
      </c>
      <c r="H109" s="47"/>
      <c r="I109" s="47"/>
      <c r="J109" s="47"/>
    </row>
    <row x14ac:dyDescent="0.25" r="110" customHeight="1" ht="18.75">
      <c r="A110" s="19" t="s">
        <v>300</v>
      </c>
      <c r="B110" s="20" t="s">
        <v>1192</v>
      </c>
      <c r="C110" s="117" t="s">
        <v>1194</v>
      </c>
      <c r="D110" s="118" t="s">
        <v>1121</v>
      </c>
      <c r="E110" s="20" t="s">
        <v>1122</v>
      </c>
      <c r="F110" s="20" t="s">
        <v>8</v>
      </c>
      <c r="G110" s="120">
        <v>22500000</v>
      </c>
      <c r="H110" s="47"/>
      <c r="I110" s="47"/>
      <c r="J110" s="47"/>
    </row>
    <row x14ac:dyDescent="0.25" r="111" customHeight="1" ht="18.75">
      <c r="A111" s="19" t="s">
        <v>338</v>
      </c>
      <c r="B111" s="20" t="s">
        <v>1192</v>
      </c>
      <c r="C111" s="117" t="s">
        <v>1195</v>
      </c>
      <c r="D111" s="118" t="s">
        <v>1121</v>
      </c>
      <c r="E111" s="20" t="s">
        <v>1122</v>
      </c>
      <c r="F111" s="20" t="s">
        <v>8</v>
      </c>
      <c r="G111" s="120">
        <v>14358250</v>
      </c>
      <c r="H111" s="47"/>
      <c r="I111" s="47"/>
      <c r="J111" s="47"/>
    </row>
    <row x14ac:dyDescent="0.25" r="112" customHeight="1" ht="18.75">
      <c r="A112" s="19" t="s">
        <v>361</v>
      </c>
      <c r="B112" s="20" t="s">
        <v>1196</v>
      </c>
      <c r="C112" s="117" t="s">
        <v>1197</v>
      </c>
      <c r="D112" s="118" t="s">
        <v>1049</v>
      </c>
      <c r="E112" s="20" t="s">
        <v>1122</v>
      </c>
      <c r="F112" s="20" t="s">
        <v>8</v>
      </c>
      <c r="G112" s="13">
        <v>2879250</v>
      </c>
      <c r="H112" s="47"/>
      <c r="I112" s="47"/>
      <c r="J112" s="47"/>
    </row>
    <row x14ac:dyDescent="0.25" r="113" customHeight="1" ht="18.75">
      <c r="A113" s="19" t="s">
        <v>367</v>
      </c>
      <c r="B113" s="20" t="s">
        <v>1196</v>
      </c>
      <c r="C113" s="117" t="s">
        <v>1198</v>
      </c>
      <c r="D113" s="118" t="s">
        <v>1049</v>
      </c>
      <c r="E113" s="20" t="s">
        <v>1122</v>
      </c>
      <c r="F113" s="20" t="s">
        <v>8</v>
      </c>
      <c r="G113" s="13">
        <v>18000000</v>
      </c>
      <c r="H113" s="47"/>
      <c r="I113" s="47"/>
      <c r="J113" s="47"/>
    </row>
    <row x14ac:dyDescent="0.25" r="114" customHeight="1" ht="18.75">
      <c r="A114" s="19" t="s">
        <v>377</v>
      </c>
      <c r="B114" s="20" t="s">
        <v>1196</v>
      </c>
      <c r="C114" s="117" t="s">
        <v>1199</v>
      </c>
      <c r="D114" s="118" t="s">
        <v>1049</v>
      </c>
      <c r="E114" s="20" t="s">
        <v>1122</v>
      </c>
      <c r="F114" s="20" t="s">
        <v>8</v>
      </c>
      <c r="G114" s="13">
        <v>10010000</v>
      </c>
      <c r="H114" s="47"/>
      <c r="I114" s="47"/>
      <c r="J114" s="47"/>
    </row>
    <row x14ac:dyDescent="0.25" r="115" customHeight="1" ht="18.75">
      <c r="A115" s="19" t="s">
        <v>400</v>
      </c>
      <c r="B115" s="20" t="s">
        <v>1196</v>
      </c>
      <c r="C115" s="117" t="s">
        <v>1200</v>
      </c>
      <c r="D115" s="118" t="s">
        <v>1049</v>
      </c>
      <c r="E115" s="20" t="s">
        <v>1122</v>
      </c>
      <c r="F115" s="20" t="s">
        <v>8</v>
      </c>
      <c r="G115" s="13">
        <v>19000000</v>
      </c>
      <c r="H115" s="47"/>
      <c r="I115" s="47"/>
      <c r="J115" s="47"/>
    </row>
    <row x14ac:dyDescent="0.25" r="116" customHeight="1" ht="18.75">
      <c r="A116" s="19" t="s">
        <v>413</v>
      </c>
      <c r="B116" s="20" t="s">
        <v>1196</v>
      </c>
      <c r="C116" s="117" t="s">
        <v>1201</v>
      </c>
      <c r="D116" s="118" t="s">
        <v>1049</v>
      </c>
      <c r="E116" s="20" t="s">
        <v>1122</v>
      </c>
      <c r="F116" s="20" t="s">
        <v>8</v>
      </c>
      <c r="G116" s="14">
        <v>963750</v>
      </c>
      <c r="H116" s="47"/>
      <c r="I116" s="47"/>
      <c r="J116" s="47"/>
    </row>
    <row x14ac:dyDescent="0.25" r="117" customHeight="1" ht="18.75">
      <c r="A117" s="19" t="s">
        <v>413</v>
      </c>
      <c r="B117" s="20" t="s">
        <v>1202</v>
      </c>
      <c r="C117" s="117" t="s">
        <v>1203</v>
      </c>
      <c r="D117" s="118" t="s">
        <v>1049</v>
      </c>
      <c r="E117" s="20" t="s">
        <v>1122</v>
      </c>
      <c r="F117" s="20" t="s">
        <v>8</v>
      </c>
      <c r="G117" s="14">
        <v>4788500</v>
      </c>
      <c r="H117" s="47"/>
      <c r="I117" s="47"/>
      <c r="J117" s="47"/>
    </row>
    <row x14ac:dyDescent="0.25" r="118" customHeight="1" ht="18.75">
      <c r="A118" s="19" t="s">
        <v>425</v>
      </c>
      <c r="B118" s="20" t="s">
        <v>1202</v>
      </c>
      <c r="C118" s="117" t="s">
        <v>1204</v>
      </c>
      <c r="D118" s="118" t="s">
        <v>1049</v>
      </c>
      <c r="E118" s="20" t="s">
        <v>1122</v>
      </c>
      <c r="F118" s="20" t="s">
        <v>8</v>
      </c>
      <c r="G118" s="14">
        <v>20005000</v>
      </c>
      <c r="H118" s="47"/>
      <c r="I118" s="47"/>
      <c r="J118" s="47"/>
    </row>
    <row x14ac:dyDescent="0.25" r="119" customHeight="1" ht="18.75">
      <c r="A119" s="19" t="s">
        <v>444</v>
      </c>
      <c r="B119" s="20" t="s">
        <v>1202</v>
      </c>
      <c r="C119" s="117" t="s">
        <v>1205</v>
      </c>
      <c r="D119" s="118" t="s">
        <v>1049</v>
      </c>
      <c r="E119" s="20" t="s">
        <v>1122</v>
      </c>
      <c r="F119" s="20" t="s">
        <v>8</v>
      </c>
      <c r="G119" s="14">
        <v>9000000</v>
      </c>
      <c r="H119" s="47"/>
      <c r="I119" s="47"/>
      <c r="J119" s="47"/>
    </row>
    <row x14ac:dyDescent="0.25" r="120" customHeight="1" ht="18.75">
      <c r="A120" s="19" t="s">
        <v>457</v>
      </c>
      <c r="B120" s="20" t="s">
        <v>1202</v>
      </c>
      <c r="C120" s="117" t="s">
        <v>1206</v>
      </c>
      <c r="D120" s="118" t="s">
        <v>1049</v>
      </c>
      <c r="E120" s="20" t="s">
        <v>1122</v>
      </c>
      <c r="F120" s="20" t="s">
        <v>8</v>
      </c>
      <c r="G120" s="14">
        <v>1764000</v>
      </c>
      <c r="H120" s="47"/>
      <c r="I120" s="47"/>
      <c r="J120" s="47"/>
    </row>
    <row x14ac:dyDescent="0.25" r="121" customHeight="1" ht="18.75">
      <c r="A121" s="19" t="s">
        <v>473</v>
      </c>
      <c r="B121" s="20" t="s">
        <v>1202</v>
      </c>
      <c r="C121" s="117" t="s">
        <v>1207</v>
      </c>
      <c r="D121" s="118" t="s">
        <v>1049</v>
      </c>
      <c r="E121" s="20" t="s">
        <v>1122</v>
      </c>
      <c r="F121" s="20" t="s">
        <v>8</v>
      </c>
      <c r="G121" s="14">
        <v>15295500</v>
      </c>
      <c r="H121" s="47"/>
      <c r="I121" s="47"/>
      <c r="J121" s="47"/>
    </row>
    <row x14ac:dyDescent="0.25" r="122" customHeight="1" ht="18.75">
      <c r="A122" s="19" t="s">
        <v>330</v>
      </c>
      <c r="B122" s="20" t="s">
        <v>1208</v>
      </c>
      <c r="C122" s="19" t="s">
        <v>1209</v>
      </c>
      <c r="D122" s="118" t="s">
        <v>1121</v>
      </c>
      <c r="E122" s="20" t="s">
        <v>1115</v>
      </c>
      <c r="F122" s="20" t="s">
        <v>8</v>
      </c>
      <c r="G122" s="120">
        <v>30976000</v>
      </c>
      <c r="H122" s="47"/>
      <c r="I122" s="47"/>
      <c r="J122" s="47"/>
    </row>
    <row x14ac:dyDescent="0.25" r="123" customHeight="1" ht="18.75">
      <c r="A123" s="19" t="s">
        <v>90</v>
      </c>
      <c r="B123" s="20"/>
      <c r="C123" s="117" t="s">
        <v>1210</v>
      </c>
      <c r="D123" s="118" t="s">
        <v>1049</v>
      </c>
      <c r="E123" s="20" t="s">
        <v>1115</v>
      </c>
      <c r="F123" s="20" t="s">
        <v>8</v>
      </c>
      <c r="G123" s="13">
        <v>28556000</v>
      </c>
      <c r="H123" s="47"/>
      <c r="I123" s="47"/>
      <c r="J123" s="47"/>
    </row>
    <row x14ac:dyDescent="0.25" r="124" customHeight="1" ht="18.75">
      <c r="A124" s="19" t="s">
        <v>223</v>
      </c>
      <c r="B124" s="20"/>
      <c r="C124" s="19" t="s">
        <v>1211</v>
      </c>
      <c r="D124" s="118" t="s">
        <v>1049</v>
      </c>
      <c r="E124" s="20" t="s">
        <v>1096</v>
      </c>
      <c r="F124" s="20" t="s">
        <v>8</v>
      </c>
      <c r="G124" s="13">
        <v>138517500</v>
      </c>
      <c r="H124" s="47"/>
      <c r="I124" s="47"/>
      <c r="J124" s="47"/>
    </row>
    <row x14ac:dyDescent="0.25" r="125" customHeight="1" ht="18.75">
      <c r="A125" s="19" t="s">
        <v>338</v>
      </c>
      <c r="B125" s="20" t="s">
        <v>1212</v>
      </c>
      <c r="C125" s="117" t="s">
        <v>1213</v>
      </c>
      <c r="D125" s="118" t="s">
        <v>1121</v>
      </c>
      <c r="E125" s="20" t="s">
        <v>1122</v>
      </c>
      <c r="F125" s="20" t="s">
        <v>8</v>
      </c>
      <c r="G125" s="120">
        <v>10884750</v>
      </c>
      <c r="H125" s="47"/>
      <c r="I125" s="47"/>
      <c r="J125" s="47"/>
    </row>
    <row x14ac:dyDescent="0.25" r="126" customHeight="1" ht="18.75">
      <c r="A126" s="19" t="s">
        <v>338</v>
      </c>
      <c r="B126" s="20" t="s">
        <v>1212</v>
      </c>
      <c r="C126" s="117" t="s">
        <v>1214</v>
      </c>
      <c r="D126" s="118" t="s">
        <v>1121</v>
      </c>
      <c r="E126" s="20" t="s">
        <v>1122</v>
      </c>
      <c r="F126" s="20" t="s">
        <v>8</v>
      </c>
      <c r="G126" s="13">
        <v>20000000</v>
      </c>
      <c r="H126" s="47"/>
      <c r="I126" s="47"/>
      <c r="J126" s="47"/>
    </row>
    <row x14ac:dyDescent="0.25" r="127" customHeight="1" ht="18.75">
      <c r="A127" s="19" t="s">
        <v>338</v>
      </c>
      <c r="B127" s="20" t="s">
        <v>1212</v>
      </c>
      <c r="C127" s="117" t="s">
        <v>1215</v>
      </c>
      <c r="D127" s="118" t="s">
        <v>1121</v>
      </c>
      <c r="E127" s="20" t="s">
        <v>1122</v>
      </c>
      <c r="F127" s="20" t="s">
        <v>8</v>
      </c>
      <c r="G127" s="120">
        <v>151000</v>
      </c>
      <c r="H127" s="47"/>
      <c r="I127" s="47"/>
      <c r="J127" s="47"/>
    </row>
    <row x14ac:dyDescent="0.25" r="128" customHeight="1" ht="18.75">
      <c r="A128" s="19" t="s">
        <v>351</v>
      </c>
      <c r="B128" s="20" t="s">
        <v>1212</v>
      </c>
      <c r="C128" s="117" t="s">
        <v>1216</v>
      </c>
      <c r="D128" s="118" t="s">
        <v>1121</v>
      </c>
      <c r="E128" s="20" t="s">
        <v>1122</v>
      </c>
      <c r="F128" s="20" t="s">
        <v>8</v>
      </c>
      <c r="G128" s="13">
        <v>9000000</v>
      </c>
      <c r="H128" s="47"/>
      <c r="I128" s="47"/>
      <c r="J128" s="47"/>
    </row>
    <row x14ac:dyDescent="0.25" r="129" customHeight="1" ht="18.75">
      <c r="A129" s="19" t="s">
        <v>361</v>
      </c>
      <c r="B129" s="20" t="s">
        <v>1212</v>
      </c>
      <c r="C129" s="117" t="s">
        <v>1217</v>
      </c>
      <c r="D129" s="118" t="s">
        <v>1121</v>
      </c>
      <c r="E129" s="20" t="s">
        <v>1122</v>
      </c>
      <c r="F129" s="20" t="s">
        <v>8</v>
      </c>
      <c r="G129" s="13">
        <v>8160750</v>
      </c>
      <c r="H129" s="47"/>
      <c r="I129" s="47"/>
      <c r="J129" s="47"/>
    </row>
    <row x14ac:dyDescent="0.25" r="130" customHeight="1" ht="18.75">
      <c r="A130" s="19" t="s">
        <v>425</v>
      </c>
      <c r="B130" s="20" t="s">
        <v>1218</v>
      </c>
      <c r="C130" s="117" t="s">
        <v>1219</v>
      </c>
      <c r="D130" s="118" t="s">
        <v>1121</v>
      </c>
      <c r="E130" s="20" t="s">
        <v>1115</v>
      </c>
      <c r="F130" s="20" t="s">
        <v>8</v>
      </c>
      <c r="G130" s="14">
        <v>59532000</v>
      </c>
      <c r="H130" s="47"/>
      <c r="I130" s="47"/>
      <c r="J130" s="47"/>
    </row>
    <row x14ac:dyDescent="0.25" r="131" customHeight="1" ht="18.75">
      <c r="A131" s="19" t="s">
        <v>413</v>
      </c>
      <c r="B131" s="20" t="s">
        <v>1220</v>
      </c>
      <c r="C131" s="117" t="s">
        <v>1221</v>
      </c>
      <c r="D131" s="118" t="s">
        <v>1121</v>
      </c>
      <c r="E131" s="20" t="s">
        <v>1122</v>
      </c>
      <c r="F131" s="20" t="s">
        <v>8</v>
      </c>
      <c r="G131" s="14">
        <v>9036250</v>
      </c>
      <c r="H131" s="47"/>
      <c r="I131" s="47"/>
      <c r="J131" s="47"/>
    </row>
    <row x14ac:dyDescent="0.25" r="132" customHeight="1" ht="18.75">
      <c r="A132" s="19" t="s">
        <v>413</v>
      </c>
      <c r="B132" s="20" t="s">
        <v>1220</v>
      </c>
      <c r="C132" s="117" t="s">
        <v>1222</v>
      </c>
      <c r="D132" s="118" t="s">
        <v>1121</v>
      </c>
      <c r="E132" s="20" t="s">
        <v>1122</v>
      </c>
      <c r="F132" s="20" t="s">
        <v>8</v>
      </c>
      <c r="G132" s="14">
        <v>30000000</v>
      </c>
      <c r="H132" s="47"/>
      <c r="I132" s="47"/>
      <c r="J132" s="47"/>
    </row>
    <row x14ac:dyDescent="0.25" r="133" customHeight="1" ht="18.75">
      <c r="A133" s="19" t="s">
        <v>413</v>
      </c>
      <c r="B133" s="20" t="s">
        <v>1220</v>
      </c>
      <c r="C133" s="117" t="s">
        <v>1223</v>
      </c>
      <c r="D133" s="118" t="s">
        <v>1121</v>
      </c>
      <c r="E133" s="20" t="s">
        <v>1122</v>
      </c>
      <c r="F133" s="20" t="s">
        <v>8</v>
      </c>
      <c r="G133" s="14">
        <v>8211500</v>
      </c>
      <c r="H133" s="47"/>
      <c r="I133" s="47"/>
      <c r="J133" s="47"/>
    </row>
    <row x14ac:dyDescent="0.25" r="134" customHeight="1" ht="18.75">
      <c r="A134" s="19" t="s">
        <v>473</v>
      </c>
      <c r="B134" s="20" t="s">
        <v>1224</v>
      </c>
      <c r="C134" s="117" t="s">
        <v>1225</v>
      </c>
      <c r="D134" s="118" t="s">
        <v>1121</v>
      </c>
      <c r="E134" s="20" t="s">
        <v>1122</v>
      </c>
      <c r="F134" s="20" t="s">
        <v>8</v>
      </c>
      <c r="G134" s="14">
        <v>1704500</v>
      </c>
      <c r="H134" s="47"/>
      <c r="I134" s="47"/>
      <c r="J134" s="47"/>
    </row>
    <row x14ac:dyDescent="0.25" r="135" customHeight="1" ht="18.75">
      <c r="A135" s="19" t="s">
        <v>490</v>
      </c>
      <c r="B135" s="20" t="s">
        <v>1224</v>
      </c>
      <c r="C135" s="117" t="s">
        <v>1226</v>
      </c>
      <c r="D135" s="118" t="s">
        <v>1121</v>
      </c>
      <c r="E135" s="20" t="s">
        <v>1122</v>
      </c>
      <c r="F135" s="20" t="s">
        <v>8</v>
      </c>
      <c r="G135" s="14">
        <v>5000000</v>
      </c>
      <c r="H135" s="47"/>
      <c r="I135" s="47"/>
      <c r="J135" s="47"/>
    </row>
    <row x14ac:dyDescent="0.25" r="136" customHeight="1" ht="18.75">
      <c r="A136" s="19" t="s">
        <v>515</v>
      </c>
      <c r="B136" s="20" t="s">
        <v>1224</v>
      </c>
      <c r="C136" s="117" t="s">
        <v>1227</v>
      </c>
      <c r="D136" s="118" t="s">
        <v>1121</v>
      </c>
      <c r="E136" s="20" t="s">
        <v>1122</v>
      </c>
      <c r="F136" s="20" t="s">
        <v>8</v>
      </c>
      <c r="G136" s="14">
        <v>19602000</v>
      </c>
      <c r="H136" s="47"/>
      <c r="I136" s="47"/>
      <c r="J136" s="47"/>
    </row>
    <row x14ac:dyDescent="0.25" r="137" customHeight="1" ht="18.75">
      <c r="A137" s="19" t="s">
        <v>543</v>
      </c>
      <c r="B137" s="20" t="s">
        <v>1224</v>
      </c>
      <c r="C137" s="117" t="s">
        <v>1228</v>
      </c>
      <c r="D137" s="118" t="s">
        <v>1121</v>
      </c>
      <c r="E137" s="20" t="s">
        <v>1122</v>
      </c>
      <c r="F137" s="20" t="s">
        <v>8</v>
      </c>
      <c r="G137" s="14">
        <v>9000000</v>
      </c>
      <c r="H137" s="47"/>
      <c r="I137" s="47"/>
      <c r="J137" s="47"/>
    </row>
    <row x14ac:dyDescent="0.25" r="138" customHeight="1" ht="18.75">
      <c r="A138" s="19" t="s">
        <v>545</v>
      </c>
      <c r="B138" s="20" t="s">
        <v>1224</v>
      </c>
      <c r="C138" s="117" t="s">
        <v>1229</v>
      </c>
      <c r="D138" s="118" t="s">
        <v>1121</v>
      </c>
      <c r="E138" s="20" t="s">
        <v>1122</v>
      </c>
      <c r="F138" s="20" t="s">
        <v>8</v>
      </c>
      <c r="G138" s="14">
        <v>11941250</v>
      </c>
      <c r="H138" s="47"/>
      <c r="I138" s="47"/>
      <c r="J138" s="47"/>
    </row>
    <row x14ac:dyDescent="0.25" r="139" customHeight="1" ht="18.75">
      <c r="A139" s="19" t="s">
        <v>444</v>
      </c>
      <c r="B139" s="20" t="s">
        <v>1230</v>
      </c>
      <c r="C139" s="117" t="s">
        <v>1231</v>
      </c>
      <c r="D139" s="118" t="s">
        <v>1049</v>
      </c>
      <c r="E139" s="20" t="s">
        <v>1115</v>
      </c>
      <c r="F139" s="20" t="s">
        <v>8</v>
      </c>
      <c r="G139" s="14">
        <v>12085500</v>
      </c>
      <c r="H139" s="47"/>
      <c r="I139" s="47"/>
      <c r="J139" s="47"/>
    </row>
    <row x14ac:dyDescent="0.25" r="140" customHeight="1" ht="18.75">
      <c r="A140" s="19" t="s">
        <v>476</v>
      </c>
      <c r="B140" s="20" t="s">
        <v>1230</v>
      </c>
      <c r="C140" s="117" t="s">
        <v>1232</v>
      </c>
      <c r="D140" s="118" t="s">
        <v>1121</v>
      </c>
      <c r="E140" s="20" t="s">
        <v>1115</v>
      </c>
      <c r="F140" s="20" t="s">
        <v>8</v>
      </c>
      <c r="G140" s="14">
        <v>77938500</v>
      </c>
      <c r="H140" s="47"/>
      <c r="I140" s="47"/>
      <c r="J140" s="47"/>
    </row>
    <row x14ac:dyDescent="0.25" r="141" customHeight="1" ht="18.75">
      <c r="A141" s="19" t="s">
        <v>545</v>
      </c>
      <c r="B141" s="20" t="s">
        <v>1233</v>
      </c>
      <c r="C141" s="117" t="s">
        <v>1234</v>
      </c>
      <c r="D141" s="118" t="s">
        <v>1121</v>
      </c>
      <c r="E141" s="20" t="s">
        <v>1122</v>
      </c>
      <c r="F141" s="20" t="s">
        <v>8</v>
      </c>
      <c r="G141" s="14">
        <v>11318750</v>
      </c>
      <c r="H141" s="47"/>
      <c r="I141" s="47"/>
      <c r="J141" s="47"/>
    </row>
    <row x14ac:dyDescent="0.25" r="142" customHeight="1" ht="18.75">
      <c r="A142" s="19" t="s">
        <v>578</v>
      </c>
      <c r="B142" s="20" t="s">
        <v>1233</v>
      </c>
      <c r="C142" s="117" t="s">
        <v>1235</v>
      </c>
      <c r="D142" s="118" t="s">
        <v>1049</v>
      </c>
      <c r="E142" s="20" t="s">
        <v>1122</v>
      </c>
      <c r="F142" s="20" t="s">
        <v>8</v>
      </c>
      <c r="G142" s="13">
        <v>8996000</v>
      </c>
      <c r="H142" s="47"/>
      <c r="I142" s="47"/>
      <c r="J142" s="47"/>
    </row>
    <row x14ac:dyDescent="0.25" r="143" customHeight="1" ht="18.75">
      <c r="A143" s="19" t="s">
        <v>622</v>
      </c>
      <c r="B143" s="20" t="s">
        <v>1233</v>
      </c>
      <c r="C143" s="117" t="s">
        <v>1236</v>
      </c>
      <c r="D143" s="118" t="s">
        <v>1049</v>
      </c>
      <c r="E143" s="20" t="s">
        <v>1122</v>
      </c>
      <c r="F143" s="20" t="s">
        <v>8</v>
      </c>
      <c r="G143" s="13">
        <v>2927000</v>
      </c>
      <c r="H143" s="47"/>
      <c r="I143" s="47"/>
      <c r="J143" s="47"/>
    </row>
    <row x14ac:dyDescent="0.25" r="144" customHeight="1" ht="18.75">
      <c r="A144" s="19" t="s">
        <v>633</v>
      </c>
      <c r="B144" s="20" t="s">
        <v>1233</v>
      </c>
      <c r="C144" s="117" t="s">
        <v>1237</v>
      </c>
      <c r="D144" s="118" t="s">
        <v>1049</v>
      </c>
      <c r="E144" s="20" t="s">
        <v>1122</v>
      </c>
      <c r="F144" s="20" t="s">
        <v>8</v>
      </c>
      <c r="G144" s="13">
        <v>8000000</v>
      </c>
      <c r="H144" s="47"/>
      <c r="I144" s="47"/>
      <c r="J144" s="47"/>
    </row>
    <row x14ac:dyDescent="0.25" r="145" customHeight="1" ht="18.75">
      <c r="A145" s="19" t="s">
        <v>638</v>
      </c>
      <c r="B145" s="20" t="s">
        <v>1233</v>
      </c>
      <c r="C145" s="117" t="s">
        <v>1238</v>
      </c>
      <c r="D145" s="118" t="s">
        <v>1049</v>
      </c>
      <c r="E145" s="20" t="s">
        <v>1122</v>
      </c>
      <c r="F145" s="20" t="s">
        <v>8</v>
      </c>
      <c r="G145" s="13">
        <v>6510000</v>
      </c>
      <c r="H145" s="47"/>
      <c r="I145" s="47"/>
      <c r="J145" s="47"/>
    </row>
    <row x14ac:dyDescent="0.25" r="146" customHeight="1" ht="18.75">
      <c r="A146" s="19" t="s">
        <v>476</v>
      </c>
      <c r="B146" s="20" t="s">
        <v>1239</v>
      </c>
      <c r="C146" s="117" t="s">
        <v>1240</v>
      </c>
      <c r="D146" s="118" t="s">
        <v>1049</v>
      </c>
      <c r="E146" s="20" t="s">
        <v>1122</v>
      </c>
      <c r="F146" s="20" t="s">
        <v>8</v>
      </c>
      <c r="G146" s="14">
        <v>10000000</v>
      </c>
      <c r="H146" s="47"/>
      <c r="I146" s="47"/>
      <c r="J146" s="47"/>
    </row>
    <row x14ac:dyDescent="0.25" r="147" customHeight="1" ht="18.75">
      <c r="A147" s="19" t="s">
        <v>476</v>
      </c>
      <c r="B147" s="20" t="s">
        <v>1239</v>
      </c>
      <c r="C147" s="117" t="s">
        <v>1241</v>
      </c>
      <c r="D147" s="118" t="s">
        <v>1049</v>
      </c>
      <c r="E147" s="20" t="s">
        <v>1122</v>
      </c>
      <c r="F147" s="20" t="s">
        <v>8</v>
      </c>
      <c r="G147" s="14">
        <v>42360000</v>
      </c>
      <c r="H147" s="47"/>
      <c r="I147" s="47"/>
      <c r="J147" s="47"/>
    </row>
    <row x14ac:dyDescent="0.25" r="148" customHeight="1" ht="18.75">
      <c r="A148" s="19" t="s">
        <v>561</v>
      </c>
      <c r="B148" s="20" t="s">
        <v>1242</v>
      </c>
      <c r="C148" s="117" t="s">
        <v>1243</v>
      </c>
      <c r="D148" s="118" t="s">
        <v>1049</v>
      </c>
      <c r="E148" s="20" t="s">
        <v>1115</v>
      </c>
      <c r="F148" s="20" t="s">
        <v>8</v>
      </c>
      <c r="G148" s="13">
        <v>19514000</v>
      </c>
      <c r="H148" s="47"/>
      <c r="I148" s="47"/>
      <c r="J148" s="47"/>
    </row>
    <row x14ac:dyDescent="0.25" r="149" customHeight="1" ht="18.75">
      <c r="A149" s="19" t="s">
        <v>574</v>
      </c>
      <c r="B149" s="20" t="s">
        <v>1242</v>
      </c>
      <c r="C149" s="117" t="s">
        <v>1244</v>
      </c>
      <c r="D149" s="118" t="s">
        <v>1049</v>
      </c>
      <c r="E149" s="20" t="s">
        <v>1115</v>
      </c>
      <c r="F149" s="20" t="s">
        <v>8</v>
      </c>
      <c r="G149" s="13">
        <v>7506500</v>
      </c>
      <c r="H149" s="47"/>
      <c r="I149" s="47"/>
      <c r="J149" s="47"/>
    </row>
    <row x14ac:dyDescent="0.25" r="150" customHeight="1" ht="18.75">
      <c r="A150" s="19" t="s">
        <v>622</v>
      </c>
      <c r="B150" s="20" t="s">
        <v>1242</v>
      </c>
      <c r="C150" s="117" t="s">
        <v>1245</v>
      </c>
      <c r="D150" s="118" t="s">
        <v>1049</v>
      </c>
      <c r="E150" s="20" t="s">
        <v>1115</v>
      </c>
      <c r="F150" s="20" t="s">
        <v>8</v>
      </c>
      <c r="G150" s="13">
        <v>5649500</v>
      </c>
      <c r="H150" s="47"/>
      <c r="I150" s="47"/>
      <c r="J150" s="47"/>
    </row>
    <row x14ac:dyDescent="0.25" r="151" customHeight="1" ht="18.75">
      <c r="A151" s="19" t="s">
        <v>515</v>
      </c>
      <c r="B151" s="20" t="s">
        <v>1246</v>
      </c>
      <c r="C151" s="117" t="s">
        <v>1247</v>
      </c>
      <c r="D151" s="118" t="s">
        <v>1049</v>
      </c>
      <c r="E151" s="20" t="s">
        <v>1115</v>
      </c>
      <c r="F151" s="20" t="s">
        <v>8</v>
      </c>
      <c r="G151" s="14">
        <v>10650000</v>
      </c>
      <c r="H151" s="47"/>
      <c r="I151" s="47"/>
      <c r="J151" s="47"/>
    </row>
    <row x14ac:dyDescent="0.25" r="152" customHeight="1" ht="18.75">
      <c r="A152" s="19" t="s">
        <v>526</v>
      </c>
      <c r="B152" s="20" t="s">
        <v>1246</v>
      </c>
      <c r="C152" s="117" t="s">
        <v>1248</v>
      </c>
      <c r="D152" s="118" t="s">
        <v>1049</v>
      </c>
      <c r="E152" s="20" t="s">
        <v>1115</v>
      </c>
      <c r="F152" s="20" t="s">
        <v>8</v>
      </c>
      <c r="G152" s="14">
        <v>51300000</v>
      </c>
      <c r="H152" s="47"/>
      <c r="I152" s="47"/>
      <c r="J152" s="47"/>
    </row>
    <row x14ac:dyDescent="0.25" r="153" customHeight="1" ht="18.75">
      <c r="A153" s="19" t="s">
        <v>561</v>
      </c>
      <c r="B153" s="20" t="s">
        <v>1246</v>
      </c>
      <c r="C153" s="117" t="s">
        <v>1249</v>
      </c>
      <c r="D153" s="118" t="s">
        <v>1049</v>
      </c>
      <c r="E153" s="20" t="s">
        <v>1115</v>
      </c>
      <c r="F153" s="20" t="s">
        <v>8</v>
      </c>
      <c r="G153" s="13">
        <v>486000</v>
      </c>
      <c r="H153" s="47"/>
      <c r="I153" s="47"/>
      <c r="J153" s="47"/>
    </row>
    <row x14ac:dyDescent="0.25" r="154" customHeight="1" ht="18.75">
      <c r="A154" s="19" t="s">
        <v>622</v>
      </c>
      <c r="B154" s="20" t="s">
        <v>1250</v>
      </c>
      <c r="C154" s="117" t="s">
        <v>1251</v>
      </c>
      <c r="D154" s="118" t="s">
        <v>1121</v>
      </c>
      <c r="E154" s="20" t="s">
        <v>1115</v>
      </c>
      <c r="F154" s="20" t="s">
        <v>8</v>
      </c>
      <c r="G154" s="13">
        <v>13969400</v>
      </c>
      <c r="H154" s="47"/>
      <c r="I154" s="47"/>
      <c r="J154" s="47"/>
    </row>
    <row x14ac:dyDescent="0.25" r="155" customHeight="1" ht="18.75">
      <c r="A155" s="19" t="s">
        <v>680</v>
      </c>
      <c r="B155" s="20" t="s">
        <v>1250</v>
      </c>
      <c r="C155" s="117" t="s">
        <v>1251</v>
      </c>
      <c r="D155" s="118" t="s">
        <v>1121</v>
      </c>
      <c r="E155" s="20" t="s">
        <v>1115</v>
      </c>
      <c r="F155" s="20" t="s">
        <v>8</v>
      </c>
      <c r="G155" s="13">
        <v>15615000</v>
      </c>
      <c r="H155" s="47"/>
      <c r="I155" s="47"/>
      <c r="J155" s="47"/>
    </row>
    <row x14ac:dyDescent="0.25" r="156" customHeight="1" ht="18.75">
      <c r="A156" s="19" t="s">
        <v>680</v>
      </c>
      <c r="B156" s="20" t="s">
        <v>1250</v>
      </c>
      <c r="C156" s="117" t="s">
        <v>1252</v>
      </c>
      <c r="D156" s="118" t="s">
        <v>1049</v>
      </c>
      <c r="E156" s="20" t="s">
        <v>1115</v>
      </c>
      <c r="F156" s="20" t="s">
        <v>8</v>
      </c>
      <c r="G156" s="13">
        <v>2117600</v>
      </c>
      <c r="H156" s="47"/>
      <c r="I156" s="47"/>
      <c r="J156" s="47"/>
    </row>
    <row x14ac:dyDescent="0.25" r="157" customHeight="1" ht="18.75">
      <c r="A157" s="19" t="s">
        <v>667</v>
      </c>
      <c r="B157" s="20" t="s">
        <v>1253</v>
      </c>
      <c r="C157" s="117" t="s">
        <v>1254</v>
      </c>
      <c r="D157" s="118" t="s">
        <v>1049</v>
      </c>
      <c r="E157" s="20" t="s">
        <v>1122</v>
      </c>
      <c r="F157" s="20" t="s">
        <v>8</v>
      </c>
      <c r="G157" s="13">
        <v>11000000</v>
      </c>
      <c r="H157" s="47"/>
      <c r="I157" s="47"/>
      <c r="J157" s="47"/>
    </row>
    <row x14ac:dyDescent="0.25" r="158" customHeight="1" ht="18.75">
      <c r="A158" s="19" t="s">
        <v>680</v>
      </c>
      <c r="B158" s="20" t="s">
        <v>1253</v>
      </c>
      <c r="C158" s="117" t="s">
        <v>1255</v>
      </c>
      <c r="D158" s="118" t="s">
        <v>1049</v>
      </c>
      <c r="E158" s="20" t="s">
        <v>1122</v>
      </c>
      <c r="F158" s="20" t="s">
        <v>8</v>
      </c>
      <c r="G158" s="13">
        <v>12140000</v>
      </c>
      <c r="H158" s="47"/>
      <c r="I158" s="47"/>
      <c r="J158" s="47"/>
    </row>
    <row x14ac:dyDescent="0.25" r="159" customHeight="1" ht="18.75">
      <c r="A159" s="19" t="s">
        <v>680</v>
      </c>
      <c r="B159" s="20" t="s">
        <v>1253</v>
      </c>
      <c r="C159" s="117" t="s">
        <v>1256</v>
      </c>
      <c r="D159" s="118" t="s">
        <v>1049</v>
      </c>
      <c r="E159" s="20" t="s">
        <v>1122</v>
      </c>
      <c r="F159" s="20" t="s">
        <v>8</v>
      </c>
      <c r="G159" s="13">
        <v>31145000</v>
      </c>
      <c r="H159" s="47"/>
      <c r="I159" s="47"/>
      <c r="J159" s="47"/>
    </row>
    <row x14ac:dyDescent="0.25" r="160" customHeight="1" ht="18.75">
      <c r="A160" s="19" t="s">
        <v>351</v>
      </c>
      <c r="B160" s="20"/>
      <c r="C160" s="19" t="s">
        <v>357</v>
      </c>
      <c r="D160" s="118" t="s">
        <v>1257</v>
      </c>
      <c r="E160" s="20" t="s">
        <v>1258</v>
      </c>
      <c r="F160" s="20" t="s">
        <v>8</v>
      </c>
      <c r="G160" s="14">
        <v>9775620</v>
      </c>
      <c r="H160" s="47"/>
      <c r="I160" s="47"/>
      <c r="J160" s="47"/>
    </row>
    <row x14ac:dyDescent="0.25" r="161" customHeight="1" ht="18.75">
      <c r="A161" s="19" t="s">
        <v>391</v>
      </c>
      <c r="B161" s="20"/>
      <c r="C161" s="19" t="s">
        <v>396</v>
      </c>
      <c r="D161" s="118" t="s">
        <v>1259</v>
      </c>
      <c r="E161" s="20" t="s">
        <v>1260</v>
      </c>
      <c r="F161" s="20" t="s">
        <v>8</v>
      </c>
      <c r="G161" s="14">
        <v>19400000</v>
      </c>
      <c r="H161" s="47"/>
      <c r="I161" s="47"/>
      <c r="J161" s="47"/>
    </row>
    <row x14ac:dyDescent="0.25" r="162" customHeight="1" ht="18.75">
      <c r="A162" s="19" t="s">
        <v>763</v>
      </c>
      <c r="B162" s="20"/>
      <c r="C162" s="19" t="s">
        <v>1261</v>
      </c>
      <c r="D162" s="118" t="s">
        <v>1049</v>
      </c>
      <c r="E162" s="19" t="s">
        <v>1079</v>
      </c>
      <c r="F162" s="20" t="s">
        <v>10</v>
      </c>
      <c r="G162" s="13">
        <v>152806500</v>
      </c>
      <c r="H162" s="47"/>
      <c r="I162" s="47"/>
      <c r="J162" s="47"/>
    </row>
    <row x14ac:dyDescent="0.25" r="163" customHeight="1" ht="18.75">
      <c r="A163" s="19" t="s">
        <v>578</v>
      </c>
      <c r="B163" s="20"/>
      <c r="C163" s="117" t="s">
        <v>1262</v>
      </c>
      <c r="D163" s="118" t="s">
        <v>1121</v>
      </c>
      <c r="E163" s="20" t="s">
        <v>1122</v>
      </c>
      <c r="F163" s="20" t="s">
        <v>8</v>
      </c>
      <c r="G163" s="13">
        <v>12004000</v>
      </c>
      <c r="H163" s="47"/>
      <c r="I163" s="47"/>
      <c r="J163" s="47"/>
    </row>
    <row x14ac:dyDescent="0.25" r="164" customHeight="1" ht="18.75">
      <c r="A164" s="19" t="s">
        <v>588</v>
      </c>
      <c r="B164" s="20"/>
      <c r="C164" s="19" t="s">
        <v>589</v>
      </c>
      <c r="D164" s="118" t="s">
        <v>1257</v>
      </c>
      <c r="E164" s="20" t="s">
        <v>1258</v>
      </c>
      <c r="F164" s="20"/>
      <c r="G164" s="13">
        <v>3240000</v>
      </c>
      <c r="H164" s="47"/>
      <c r="I164" s="47"/>
      <c r="J164" s="47"/>
    </row>
    <row x14ac:dyDescent="0.25" r="165" customHeight="1" ht="18.75">
      <c r="A165" s="19" t="s">
        <v>650</v>
      </c>
      <c r="B165" s="20"/>
      <c r="C165" s="19" t="s">
        <v>658</v>
      </c>
      <c r="D165" s="118" t="s">
        <v>1257</v>
      </c>
      <c r="E165" s="20" t="s">
        <v>1258</v>
      </c>
      <c r="F165" s="20"/>
      <c r="G165" s="13">
        <v>10735917.5</v>
      </c>
      <c r="H165" s="47"/>
      <c r="I165" s="47"/>
      <c r="J165" s="47"/>
    </row>
    <row x14ac:dyDescent="0.25" r="166" customHeight="1" ht="18.75">
      <c r="A166" s="19" t="s">
        <v>667</v>
      </c>
      <c r="B166" s="20"/>
      <c r="C166" s="19" t="s">
        <v>1263</v>
      </c>
      <c r="D166" s="118" t="s">
        <v>1259</v>
      </c>
      <c r="E166" s="20" t="s">
        <v>1260</v>
      </c>
      <c r="F166" s="20"/>
      <c r="G166" s="13">
        <v>22000000</v>
      </c>
      <c r="H166" s="47"/>
      <c r="I166" s="47"/>
      <c r="J166" s="47"/>
    </row>
    <row x14ac:dyDescent="0.25" r="167" customHeight="1" ht="18.75">
      <c r="A167" s="19" t="s">
        <v>680</v>
      </c>
      <c r="B167" s="20"/>
      <c r="C167" s="19" t="s">
        <v>1264</v>
      </c>
      <c r="D167" s="118" t="s">
        <v>1257</v>
      </c>
      <c r="E167" s="20" t="s">
        <v>1258</v>
      </c>
      <c r="F167" s="20"/>
      <c r="G167" s="13">
        <v>10510500</v>
      </c>
      <c r="H167" s="47"/>
      <c r="I167" s="47"/>
      <c r="J167" s="47"/>
    </row>
    <row x14ac:dyDescent="0.25" r="168" customHeight="1" ht="18.75">
      <c r="A168" s="19" t="s">
        <v>750</v>
      </c>
      <c r="B168" s="20"/>
      <c r="C168" s="19" t="s">
        <v>753</v>
      </c>
      <c r="D168" s="118" t="s">
        <v>1257</v>
      </c>
      <c r="E168" s="20" t="s">
        <v>1258</v>
      </c>
      <c r="F168" s="20"/>
      <c r="G168" s="13">
        <v>3515740</v>
      </c>
      <c r="H168" s="47"/>
      <c r="I168" s="47"/>
      <c r="J168" s="47"/>
    </row>
    <row x14ac:dyDescent="0.25" r="169" customHeight="1" ht="27">
      <c r="A169" s="19" t="s">
        <v>750</v>
      </c>
      <c r="B169" s="20"/>
      <c r="C169" s="29" t="s">
        <v>1265</v>
      </c>
      <c r="D169" s="118" t="s">
        <v>1257</v>
      </c>
      <c r="E169" s="20" t="s">
        <v>1258</v>
      </c>
      <c r="F169" s="20"/>
      <c r="G169" s="13">
        <v>1140240</v>
      </c>
      <c r="H169" s="47"/>
      <c r="I169" s="47"/>
      <c r="J169" s="47"/>
    </row>
    <row x14ac:dyDescent="0.25" r="170" customHeight="1" ht="30.75">
      <c r="A170" s="123"/>
      <c r="B170" s="123"/>
      <c r="C170" s="123"/>
      <c r="D170" s="123"/>
      <c r="E170" s="123"/>
      <c r="F170" s="123"/>
      <c r="G170" s="124">
        <f>SUM(G5:G169)</f>
      </c>
      <c r="H170" s="47"/>
      <c r="I170" s="47"/>
      <c r="J170" s="47"/>
    </row>
    <row x14ac:dyDescent="0.25" r="171" customHeight="1" ht="18.75">
      <c r="A171" s="47"/>
      <c r="B171" s="47"/>
      <c r="C171" s="47"/>
      <c r="D171" s="47"/>
      <c r="E171" s="47"/>
      <c r="F171" s="47"/>
      <c r="G171" s="4"/>
      <c r="H171" s="47"/>
      <c r="I171" s="47"/>
      <c r="J171" s="47"/>
    </row>
    <row x14ac:dyDescent="0.25" r="172" customHeight="1" ht="18.75">
      <c r="A172" s="47"/>
      <c r="B172" s="47"/>
      <c r="C172" s="47"/>
      <c r="D172" s="47"/>
      <c r="E172" s="47"/>
      <c r="F172" s="47"/>
      <c r="G172" s="4"/>
      <c r="H172" s="47"/>
      <c r="I172" s="47"/>
      <c r="J172" s="47"/>
    </row>
    <row x14ac:dyDescent="0.25" r="173" customHeight="1" ht="18.75">
      <c r="A173" s="47"/>
      <c r="B173" s="47"/>
      <c r="C173" s="47"/>
      <c r="D173" s="47"/>
      <c r="E173" s="47"/>
      <c r="F173" s="47"/>
      <c r="G173" s="4"/>
      <c r="H173" s="47"/>
      <c r="I173" s="47"/>
      <c r="J173" s="47"/>
    </row>
    <row x14ac:dyDescent="0.25" r="174" customHeight="1" ht="18.75">
      <c r="A174" s="47"/>
      <c r="B174" s="47"/>
      <c r="C174" s="47"/>
      <c r="D174" s="47"/>
      <c r="E174" s="47"/>
      <c r="F174" s="47"/>
      <c r="G174" s="4"/>
      <c r="H174" s="47"/>
      <c r="I174" s="47"/>
      <c r="J174" s="47"/>
    </row>
  </sheetData>
  <mergeCells count="2">
    <mergeCell ref="A2:G2"/>
    <mergeCell ref="A170:F1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77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111" width="4.2907142857142855" customWidth="1" bestFit="1"/>
    <col min="2" max="2" style="112" width="30.005" customWidth="1" bestFit="1"/>
    <col min="3" max="3" style="113" width="5.147857142857143" customWidth="1" bestFit="1"/>
    <col min="4" max="4" style="114" width="10.290714285714287" customWidth="1" bestFit="1"/>
    <col min="5" max="5" style="111" width="12.005" customWidth="1" bestFit="1"/>
    <col min="6" max="6" style="111" width="9.005" customWidth="1" bestFit="1"/>
    <col min="7" max="7" style="111" width="9.005" customWidth="1" bestFit="1"/>
    <col min="8" max="8" style="114" width="14.719285714285713" customWidth="1" bestFit="1"/>
    <col min="9" max="9" style="114" width="16.576428571428572" customWidth="1" bestFit="1"/>
    <col min="10" max="10" style="114" width="16.719285714285714" customWidth="1" bestFit="1"/>
    <col min="11" max="11" style="114" width="16.719285714285714" customWidth="1" bestFit="1"/>
    <col min="12" max="12" style="111" width="13.576428571428572" customWidth="1" bestFit="1"/>
    <col min="13" max="13" style="114" width="10.290714285714287" customWidth="1" bestFit="1"/>
    <col min="14" max="14" style="114" width="16.719285714285714" customWidth="1" bestFit="1"/>
    <col min="15" max="15" style="114" width="16.719285714285714" customWidth="1" bestFit="1"/>
    <col min="16" max="16" style="114" width="14.290714285714287" customWidth="1" bestFit="1"/>
    <col min="17" max="17" style="111" width="21.719285714285714" customWidth="1" bestFit="1"/>
    <col min="18" max="18" style="112" width="10.719285714285713" customWidth="1" bestFit="1"/>
    <col min="19" max="19" style="112" width="13.005" customWidth="1" bestFit="1"/>
    <col min="20" max="20" style="112" width="17.719285714285714" customWidth="1" bestFit="1"/>
    <col min="21" max="21" style="112" width="29.862142857142857" customWidth="1" bestFit="1"/>
    <col min="22" max="22" style="112" width="10.005" customWidth="1" bestFit="1"/>
    <col min="23" max="23" style="112" width="7.2907142857142855" customWidth="1" bestFit="1"/>
    <col min="24" max="24" style="48" width="13.576428571428572" customWidth="1" bestFit="1"/>
    <col min="25" max="25" style="48" width="13.576428571428572" customWidth="1" bestFit="1"/>
    <col min="26" max="26" style="48" width="13.576428571428572" customWidth="1" bestFit="1"/>
    <col min="27" max="27" style="48" width="13.576428571428572" customWidth="1" bestFit="1"/>
    <col min="28" max="28" style="48" width="13.576428571428572" customWidth="1" bestFit="1"/>
    <col min="29" max="29" style="48" width="13.576428571428572" customWidth="1" bestFit="1"/>
    <col min="30" max="30" style="48" width="13.576428571428572" customWidth="1" bestFit="1"/>
  </cols>
  <sheetData>
    <row x14ac:dyDescent="0.25" r="1" customHeight="1" ht="18.75">
      <c r="A1" s="4"/>
      <c r="B1" s="50"/>
      <c r="C1" s="51"/>
      <c r="D1" s="52"/>
      <c r="E1" s="4"/>
      <c r="F1" s="4"/>
      <c r="G1" s="4"/>
      <c r="H1" s="52"/>
      <c r="I1" s="52"/>
      <c r="J1" s="52"/>
      <c r="K1" s="52"/>
      <c r="L1" s="4"/>
      <c r="M1" s="52"/>
      <c r="N1" s="52"/>
      <c r="O1" s="52"/>
      <c r="P1" s="52"/>
      <c r="Q1" s="4"/>
      <c r="R1" s="53"/>
      <c r="S1" s="50"/>
      <c r="T1" s="50"/>
      <c r="U1" s="53"/>
      <c r="V1" s="50"/>
      <c r="W1" s="50"/>
      <c r="X1" s="47"/>
      <c r="Y1" s="47"/>
      <c r="Z1" s="47"/>
      <c r="AA1" s="47"/>
      <c r="AB1" s="47"/>
      <c r="AC1" s="47"/>
      <c r="AD1" s="47"/>
    </row>
    <row x14ac:dyDescent="0.25" r="2" customHeight="1" ht="18.75">
      <c r="A2" s="54" t="s">
        <v>811</v>
      </c>
      <c r="B2" s="55"/>
      <c r="C2" s="55"/>
      <c r="D2" s="56"/>
      <c r="E2" s="54"/>
      <c r="F2" s="54"/>
      <c r="G2" s="54"/>
      <c r="H2" s="56"/>
      <c r="I2" s="56"/>
      <c r="J2" s="56"/>
      <c r="K2" s="52"/>
      <c r="L2" s="4"/>
      <c r="M2" s="52"/>
      <c r="N2" s="52"/>
      <c r="O2" s="52"/>
      <c r="P2" s="52"/>
      <c r="Q2" s="4"/>
      <c r="R2" s="53"/>
      <c r="S2" s="50"/>
      <c r="T2" s="50"/>
      <c r="U2" s="53"/>
      <c r="V2" s="50"/>
      <c r="W2" s="50"/>
      <c r="X2" s="47"/>
      <c r="Y2" s="47"/>
      <c r="Z2" s="47"/>
      <c r="AA2" s="47"/>
      <c r="AB2" s="47"/>
      <c r="AC2" s="47"/>
      <c r="AD2" s="47"/>
    </row>
    <row x14ac:dyDescent="0.25" r="3" customHeight="1" ht="18.75">
      <c r="A3" s="4"/>
      <c r="B3" s="50"/>
      <c r="C3" s="51"/>
      <c r="D3" s="52"/>
      <c r="E3" s="4"/>
      <c r="F3" s="4"/>
      <c r="G3" s="4"/>
      <c r="H3" s="52"/>
      <c r="I3" s="52"/>
      <c r="J3" s="52"/>
      <c r="K3" s="52"/>
      <c r="L3" s="4"/>
      <c r="M3" s="52"/>
      <c r="N3" s="52"/>
      <c r="O3" s="52"/>
      <c r="P3" s="52"/>
      <c r="Q3" s="4"/>
      <c r="R3" s="53"/>
      <c r="S3" s="50"/>
      <c r="T3" s="50"/>
      <c r="U3" s="53"/>
      <c r="V3" s="50"/>
      <c r="W3" s="50"/>
      <c r="X3" s="47"/>
      <c r="Y3" s="47"/>
      <c r="Z3" s="47"/>
      <c r="AA3" s="47"/>
      <c r="AB3" s="47"/>
      <c r="AC3" s="47"/>
      <c r="AD3" s="47"/>
    </row>
    <row x14ac:dyDescent="0.25" r="4" customHeight="1" ht="25.350000000000005">
      <c r="A4" s="57" t="s">
        <v>18</v>
      </c>
      <c r="B4" s="58" t="s">
        <v>812</v>
      </c>
      <c r="C4" s="59" t="s">
        <v>813</v>
      </c>
      <c r="D4" s="60" t="s">
        <v>814</v>
      </c>
      <c r="E4" s="61" t="s">
        <v>815</v>
      </c>
      <c r="F4" s="61" t="s">
        <v>8</v>
      </c>
      <c r="G4" s="61" t="s">
        <v>10</v>
      </c>
      <c r="H4" s="60" t="s">
        <v>816</v>
      </c>
      <c r="I4" s="60" t="s">
        <v>817</v>
      </c>
      <c r="J4" s="60" t="s">
        <v>818</v>
      </c>
      <c r="K4" s="60" t="s">
        <v>819</v>
      </c>
      <c r="L4" s="61" t="s">
        <v>820</v>
      </c>
      <c r="M4" s="60" t="s">
        <v>821</v>
      </c>
      <c r="N4" s="60" t="s">
        <v>822</v>
      </c>
      <c r="O4" s="60" t="s">
        <v>823</v>
      </c>
      <c r="P4" s="60" t="s">
        <v>824</v>
      </c>
      <c r="Q4" s="57" t="s">
        <v>825</v>
      </c>
      <c r="R4" s="58" t="s">
        <v>826</v>
      </c>
      <c r="S4" s="58" t="s">
        <v>827</v>
      </c>
      <c r="T4" s="58" t="s">
        <v>828</v>
      </c>
      <c r="U4" s="58" t="s">
        <v>829</v>
      </c>
      <c r="V4" s="50"/>
      <c r="W4" s="50"/>
      <c r="X4" s="62"/>
      <c r="Y4" s="62"/>
      <c r="Z4" s="62"/>
      <c r="AA4" s="62"/>
      <c r="AB4" s="62"/>
      <c r="AC4" s="62"/>
      <c r="AD4" s="62"/>
    </row>
    <row x14ac:dyDescent="0.25" r="5" customHeight="1" ht="36.75">
      <c r="A5" s="63"/>
      <c r="B5" s="64"/>
      <c r="C5" s="65"/>
      <c r="D5" s="66"/>
      <c r="E5" s="63"/>
      <c r="F5" s="67"/>
      <c r="G5" s="67"/>
      <c r="H5" s="68"/>
      <c r="I5" s="68"/>
      <c r="J5" s="68"/>
      <c r="K5" s="68"/>
      <c r="L5" s="63"/>
      <c r="M5" s="68"/>
      <c r="N5" s="68"/>
      <c r="O5" s="68"/>
      <c r="P5" s="68"/>
      <c r="Q5" s="63"/>
      <c r="R5" s="64"/>
      <c r="S5" s="64"/>
      <c r="T5" s="64"/>
      <c r="U5" s="64"/>
      <c r="V5" s="50"/>
      <c r="W5" s="50"/>
      <c r="X5" s="62"/>
      <c r="Y5" s="62"/>
      <c r="Z5" s="62"/>
      <c r="AA5" s="62"/>
      <c r="AB5" s="62"/>
      <c r="AC5" s="62"/>
      <c r="AD5" s="62"/>
    </row>
    <row x14ac:dyDescent="0.25" r="6" customHeight="1" ht="47.25">
      <c r="A6" s="69">
        <v>1</v>
      </c>
      <c r="B6" s="70" t="s">
        <v>830</v>
      </c>
      <c r="C6" s="71" t="s">
        <v>831</v>
      </c>
      <c r="D6" s="72">
        <v>1.47</v>
      </c>
      <c r="E6" s="73">
        <v>39600</v>
      </c>
      <c r="F6" s="74">
        <f>E6-G6</f>
      </c>
      <c r="G6" s="74">
        <v>28000</v>
      </c>
      <c r="H6" s="75">
        <v>3116.42</v>
      </c>
      <c r="I6" s="75">
        <f>F6*H6</f>
      </c>
      <c r="J6" s="75">
        <f>G6*H6</f>
      </c>
      <c r="K6" s="75"/>
      <c r="L6" s="75">
        <f>D6*E6</f>
      </c>
      <c r="M6" s="75">
        <v>2120.01</v>
      </c>
      <c r="N6" s="75">
        <f>L6*M6</f>
      </c>
      <c r="O6" s="75"/>
      <c r="P6" s="75">
        <v>3464.52</v>
      </c>
      <c r="Q6" s="76" t="s">
        <v>832</v>
      </c>
      <c r="R6" s="77" t="s">
        <v>833</v>
      </c>
      <c r="S6" s="78" t="s">
        <v>834</v>
      </c>
      <c r="T6" s="78" t="s">
        <v>835</v>
      </c>
      <c r="U6" s="79" t="s">
        <v>836</v>
      </c>
      <c r="V6" s="50"/>
      <c r="W6" s="50"/>
      <c r="X6" s="80"/>
      <c r="Y6" s="80"/>
      <c r="Z6" s="80"/>
      <c r="AA6" s="80"/>
      <c r="AB6" s="80"/>
      <c r="AC6" s="80"/>
      <c r="AD6" s="80"/>
    </row>
    <row x14ac:dyDescent="0.25" r="7" customHeight="1" ht="48.75">
      <c r="A7" s="69"/>
      <c r="B7" s="70" t="s">
        <v>837</v>
      </c>
      <c r="C7" s="71" t="s">
        <v>831</v>
      </c>
      <c r="D7" s="72">
        <v>1.36</v>
      </c>
      <c r="E7" s="73">
        <v>66000</v>
      </c>
      <c r="F7" s="74">
        <f>E7-G7</f>
      </c>
      <c r="G7" s="74">
        <v>46000</v>
      </c>
      <c r="H7" s="75">
        <v>2883.21</v>
      </c>
      <c r="I7" s="75">
        <f>F7*H7</f>
      </c>
      <c r="J7" s="75">
        <f>G7*H7</f>
      </c>
      <c r="K7" s="75"/>
      <c r="L7" s="75">
        <f>D7*E7</f>
      </c>
      <c r="M7" s="75">
        <v>2120.01</v>
      </c>
      <c r="N7" s="75">
        <f>L7*M7</f>
      </c>
      <c r="O7" s="75"/>
      <c r="P7" s="75">
        <v>3262.32</v>
      </c>
      <c r="Q7" s="76" t="s">
        <v>832</v>
      </c>
      <c r="R7" s="77" t="s">
        <v>833</v>
      </c>
      <c r="S7" s="78" t="s">
        <v>834</v>
      </c>
      <c r="T7" s="78" t="s">
        <v>835</v>
      </c>
      <c r="U7" s="81"/>
      <c r="V7" s="50"/>
      <c r="W7" s="50"/>
      <c r="X7" s="80"/>
      <c r="Y7" s="80"/>
      <c r="Z7" s="80"/>
      <c r="AA7" s="80"/>
      <c r="AB7" s="80"/>
      <c r="AC7" s="80"/>
      <c r="AD7" s="80"/>
    </row>
    <row x14ac:dyDescent="0.25" r="8" customHeight="1" ht="25.350000000000005">
      <c r="A8" s="69"/>
      <c r="B8" s="70" t="s">
        <v>838</v>
      </c>
      <c r="C8" s="71" t="s">
        <v>831</v>
      </c>
      <c r="D8" s="72">
        <v>1.36</v>
      </c>
      <c r="E8" s="73">
        <v>44000</v>
      </c>
      <c r="F8" s="74">
        <f>E8-G8</f>
      </c>
      <c r="G8" s="74">
        <v>43000</v>
      </c>
      <c r="H8" s="75">
        <v>2883.21</v>
      </c>
      <c r="I8" s="75">
        <f>F8*H8</f>
      </c>
      <c r="J8" s="75">
        <f>G8*H8</f>
      </c>
      <c r="K8" s="75"/>
      <c r="L8" s="75">
        <f>D8*E8</f>
      </c>
      <c r="M8" s="75">
        <v>2120.01</v>
      </c>
      <c r="N8" s="75">
        <f>L8*M8</f>
      </c>
      <c r="O8" s="75"/>
      <c r="P8" s="75">
        <v>3286.02</v>
      </c>
      <c r="Q8" s="76" t="s">
        <v>832</v>
      </c>
      <c r="R8" s="77" t="s">
        <v>833</v>
      </c>
      <c r="S8" s="78" t="s">
        <v>834</v>
      </c>
      <c r="T8" s="78" t="s">
        <v>835</v>
      </c>
      <c r="U8" s="82" t="s">
        <v>839</v>
      </c>
      <c r="V8" s="50"/>
      <c r="W8" s="50"/>
      <c r="X8" s="80"/>
      <c r="Y8" s="80"/>
      <c r="Z8" s="80"/>
      <c r="AA8" s="80"/>
      <c r="AB8" s="80"/>
      <c r="AC8" s="80"/>
      <c r="AD8" s="80"/>
    </row>
    <row x14ac:dyDescent="0.25" r="9" customHeight="1" ht="36.6">
      <c r="A9" s="69">
        <v>2</v>
      </c>
      <c r="B9" s="70" t="s">
        <v>840</v>
      </c>
      <c r="C9" s="71" t="s">
        <v>831</v>
      </c>
      <c r="D9" s="72">
        <v>4.92</v>
      </c>
      <c r="E9" s="73">
        <v>20071</v>
      </c>
      <c r="F9" s="74">
        <f>E9-G9</f>
      </c>
      <c r="G9" s="74">
        <v>20000</v>
      </c>
      <c r="H9" s="75">
        <v>10430.45</v>
      </c>
      <c r="I9" s="75">
        <f>F9*H9</f>
      </c>
      <c r="J9" s="75">
        <f>G9*H9</f>
      </c>
      <c r="K9" s="75"/>
      <c r="L9" s="75">
        <f>D9*E9</f>
      </c>
      <c r="M9" s="75">
        <v>2120.01</v>
      </c>
      <c r="N9" s="75">
        <f>L9*M9</f>
      </c>
      <c r="O9" s="75">
        <f>(I9+J9)-N9</f>
      </c>
      <c r="P9" s="75">
        <v>10430.45</v>
      </c>
      <c r="Q9" s="76" t="s">
        <v>841</v>
      </c>
      <c r="R9" s="77" t="s">
        <v>842</v>
      </c>
      <c r="S9" s="78" t="s">
        <v>843</v>
      </c>
      <c r="T9" s="78" t="s">
        <v>844</v>
      </c>
      <c r="U9" s="83" t="s">
        <v>845</v>
      </c>
      <c r="V9" s="50"/>
      <c r="W9" s="50"/>
      <c r="X9" s="80"/>
      <c r="Y9" s="80"/>
      <c r="Z9" s="80"/>
      <c r="AA9" s="80"/>
      <c r="AB9" s="80"/>
      <c r="AC9" s="80"/>
      <c r="AD9" s="80"/>
    </row>
    <row x14ac:dyDescent="0.25" r="10" customHeight="1" ht="40.95">
      <c r="A10" s="69">
        <v>3</v>
      </c>
      <c r="B10" s="70" t="s">
        <v>846</v>
      </c>
      <c r="C10" s="71" t="s">
        <v>831</v>
      </c>
      <c r="D10" s="84">
        <v>4.9</v>
      </c>
      <c r="E10" s="73">
        <v>20232</v>
      </c>
      <c r="F10" s="74">
        <f>E10-G10</f>
      </c>
      <c r="G10" s="74"/>
      <c r="H10" s="75">
        <v>10388.05</v>
      </c>
      <c r="I10" s="75">
        <f>F10*H10</f>
      </c>
      <c r="J10" s="75">
        <f>G10*H10</f>
      </c>
      <c r="K10" s="75"/>
      <c r="L10" s="75">
        <f>D10*E10</f>
      </c>
      <c r="M10" s="75">
        <v>2120.01</v>
      </c>
      <c r="N10" s="75">
        <f>L10*M10</f>
      </c>
      <c r="O10" s="75">
        <f>(I10+J10)-N10</f>
      </c>
      <c r="P10" s="75">
        <v>10388.05</v>
      </c>
      <c r="Q10" s="76" t="s">
        <v>847</v>
      </c>
      <c r="R10" s="77" t="s">
        <v>842</v>
      </c>
      <c r="S10" s="78" t="s">
        <v>843</v>
      </c>
      <c r="T10" s="78" t="s">
        <v>844</v>
      </c>
      <c r="U10" s="83" t="s">
        <v>848</v>
      </c>
      <c r="V10" s="50"/>
      <c r="W10" s="50"/>
      <c r="X10" s="80"/>
      <c r="Y10" s="80"/>
      <c r="Z10" s="80"/>
      <c r="AA10" s="80"/>
      <c r="AB10" s="80"/>
      <c r="AC10" s="80"/>
      <c r="AD10" s="80"/>
    </row>
    <row x14ac:dyDescent="0.25" r="11" customHeight="1" ht="52.95000000000001">
      <c r="A11" s="69">
        <v>4</v>
      </c>
      <c r="B11" s="70" t="s">
        <v>849</v>
      </c>
      <c r="C11" s="71" t="s">
        <v>831</v>
      </c>
      <c r="D11" s="84">
        <v>2.255</v>
      </c>
      <c r="E11" s="73">
        <v>50400</v>
      </c>
      <c r="F11" s="74">
        <f>E11-G11</f>
      </c>
      <c r="G11" s="74">
        <v>20160</v>
      </c>
      <c r="H11" s="75">
        <v>4780.62</v>
      </c>
      <c r="I11" s="75">
        <f>F11*H11</f>
      </c>
      <c r="J11" s="75">
        <f>G11*H11</f>
      </c>
      <c r="K11" s="75"/>
      <c r="L11" s="75">
        <f>D11*E11</f>
      </c>
      <c r="M11" s="75">
        <v>2120.01</v>
      </c>
      <c r="N11" s="75">
        <f>L11*M11</f>
      </c>
      <c r="O11" s="75">
        <f>(I11+J11)-N11</f>
      </c>
      <c r="P11" s="75">
        <v>4780.62</v>
      </c>
      <c r="Q11" s="76" t="s">
        <v>850</v>
      </c>
      <c r="R11" s="77" t="s">
        <v>833</v>
      </c>
      <c r="S11" s="78" t="s">
        <v>834</v>
      </c>
      <c r="T11" s="78" t="s">
        <v>851</v>
      </c>
      <c r="U11" s="83" t="s">
        <v>852</v>
      </c>
      <c r="V11" s="50"/>
      <c r="W11" s="50"/>
      <c r="X11" s="80"/>
      <c r="Y11" s="80"/>
      <c r="Z11" s="80"/>
      <c r="AA11" s="80"/>
      <c r="AB11" s="80"/>
      <c r="AC11" s="80"/>
      <c r="AD11" s="80"/>
    </row>
    <row x14ac:dyDescent="0.25" r="12" customHeight="1" ht="36.6">
      <c r="A12" s="69">
        <v>5</v>
      </c>
      <c r="B12" s="70" t="s">
        <v>853</v>
      </c>
      <c r="C12" s="71" t="s">
        <v>831</v>
      </c>
      <c r="D12" s="72">
        <v>3.42</v>
      </c>
      <c r="E12" s="73">
        <v>3000</v>
      </c>
      <c r="F12" s="74">
        <f>E12-G12</f>
      </c>
      <c r="G12" s="74"/>
      <c r="H12" s="75">
        <v>7250.43</v>
      </c>
      <c r="I12" s="75">
        <f>F12*H12</f>
      </c>
      <c r="J12" s="75">
        <f>G12*H12</f>
      </c>
      <c r="K12" s="75"/>
      <c r="L12" s="75">
        <f>D12*E12</f>
      </c>
      <c r="M12" s="75">
        <v>2120.01</v>
      </c>
      <c r="N12" s="75">
        <f>L12*M12</f>
      </c>
      <c r="O12" s="75">
        <f>(I12+J12)-N12</f>
      </c>
      <c r="P12" s="75">
        <v>7777.19</v>
      </c>
      <c r="Q12" s="76" t="s">
        <v>854</v>
      </c>
      <c r="R12" s="70" t="s">
        <v>833</v>
      </c>
      <c r="S12" s="78" t="s">
        <v>834</v>
      </c>
      <c r="T12" s="78" t="s">
        <v>835</v>
      </c>
      <c r="U12" s="83" t="s">
        <v>855</v>
      </c>
      <c r="V12" s="50"/>
      <c r="W12" s="50"/>
      <c r="X12" s="80"/>
      <c r="Y12" s="80"/>
      <c r="Z12" s="80"/>
      <c r="AA12" s="80"/>
      <c r="AB12" s="80"/>
      <c r="AC12" s="80"/>
      <c r="AD12" s="80"/>
    </row>
    <row x14ac:dyDescent="0.25" r="13" customHeight="1" ht="25.350000000000005">
      <c r="A13" s="69"/>
      <c r="B13" s="70" t="s">
        <v>856</v>
      </c>
      <c r="C13" s="71" t="s">
        <v>831</v>
      </c>
      <c r="D13" s="72">
        <v>0.86</v>
      </c>
      <c r="E13" s="69">
        <v>6000</v>
      </c>
      <c r="F13" s="74">
        <f>E13-G13</f>
      </c>
      <c r="G13" s="85">
        <v>5000</v>
      </c>
      <c r="H13" s="86">
        <v>1823.21</v>
      </c>
      <c r="I13" s="75">
        <f>F13*H13</f>
      </c>
      <c r="J13" s="75">
        <f>G13*H13</f>
      </c>
      <c r="K13" s="75"/>
      <c r="L13" s="75">
        <f>D13*E13</f>
      </c>
      <c r="M13" s="75">
        <v>2120.01</v>
      </c>
      <c r="N13" s="75">
        <f>L13*M13</f>
      </c>
      <c r="O13" s="75">
        <f>(I13+J13)-N13</f>
      </c>
      <c r="P13" s="75">
        <v>1969.98</v>
      </c>
      <c r="Q13" s="76" t="s">
        <v>854</v>
      </c>
      <c r="R13" s="70" t="s">
        <v>833</v>
      </c>
      <c r="S13" s="78" t="s">
        <v>834</v>
      </c>
      <c r="T13" s="78" t="s">
        <v>835</v>
      </c>
      <c r="U13" s="82"/>
      <c r="V13" s="50"/>
      <c r="W13" s="50"/>
      <c r="X13" s="80"/>
      <c r="Y13" s="80"/>
      <c r="Z13" s="80"/>
      <c r="AA13" s="80"/>
      <c r="AB13" s="80"/>
      <c r="AC13" s="80"/>
      <c r="AD13" s="80"/>
    </row>
    <row x14ac:dyDescent="0.25" r="14" customHeight="1" ht="25.350000000000005">
      <c r="A14" s="69"/>
      <c r="B14" s="70" t="s">
        <v>857</v>
      </c>
      <c r="C14" s="71" t="s">
        <v>831</v>
      </c>
      <c r="D14" s="72">
        <v>2.86</v>
      </c>
      <c r="E14" s="73">
        <v>3000</v>
      </c>
      <c r="F14" s="74">
        <f>E14-G14</f>
      </c>
      <c r="G14" s="74">
        <v>2000</v>
      </c>
      <c r="H14" s="75">
        <v>6063.23</v>
      </c>
      <c r="I14" s="75">
        <f>F14*H14</f>
      </c>
      <c r="J14" s="75">
        <f>G14*H14</f>
      </c>
      <c r="K14" s="75"/>
      <c r="L14" s="75">
        <f>D14*E14</f>
      </c>
      <c r="M14" s="75">
        <v>2120.01</v>
      </c>
      <c r="N14" s="75">
        <f>L14*M14</f>
      </c>
      <c r="O14" s="75">
        <f>(I14+J14)-N14</f>
      </c>
      <c r="P14" s="75">
        <v>6264.63</v>
      </c>
      <c r="Q14" s="76" t="s">
        <v>854</v>
      </c>
      <c r="R14" s="70" t="s">
        <v>833</v>
      </c>
      <c r="S14" s="78" t="s">
        <v>834</v>
      </c>
      <c r="T14" s="78" t="s">
        <v>835</v>
      </c>
      <c r="U14" s="82" t="s">
        <v>858</v>
      </c>
      <c r="V14" s="50"/>
      <c r="W14" s="50"/>
      <c r="X14" s="80"/>
      <c r="Y14" s="80"/>
      <c r="Z14" s="80"/>
      <c r="AA14" s="80"/>
      <c r="AB14" s="80"/>
      <c r="AC14" s="80"/>
      <c r="AD14" s="80"/>
    </row>
    <row x14ac:dyDescent="0.25" r="15" customHeight="1" ht="25.350000000000005">
      <c r="A15" s="69"/>
      <c r="B15" s="70" t="s">
        <v>859</v>
      </c>
      <c r="C15" s="71" t="s">
        <v>831</v>
      </c>
      <c r="D15" s="72">
        <v>10.35</v>
      </c>
      <c r="E15" s="73">
        <v>1000</v>
      </c>
      <c r="F15" s="74">
        <f>E15-G15</f>
      </c>
      <c r="G15" s="74">
        <v>300</v>
      </c>
      <c r="H15" s="75">
        <v>21942.1</v>
      </c>
      <c r="I15" s="75">
        <f>F15*H15</f>
      </c>
      <c r="J15" s="75">
        <f>G15*H15</f>
      </c>
      <c r="K15" s="75"/>
      <c r="L15" s="75">
        <f>D15*E15</f>
      </c>
      <c r="M15" s="75">
        <v>2120.01</v>
      </c>
      <c r="N15" s="75">
        <f>L15*M15</f>
      </c>
      <c r="O15" s="75">
        <f>(I15+J15)-N15</f>
      </c>
      <c r="P15" s="75">
        <v>22076.37</v>
      </c>
      <c r="Q15" s="76" t="s">
        <v>854</v>
      </c>
      <c r="R15" s="70" t="s">
        <v>833</v>
      </c>
      <c r="S15" s="78" t="s">
        <v>834</v>
      </c>
      <c r="T15" s="78" t="s">
        <v>835</v>
      </c>
      <c r="U15" s="81"/>
      <c r="V15" s="50"/>
      <c r="W15" s="50"/>
      <c r="X15" s="80"/>
      <c r="Y15" s="80"/>
      <c r="Z15" s="80"/>
      <c r="AA15" s="80"/>
      <c r="AB15" s="80"/>
      <c r="AC15" s="80"/>
      <c r="AD15" s="80"/>
    </row>
    <row x14ac:dyDescent="0.25" r="16" customHeight="1" ht="25.350000000000005">
      <c r="A16" s="69"/>
      <c r="B16" s="70" t="s">
        <v>860</v>
      </c>
      <c r="C16" s="71" t="s">
        <v>831</v>
      </c>
      <c r="D16" s="72">
        <v>5.64</v>
      </c>
      <c r="E16" s="73">
        <v>800</v>
      </c>
      <c r="F16" s="74">
        <f>E16-G16</f>
      </c>
      <c r="G16" s="74">
        <v>800</v>
      </c>
      <c r="H16" s="75">
        <v>11956.86</v>
      </c>
      <c r="I16" s="75">
        <f>F16*H16</f>
      </c>
      <c r="J16" s="75">
        <f>G16*H16</f>
      </c>
      <c r="K16" s="75"/>
      <c r="L16" s="75">
        <f>D16*E16</f>
      </c>
      <c r="M16" s="75">
        <v>2120.01</v>
      </c>
      <c r="N16" s="75">
        <f>L16*M16</f>
      </c>
      <c r="O16" s="75">
        <f>(I16+J16)-N16</f>
      </c>
      <c r="P16" s="75">
        <v>11956.85</v>
      </c>
      <c r="Q16" s="76" t="s">
        <v>854</v>
      </c>
      <c r="R16" s="70" t="s">
        <v>833</v>
      </c>
      <c r="S16" s="78" t="s">
        <v>834</v>
      </c>
      <c r="T16" s="78" t="s">
        <v>835</v>
      </c>
      <c r="U16" s="82"/>
      <c r="V16" s="50"/>
      <c r="W16" s="50"/>
      <c r="X16" s="80"/>
      <c r="Y16" s="80"/>
      <c r="Z16" s="80"/>
      <c r="AA16" s="80"/>
      <c r="AB16" s="80"/>
      <c r="AC16" s="80"/>
      <c r="AD16" s="80"/>
    </row>
    <row x14ac:dyDescent="0.25" r="17" customHeight="1" ht="25.350000000000005">
      <c r="A17" s="69"/>
      <c r="B17" s="82" t="s">
        <v>861</v>
      </c>
      <c r="C17" s="71" t="s">
        <v>831</v>
      </c>
      <c r="D17" s="72">
        <v>3.19</v>
      </c>
      <c r="E17" s="69">
        <v>1000</v>
      </c>
      <c r="F17" s="74">
        <f>E17-G17</f>
      </c>
      <c r="G17" s="85"/>
      <c r="H17" s="86">
        <v>6762.83</v>
      </c>
      <c r="I17" s="75">
        <f>F17*H17</f>
      </c>
      <c r="J17" s="75">
        <f>G17*H17</f>
      </c>
      <c r="K17" s="75"/>
      <c r="L17" s="75">
        <f>D17*E17</f>
      </c>
      <c r="M17" s="75">
        <v>2120.01</v>
      </c>
      <c r="N17" s="75">
        <f>L17*M17</f>
      </c>
      <c r="O17" s="75">
        <f>(I17+J17)-N17</f>
      </c>
      <c r="P17" s="75">
        <v>6762.83</v>
      </c>
      <c r="Q17" s="76" t="s">
        <v>854</v>
      </c>
      <c r="R17" s="70" t="s">
        <v>833</v>
      </c>
      <c r="S17" s="78" t="s">
        <v>834</v>
      </c>
      <c r="T17" s="78" t="s">
        <v>835</v>
      </c>
      <c r="U17" s="82"/>
      <c r="V17" s="50"/>
      <c r="W17" s="50"/>
      <c r="X17" s="80"/>
      <c r="Y17" s="80"/>
      <c r="Z17" s="80"/>
      <c r="AA17" s="80"/>
      <c r="AB17" s="80"/>
      <c r="AC17" s="80"/>
      <c r="AD17" s="80"/>
    </row>
    <row x14ac:dyDescent="0.25" r="18" customHeight="1" ht="25.350000000000005">
      <c r="A18" s="69"/>
      <c r="B18" s="70" t="s">
        <v>862</v>
      </c>
      <c r="C18" s="71" t="s">
        <v>831</v>
      </c>
      <c r="D18" s="72">
        <v>3.32</v>
      </c>
      <c r="E18" s="73">
        <v>1250</v>
      </c>
      <c r="F18" s="74">
        <f>E18-G18</f>
      </c>
      <c r="G18" s="74"/>
      <c r="H18" s="75">
        <v>7038.43</v>
      </c>
      <c r="I18" s="75">
        <f>F18*H18</f>
      </c>
      <c r="J18" s="75">
        <f>G18*H18</f>
      </c>
      <c r="K18" s="75"/>
      <c r="L18" s="75">
        <f>D18*E18</f>
      </c>
      <c r="M18" s="75">
        <v>2120.01</v>
      </c>
      <c r="N18" s="75">
        <f>L18*M18</f>
      </c>
      <c r="O18" s="75">
        <f>(I18+J18)-N18</f>
      </c>
      <c r="P18" s="75">
        <v>7038.43</v>
      </c>
      <c r="Q18" s="76" t="s">
        <v>854</v>
      </c>
      <c r="R18" s="70" t="s">
        <v>833</v>
      </c>
      <c r="S18" s="78" t="s">
        <v>834</v>
      </c>
      <c r="T18" s="78" t="s">
        <v>835</v>
      </c>
      <c r="U18" s="82"/>
      <c r="V18" s="50"/>
      <c r="W18" s="50"/>
      <c r="X18" s="80"/>
      <c r="Y18" s="80"/>
      <c r="Z18" s="80"/>
      <c r="AA18" s="80"/>
      <c r="AB18" s="80"/>
      <c r="AC18" s="80"/>
      <c r="AD18" s="80"/>
    </row>
    <row x14ac:dyDescent="0.25" r="19" customHeight="1" ht="25.350000000000005">
      <c r="A19" s="69"/>
      <c r="B19" s="70" t="s">
        <v>863</v>
      </c>
      <c r="C19" s="71" t="s">
        <v>864</v>
      </c>
      <c r="D19" s="72">
        <v>295</v>
      </c>
      <c r="E19" s="73">
        <v>3</v>
      </c>
      <c r="F19" s="74">
        <f>E19-G19</f>
      </c>
      <c r="G19" s="74"/>
      <c r="H19" s="75">
        <v>625402.95</v>
      </c>
      <c r="I19" s="75">
        <f>F19*H19</f>
      </c>
      <c r="J19" s="75">
        <f>G19*H19</f>
      </c>
      <c r="K19" s="75"/>
      <c r="L19" s="75">
        <f>D19*E19</f>
      </c>
      <c r="M19" s="75">
        <v>2120.01</v>
      </c>
      <c r="N19" s="75">
        <f>L19*M19</f>
      </c>
      <c r="O19" s="75">
        <f>(I19+J19)-N19</f>
      </c>
      <c r="P19" s="75"/>
      <c r="Q19" s="76" t="s">
        <v>854</v>
      </c>
      <c r="R19" s="70" t="s">
        <v>833</v>
      </c>
      <c r="S19" s="78" t="s">
        <v>834</v>
      </c>
      <c r="T19" s="78" t="s">
        <v>835</v>
      </c>
      <c r="U19" s="82" t="s">
        <v>865</v>
      </c>
      <c r="V19" s="50"/>
      <c r="W19" s="50"/>
      <c r="X19" s="80"/>
      <c r="Y19" s="80"/>
      <c r="Z19" s="80"/>
      <c r="AA19" s="80"/>
      <c r="AB19" s="80"/>
      <c r="AC19" s="80"/>
      <c r="AD19" s="80"/>
    </row>
    <row x14ac:dyDescent="0.25" r="20" customHeight="1" ht="64.2">
      <c r="A20" s="69">
        <v>6</v>
      </c>
      <c r="B20" s="70" t="s">
        <v>853</v>
      </c>
      <c r="C20" s="71" t="s">
        <v>831</v>
      </c>
      <c r="D20" s="72">
        <v>3.54</v>
      </c>
      <c r="E20" s="73">
        <v>20000</v>
      </c>
      <c r="F20" s="74">
        <f>E20-G20</f>
      </c>
      <c r="G20" s="74">
        <v>10000</v>
      </c>
      <c r="H20" s="75">
        <v>7504.84</v>
      </c>
      <c r="I20" s="75">
        <f>F20*H20</f>
      </c>
      <c r="J20" s="75">
        <f>G20*H20</f>
      </c>
      <c r="K20" s="75"/>
      <c r="L20" s="75">
        <f>D20*E20</f>
      </c>
      <c r="M20" s="75">
        <v>2120.01</v>
      </c>
      <c r="N20" s="75">
        <f>L20*M20</f>
      </c>
      <c r="O20" s="75">
        <f>(I20+J20)-N20</f>
      </c>
      <c r="P20" s="75">
        <v>7777.19</v>
      </c>
      <c r="Q20" s="76" t="s">
        <v>866</v>
      </c>
      <c r="R20" s="70" t="s">
        <v>867</v>
      </c>
      <c r="S20" s="78" t="s">
        <v>868</v>
      </c>
      <c r="T20" s="78" t="s">
        <v>851</v>
      </c>
      <c r="U20" s="83" t="s">
        <v>869</v>
      </c>
      <c r="V20" s="50"/>
      <c r="W20" s="50"/>
      <c r="X20" s="80"/>
      <c r="Y20" s="80"/>
      <c r="Z20" s="80"/>
      <c r="AA20" s="80"/>
      <c r="AB20" s="80"/>
      <c r="AC20" s="80"/>
      <c r="AD20" s="80"/>
    </row>
    <row x14ac:dyDescent="0.25" r="21" customHeight="1" ht="25.350000000000005">
      <c r="A21" s="69">
        <v>7</v>
      </c>
      <c r="B21" s="70" t="s">
        <v>853</v>
      </c>
      <c r="C21" s="71" t="s">
        <v>831</v>
      </c>
      <c r="D21" s="72">
        <v>3.67</v>
      </c>
      <c r="E21" s="73">
        <v>20000</v>
      </c>
      <c r="F21" s="74">
        <f>E21-G21</f>
      </c>
      <c r="G21" s="74"/>
      <c r="H21" s="75">
        <v>7780.44</v>
      </c>
      <c r="I21" s="75">
        <f>F21*H21</f>
      </c>
      <c r="J21" s="75">
        <f>G21*H21</f>
      </c>
      <c r="K21" s="75"/>
      <c r="L21" s="75">
        <f>D21*E21</f>
      </c>
      <c r="M21" s="75">
        <v>2120.01</v>
      </c>
      <c r="N21" s="75">
        <f>L21*M21</f>
      </c>
      <c r="O21" s="75">
        <f>(I21+J21)-N21</f>
      </c>
      <c r="P21" s="75">
        <v>7777.19</v>
      </c>
      <c r="Q21" s="76" t="s">
        <v>870</v>
      </c>
      <c r="R21" s="77" t="s">
        <v>833</v>
      </c>
      <c r="S21" s="78" t="s">
        <v>834</v>
      </c>
      <c r="T21" s="78" t="s">
        <v>835</v>
      </c>
      <c r="U21" s="79" t="s">
        <v>871</v>
      </c>
      <c r="V21" s="50"/>
      <c r="W21" s="50"/>
      <c r="X21" s="80"/>
      <c r="Y21" s="80"/>
      <c r="Z21" s="80"/>
      <c r="AA21" s="80"/>
      <c r="AB21" s="80"/>
      <c r="AC21" s="80"/>
      <c r="AD21" s="80"/>
    </row>
    <row x14ac:dyDescent="0.25" r="22" customHeight="1" ht="42">
      <c r="A22" s="69"/>
      <c r="B22" s="70" t="s">
        <v>872</v>
      </c>
      <c r="C22" s="71" t="s">
        <v>831</v>
      </c>
      <c r="D22" s="72">
        <v>0.78</v>
      </c>
      <c r="E22" s="73">
        <v>2000</v>
      </c>
      <c r="F22" s="74">
        <f>E22-G22</f>
      </c>
      <c r="G22" s="74"/>
      <c r="H22" s="75">
        <v>1653.61</v>
      </c>
      <c r="I22" s="75">
        <f>F22*H22</f>
      </c>
      <c r="J22" s="75">
        <f>G22*H22</f>
      </c>
      <c r="K22" s="75"/>
      <c r="L22" s="75">
        <f>D22*E22</f>
      </c>
      <c r="M22" s="75">
        <v>2120.01</v>
      </c>
      <c r="N22" s="75">
        <f>L22*M22</f>
      </c>
      <c r="O22" s="75">
        <f>(I22+J22)-N22</f>
      </c>
      <c r="P22" s="75">
        <v>1653.6</v>
      </c>
      <c r="Q22" s="76" t="s">
        <v>870</v>
      </c>
      <c r="R22" s="77" t="s">
        <v>833</v>
      </c>
      <c r="S22" s="78" t="s">
        <v>834</v>
      </c>
      <c r="T22" s="78" t="s">
        <v>835</v>
      </c>
      <c r="U22" s="81"/>
      <c r="V22" s="50"/>
      <c r="W22" s="50"/>
      <c r="X22" s="80"/>
      <c r="Y22" s="80"/>
      <c r="Z22" s="80"/>
      <c r="AA22" s="80"/>
      <c r="AB22" s="80"/>
      <c r="AC22" s="80"/>
      <c r="AD22" s="80"/>
    </row>
    <row x14ac:dyDescent="0.25" r="23" customHeight="1" ht="25.350000000000005">
      <c r="A23" s="69"/>
      <c r="B23" s="70" t="s">
        <v>873</v>
      </c>
      <c r="C23" s="71" t="s">
        <v>831</v>
      </c>
      <c r="D23" s="72">
        <v>2.11</v>
      </c>
      <c r="E23" s="73">
        <v>3000</v>
      </c>
      <c r="F23" s="74">
        <f>E23-G23</f>
      </c>
      <c r="G23" s="74"/>
      <c r="H23" s="75">
        <v>4473.22</v>
      </c>
      <c r="I23" s="75">
        <f>F23*H23</f>
      </c>
      <c r="J23" s="75">
        <f>G23*H23</f>
      </c>
      <c r="K23" s="75"/>
      <c r="L23" s="75">
        <f>D23*E23</f>
      </c>
      <c r="M23" s="75">
        <v>2120.01</v>
      </c>
      <c r="N23" s="75">
        <f>L23*M23</f>
      </c>
      <c r="O23" s="75">
        <f>(I23+J23)-N23</f>
      </c>
      <c r="P23" s="75">
        <v>4473.22</v>
      </c>
      <c r="Q23" s="76" t="s">
        <v>870</v>
      </c>
      <c r="R23" s="77" t="s">
        <v>833</v>
      </c>
      <c r="S23" s="78" t="s">
        <v>834</v>
      </c>
      <c r="T23" s="78" t="s">
        <v>835</v>
      </c>
      <c r="U23" s="82" t="s">
        <v>858</v>
      </c>
      <c r="V23" s="50"/>
      <c r="W23" s="50"/>
      <c r="X23" s="80"/>
      <c r="Y23" s="80"/>
      <c r="Z23" s="80"/>
      <c r="AA23" s="80"/>
      <c r="AB23" s="80"/>
      <c r="AC23" s="80"/>
      <c r="AD23" s="80"/>
    </row>
    <row x14ac:dyDescent="0.25" r="24" customHeight="1" ht="25.350000000000005">
      <c r="A24" s="69"/>
      <c r="B24" s="70" t="s">
        <v>874</v>
      </c>
      <c r="C24" s="71" t="s">
        <v>831</v>
      </c>
      <c r="D24" s="72">
        <v>2.18</v>
      </c>
      <c r="E24" s="73">
        <v>250</v>
      </c>
      <c r="F24" s="74">
        <f>E24-G24</f>
      </c>
      <c r="G24" s="74"/>
      <c r="H24" s="75">
        <v>4621.62</v>
      </c>
      <c r="I24" s="75">
        <f>F24*H24</f>
      </c>
      <c r="J24" s="75">
        <f>G24*H24</f>
      </c>
      <c r="K24" s="75"/>
      <c r="L24" s="75">
        <f>D24*E24</f>
      </c>
      <c r="M24" s="75">
        <v>2120.01</v>
      </c>
      <c r="N24" s="75">
        <f>L24*M24</f>
      </c>
      <c r="O24" s="75">
        <f>(I24+J24)-N24</f>
      </c>
      <c r="P24" s="87">
        <v>4621.62</v>
      </c>
      <c r="Q24" s="88" t="s">
        <v>870</v>
      </c>
      <c r="R24" s="70" t="s">
        <v>833</v>
      </c>
      <c r="S24" s="89" t="s">
        <v>834</v>
      </c>
      <c r="T24" s="89" t="s">
        <v>835</v>
      </c>
      <c r="U24" s="82"/>
      <c r="V24" s="50"/>
      <c r="W24" s="50"/>
      <c r="X24" s="80"/>
      <c r="Y24" s="80"/>
      <c r="Z24" s="80"/>
      <c r="AA24" s="80"/>
      <c r="AB24" s="80"/>
      <c r="AC24" s="80"/>
      <c r="AD24" s="80"/>
    </row>
    <row x14ac:dyDescent="0.25" r="25" customHeight="1" ht="25.350000000000005">
      <c r="A25" s="69"/>
      <c r="B25" s="70" t="s">
        <v>875</v>
      </c>
      <c r="C25" s="71" t="s">
        <v>876</v>
      </c>
      <c r="D25" s="72"/>
      <c r="E25" s="73">
        <v>1</v>
      </c>
      <c r="F25" s="74">
        <f>E25-G25</f>
      </c>
      <c r="G25" s="74"/>
      <c r="H25" s="75"/>
      <c r="I25" s="75">
        <f>F25*H25</f>
      </c>
      <c r="J25" s="75">
        <f>G25*H25</f>
      </c>
      <c r="K25" s="75"/>
      <c r="L25" s="74" t="s">
        <v>877</v>
      </c>
      <c r="M25" s="75">
        <v>2120.01</v>
      </c>
      <c r="N25" s="75"/>
      <c r="O25" s="75">
        <f>(I25+J25)-N25</f>
      </c>
      <c r="P25" s="87"/>
      <c r="Q25" s="73"/>
      <c r="R25" s="88"/>
      <c r="S25" s="73"/>
      <c r="T25" s="73"/>
      <c r="U25" s="82"/>
      <c r="V25" s="50"/>
      <c r="W25" s="50"/>
      <c r="X25" s="80"/>
      <c r="Y25" s="80"/>
      <c r="Z25" s="80"/>
      <c r="AA25" s="80"/>
      <c r="AB25" s="80"/>
      <c r="AC25" s="80"/>
      <c r="AD25" s="80"/>
    </row>
    <row x14ac:dyDescent="0.25" r="26" customHeight="1" ht="57.75">
      <c r="A26" s="69">
        <v>8</v>
      </c>
      <c r="B26" s="70" t="s">
        <v>830</v>
      </c>
      <c r="C26" s="71" t="s">
        <v>831</v>
      </c>
      <c r="D26" s="72">
        <v>1.58</v>
      </c>
      <c r="E26" s="73">
        <v>44000</v>
      </c>
      <c r="F26" s="74">
        <f>E26-G26</f>
      </c>
      <c r="G26" s="74"/>
      <c r="H26" s="75">
        <v>3349.62</v>
      </c>
      <c r="I26" s="75">
        <f>F26*H26</f>
      </c>
      <c r="J26" s="75">
        <f>G26*H26</f>
      </c>
      <c r="K26" s="75"/>
      <c r="L26" s="75">
        <f>D26*E26</f>
      </c>
      <c r="M26" s="75">
        <v>2120.01</v>
      </c>
      <c r="N26" s="75">
        <f>L26*M26</f>
      </c>
      <c r="O26" s="75">
        <f>(I26+J26)-N26</f>
      </c>
      <c r="P26" s="75">
        <v>3464.52</v>
      </c>
      <c r="Q26" s="76" t="s">
        <v>878</v>
      </c>
      <c r="R26" s="77" t="s">
        <v>842</v>
      </c>
      <c r="S26" s="78" t="s">
        <v>879</v>
      </c>
      <c r="T26" s="78" t="s">
        <v>880</v>
      </c>
      <c r="U26" s="83" t="s">
        <v>881</v>
      </c>
      <c r="V26" s="50"/>
      <c r="W26" s="50"/>
      <c r="X26" s="80"/>
      <c r="Y26" s="80"/>
      <c r="Z26" s="80"/>
      <c r="AA26" s="80"/>
      <c r="AB26" s="80"/>
      <c r="AC26" s="80"/>
      <c r="AD26" s="80"/>
    </row>
    <row x14ac:dyDescent="0.25" r="27" customHeight="1" ht="66">
      <c r="A27" s="69">
        <v>9</v>
      </c>
      <c r="B27" s="82" t="s">
        <v>882</v>
      </c>
      <c r="C27" s="71" t="s">
        <v>883</v>
      </c>
      <c r="D27" s="72">
        <v>25300</v>
      </c>
      <c r="E27" s="73">
        <v>1</v>
      </c>
      <c r="F27" s="74">
        <f>E27-G27</f>
      </c>
      <c r="G27" s="74"/>
      <c r="H27" s="75">
        <v>53636253</v>
      </c>
      <c r="I27" s="75">
        <f>F27*H27</f>
      </c>
      <c r="J27" s="75">
        <f>G27*H27</f>
      </c>
      <c r="K27" s="75"/>
      <c r="L27" s="75">
        <f>D27*E27</f>
      </c>
      <c r="M27" s="75">
        <v>2120.01</v>
      </c>
      <c r="N27" s="75">
        <f>L27*M27</f>
      </c>
      <c r="O27" s="75">
        <f>(I27+J27)-N27</f>
      </c>
      <c r="P27" s="75"/>
      <c r="Q27" s="76" t="s">
        <v>884</v>
      </c>
      <c r="R27" s="77" t="s">
        <v>833</v>
      </c>
      <c r="S27" s="78" t="s">
        <v>834</v>
      </c>
      <c r="T27" s="78" t="s">
        <v>835</v>
      </c>
      <c r="U27" s="83" t="s">
        <v>885</v>
      </c>
      <c r="V27" s="50"/>
      <c r="W27" s="50"/>
      <c r="X27" s="80"/>
      <c r="Y27" s="80"/>
      <c r="Z27" s="80"/>
      <c r="AA27" s="80"/>
      <c r="AB27" s="80"/>
      <c r="AC27" s="80"/>
      <c r="AD27" s="80"/>
    </row>
    <row x14ac:dyDescent="0.25" r="28" customHeight="1" ht="44.25">
      <c r="A28" s="69"/>
      <c r="B28" s="82" t="s">
        <v>886</v>
      </c>
      <c r="C28" s="71" t="s">
        <v>883</v>
      </c>
      <c r="D28" s="72">
        <v>5850</v>
      </c>
      <c r="E28" s="73">
        <v>1</v>
      </c>
      <c r="F28" s="74">
        <f>E28-G28</f>
      </c>
      <c r="G28" s="74"/>
      <c r="H28" s="75">
        <f>D28*2120.01</f>
      </c>
      <c r="I28" s="75">
        <f>F28*H28</f>
      </c>
      <c r="J28" s="75">
        <f>G28*H28</f>
      </c>
      <c r="K28" s="75"/>
      <c r="L28" s="75">
        <f>D28*E28</f>
      </c>
      <c r="M28" s="75">
        <v>2120.01</v>
      </c>
      <c r="N28" s="75">
        <f>L28*M28</f>
      </c>
      <c r="O28" s="75">
        <f>(I28+J28)-N28</f>
      </c>
      <c r="P28" s="75"/>
      <c r="Q28" s="76" t="s">
        <v>884</v>
      </c>
      <c r="R28" s="77" t="s">
        <v>833</v>
      </c>
      <c r="S28" s="78" t="s">
        <v>834</v>
      </c>
      <c r="T28" s="78" t="s">
        <v>835</v>
      </c>
      <c r="U28" s="81"/>
      <c r="V28" s="50"/>
      <c r="W28" s="50"/>
      <c r="X28" s="80"/>
      <c r="Y28" s="80"/>
      <c r="Z28" s="80"/>
      <c r="AA28" s="80"/>
      <c r="AB28" s="80"/>
      <c r="AC28" s="80"/>
      <c r="AD28" s="80"/>
    </row>
    <row x14ac:dyDescent="0.25" r="29" customHeight="1" ht="25.350000000000005">
      <c r="A29" s="69"/>
      <c r="B29" s="70" t="s">
        <v>887</v>
      </c>
      <c r="C29" s="71" t="s">
        <v>864</v>
      </c>
      <c r="D29" s="72">
        <v>305</v>
      </c>
      <c r="E29" s="73">
        <v>2</v>
      </c>
      <c r="F29" s="74">
        <f>E29-G29</f>
      </c>
      <c r="G29" s="74"/>
      <c r="H29" s="75">
        <f>D29*2120.01</f>
      </c>
      <c r="I29" s="75">
        <f>F29*H29</f>
      </c>
      <c r="J29" s="75">
        <f>G29*H29</f>
      </c>
      <c r="K29" s="75"/>
      <c r="L29" s="75">
        <f>D29*E29</f>
      </c>
      <c r="M29" s="75">
        <v>2120.01</v>
      </c>
      <c r="N29" s="75">
        <f>L29*M29</f>
      </c>
      <c r="O29" s="75">
        <f>(I29+J29)-N29</f>
      </c>
      <c r="P29" s="75"/>
      <c r="Q29" s="76" t="s">
        <v>884</v>
      </c>
      <c r="R29" s="77" t="s">
        <v>833</v>
      </c>
      <c r="S29" s="78" t="s">
        <v>834</v>
      </c>
      <c r="T29" s="78" t="s">
        <v>835</v>
      </c>
      <c r="U29" s="90"/>
      <c r="V29" s="50"/>
      <c r="W29" s="50"/>
      <c r="X29" s="80"/>
      <c r="Y29" s="80"/>
      <c r="Z29" s="80"/>
      <c r="AA29" s="80"/>
      <c r="AB29" s="80"/>
      <c r="AC29" s="80"/>
      <c r="AD29" s="80"/>
    </row>
    <row x14ac:dyDescent="0.25" r="30" customHeight="1" ht="25.350000000000005">
      <c r="A30" s="69"/>
      <c r="B30" s="70" t="s">
        <v>888</v>
      </c>
      <c r="C30" s="71" t="s">
        <v>864</v>
      </c>
      <c r="D30" s="72">
        <v>205</v>
      </c>
      <c r="E30" s="73">
        <v>4</v>
      </c>
      <c r="F30" s="74">
        <f>E30-G30</f>
      </c>
      <c r="G30" s="74"/>
      <c r="H30" s="75">
        <f>D30*2120.01</f>
      </c>
      <c r="I30" s="75">
        <f>F30*H30</f>
      </c>
      <c r="J30" s="75">
        <f>G30*H30</f>
      </c>
      <c r="K30" s="75"/>
      <c r="L30" s="75">
        <f>D30*E30</f>
      </c>
      <c r="M30" s="75">
        <v>2120.01</v>
      </c>
      <c r="N30" s="75">
        <f>L30*M30</f>
      </c>
      <c r="O30" s="75">
        <f>(I30+J30)-N30</f>
      </c>
      <c r="P30" s="75"/>
      <c r="Q30" s="76" t="s">
        <v>884</v>
      </c>
      <c r="R30" s="77" t="s">
        <v>833</v>
      </c>
      <c r="S30" s="78" t="s">
        <v>834</v>
      </c>
      <c r="T30" s="78" t="s">
        <v>835</v>
      </c>
      <c r="U30" s="82" t="s">
        <v>858</v>
      </c>
      <c r="V30" s="50"/>
      <c r="W30" s="50"/>
      <c r="X30" s="80"/>
      <c r="Y30" s="80"/>
      <c r="Z30" s="80"/>
      <c r="AA30" s="80"/>
      <c r="AB30" s="80"/>
      <c r="AC30" s="80"/>
      <c r="AD30" s="80"/>
    </row>
    <row x14ac:dyDescent="0.25" r="31" customHeight="1" ht="25.350000000000005">
      <c r="A31" s="69"/>
      <c r="B31" s="70" t="s">
        <v>889</v>
      </c>
      <c r="C31" s="71" t="s">
        <v>864</v>
      </c>
      <c r="D31" s="72">
        <v>600</v>
      </c>
      <c r="E31" s="73">
        <v>2</v>
      </c>
      <c r="F31" s="74">
        <f>E31-G31</f>
      </c>
      <c r="G31" s="74"/>
      <c r="H31" s="75">
        <f>D31*2120.01</f>
      </c>
      <c r="I31" s="75">
        <f>F31*H31</f>
      </c>
      <c r="J31" s="75">
        <f>G31*H31</f>
      </c>
      <c r="K31" s="75"/>
      <c r="L31" s="75">
        <f>D31*E31</f>
      </c>
      <c r="M31" s="75">
        <v>2120.01</v>
      </c>
      <c r="N31" s="75">
        <f>L31*M31</f>
      </c>
      <c r="O31" s="75">
        <f>(I31+J31)-N31</f>
      </c>
      <c r="P31" s="75"/>
      <c r="Q31" s="76" t="s">
        <v>884</v>
      </c>
      <c r="R31" s="77" t="s">
        <v>833</v>
      </c>
      <c r="S31" s="78" t="s">
        <v>834</v>
      </c>
      <c r="T31" s="78" t="s">
        <v>835</v>
      </c>
      <c r="U31" s="82"/>
      <c r="V31" s="50"/>
      <c r="W31" s="50"/>
      <c r="X31" s="80"/>
      <c r="Y31" s="80"/>
      <c r="Z31" s="80"/>
      <c r="AA31" s="80"/>
      <c r="AB31" s="80"/>
      <c r="AC31" s="80"/>
      <c r="AD31" s="80"/>
    </row>
    <row x14ac:dyDescent="0.25" r="32" customHeight="1" ht="40.5">
      <c r="A32" s="69"/>
      <c r="B32" s="82" t="s">
        <v>890</v>
      </c>
      <c r="C32" s="71" t="s">
        <v>891</v>
      </c>
      <c r="D32" s="72">
        <v>7460</v>
      </c>
      <c r="E32" s="73">
        <v>1</v>
      </c>
      <c r="F32" s="74">
        <f>E32-G32</f>
      </c>
      <c r="G32" s="74"/>
      <c r="H32" s="75">
        <f>D32*2120.01</f>
      </c>
      <c r="I32" s="75">
        <f>F32*H32</f>
      </c>
      <c r="J32" s="75">
        <f>G32*H32</f>
      </c>
      <c r="K32" s="75"/>
      <c r="L32" s="75">
        <f>D32*E32</f>
      </c>
      <c r="M32" s="75">
        <v>2120.01</v>
      </c>
      <c r="N32" s="75">
        <f>L32*M32</f>
      </c>
      <c r="O32" s="75">
        <f>(I32+J32)-N32</f>
      </c>
      <c r="P32" s="75"/>
      <c r="Q32" s="76" t="s">
        <v>884</v>
      </c>
      <c r="R32" s="77" t="s">
        <v>833</v>
      </c>
      <c r="S32" s="78" t="s">
        <v>834</v>
      </c>
      <c r="T32" s="78" t="s">
        <v>835</v>
      </c>
      <c r="U32" s="82"/>
      <c r="V32" s="50"/>
      <c r="W32" s="50"/>
      <c r="X32" s="80"/>
      <c r="Y32" s="80"/>
      <c r="Z32" s="80"/>
      <c r="AA32" s="80"/>
      <c r="AB32" s="80"/>
      <c r="AC32" s="80"/>
      <c r="AD32" s="80"/>
    </row>
    <row x14ac:dyDescent="0.25" r="33" customHeight="1" ht="40.5">
      <c r="A33" s="69"/>
      <c r="B33" s="82" t="s">
        <v>892</v>
      </c>
      <c r="C33" s="71" t="s">
        <v>891</v>
      </c>
      <c r="D33" s="72">
        <v>830</v>
      </c>
      <c r="E33" s="73">
        <v>2</v>
      </c>
      <c r="F33" s="74">
        <f>E33-G33</f>
      </c>
      <c r="G33" s="74"/>
      <c r="H33" s="75">
        <f>D33*2120.01</f>
      </c>
      <c r="I33" s="75">
        <f>F33*H33</f>
      </c>
      <c r="J33" s="75">
        <f>G33*H33</f>
      </c>
      <c r="K33" s="75"/>
      <c r="L33" s="75">
        <f>D33*E33</f>
      </c>
      <c r="M33" s="75">
        <v>2120.01</v>
      </c>
      <c r="N33" s="75">
        <f>L33*M33</f>
      </c>
      <c r="O33" s="75">
        <f>(I33+J33)-N33</f>
      </c>
      <c r="P33" s="75"/>
      <c r="Q33" s="76" t="s">
        <v>884</v>
      </c>
      <c r="R33" s="77" t="s">
        <v>833</v>
      </c>
      <c r="S33" s="78" t="s">
        <v>834</v>
      </c>
      <c r="T33" s="78" t="s">
        <v>835</v>
      </c>
      <c r="U33" s="82"/>
      <c r="V33" s="50"/>
      <c r="W33" s="50"/>
      <c r="X33" s="80"/>
      <c r="Y33" s="80"/>
      <c r="Z33" s="80"/>
      <c r="AA33" s="80"/>
      <c r="AB33" s="80"/>
      <c r="AC33" s="80"/>
      <c r="AD33" s="80"/>
    </row>
    <row x14ac:dyDescent="0.25" r="34" customHeight="1" ht="40.5">
      <c r="A34" s="69"/>
      <c r="B34" s="70" t="s">
        <v>893</v>
      </c>
      <c r="C34" s="71" t="s">
        <v>891</v>
      </c>
      <c r="D34" s="72">
        <v>540</v>
      </c>
      <c r="E34" s="73">
        <v>1</v>
      </c>
      <c r="F34" s="74">
        <f>E34-G34</f>
      </c>
      <c r="G34" s="74"/>
      <c r="H34" s="75">
        <f>D34*2120.01</f>
      </c>
      <c r="I34" s="75">
        <f>F34*H34</f>
      </c>
      <c r="J34" s="75">
        <f>G34*H34</f>
      </c>
      <c r="K34" s="75"/>
      <c r="L34" s="75">
        <f>D34*E34</f>
      </c>
      <c r="M34" s="75">
        <v>2120.01</v>
      </c>
      <c r="N34" s="75">
        <f>L34*M34</f>
      </c>
      <c r="O34" s="75">
        <f>(I34+J34)-N34</f>
      </c>
      <c r="P34" s="75"/>
      <c r="Q34" s="76" t="s">
        <v>884</v>
      </c>
      <c r="R34" s="77" t="s">
        <v>833</v>
      </c>
      <c r="S34" s="78" t="s">
        <v>834</v>
      </c>
      <c r="T34" s="78" t="s">
        <v>835</v>
      </c>
      <c r="U34" s="82"/>
      <c r="V34" s="50"/>
      <c r="W34" s="50"/>
      <c r="X34" s="80"/>
      <c r="Y34" s="80"/>
      <c r="Z34" s="80"/>
      <c r="AA34" s="80"/>
      <c r="AB34" s="80"/>
      <c r="AC34" s="80"/>
      <c r="AD34" s="80"/>
    </row>
    <row x14ac:dyDescent="0.25" r="35" customHeight="1" ht="40.5">
      <c r="A35" s="91"/>
      <c r="B35" s="70" t="s">
        <v>894</v>
      </c>
      <c r="C35" s="71" t="s">
        <v>891</v>
      </c>
      <c r="D35" s="72">
        <v>500</v>
      </c>
      <c r="E35" s="73">
        <v>1</v>
      </c>
      <c r="F35" s="74">
        <f>E35-G35</f>
      </c>
      <c r="G35" s="74"/>
      <c r="H35" s="75">
        <f>D35*2120.01</f>
      </c>
      <c r="I35" s="75">
        <f>F35*H35</f>
      </c>
      <c r="J35" s="75">
        <f>G35*H35</f>
      </c>
      <c r="K35" s="75"/>
      <c r="L35" s="75">
        <f>D35*E35</f>
      </c>
      <c r="M35" s="75">
        <v>2120.01</v>
      </c>
      <c r="N35" s="75">
        <f>L35*M35</f>
      </c>
      <c r="O35" s="75">
        <f>(I35+J35)-N35</f>
      </c>
      <c r="P35" s="75"/>
      <c r="Q35" s="76" t="s">
        <v>884</v>
      </c>
      <c r="R35" s="77" t="s">
        <v>833</v>
      </c>
      <c r="S35" s="78" t="s">
        <v>834</v>
      </c>
      <c r="T35" s="78" t="s">
        <v>835</v>
      </c>
      <c r="U35" s="82"/>
      <c r="V35" s="50"/>
      <c r="W35" s="50"/>
      <c r="X35" s="80"/>
      <c r="Y35" s="80"/>
      <c r="Z35" s="80"/>
      <c r="AA35" s="80"/>
      <c r="AB35" s="80"/>
      <c r="AC35" s="80"/>
      <c r="AD35" s="80"/>
    </row>
    <row x14ac:dyDescent="0.25" r="36" customHeight="1" ht="25.350000000000005">
      <c r="A36" s="92"/>
      <c r="B36" s="70" t="s">
        <v>895</v>
      </c>
      <c r="C36" s="71" t="s">
        <v>864</v>
      </c>
      <c r="D36" s="72">
        <v>278</v>
      </c>
      <c r="E36" s="73">
        <v>2</v>
      </c>
      <c r="F36" s="74">
        <f>E36-G36</f>
      </c>
      <c r="G36" s="74"/>
      <c r="H36" s="75">
        <f>D36*2120.01</f>
      </c>
      <c r="I36" s="75">
        <f>F36*H36</f>
      </c>
      <c r="J36" s="75">
        <f>G36*H36</f>
      </c>
      <c r="K36" s="75"/>
      <c r="L36" s="75">
        <f>D36*E36</f>
      </c>
      <c r="M36" s="75">
        <v>2120.01</v>
      </c>
      <c r="N36" s="75">
        <f>L36*M36</f>
      </c>
      <c r="O36" s="75">
        <f>(I36+J36)-N36</f>
      </c>
      <c r="P36" s="75"/>
      <c r="Q36" s="76" t="s">
        <v>884</v>
      </c>
      <c r="R36" s="77" t="s">
        <v>833</v>
      </c>
      <c r="S36" s="78" t="s">
        <v>834</v>
      </c>
      <c r="T36" s="78" t="s">
        <v>835</v>
      </c>
      <c r="U36" s="82"/>
      <c r="V36" s="50"/>
      <c r="W36" s="50"/>
      <c r="X36" s="80"/>
      <c r="Y36" s="80"/>
      <c r="Z36" s="80"/>
      <c r="AA36" s="80"/>
      <c r="AB36" s="80"/>
      <c r="AC36" s="80"/>
      <c r="AD36" s="80"/>
    </row>
    <row x14ac:dyDescent="0.25" r="37" customHeight="1" ht="25.350000000000005">
      <c r="A37" s="69"/>
      <c r="B37" s="70" t="s">
        <v>896</v>
      </c>
      <c r="C37" s="71" t="s">
        <v>864</v>
      </c>
      <c r="D37" s="72">
        <v>478</v>
      </c>
      <c r="E37" s="73">
        <v>1</v>
      </c>
      <c r="F37" s="74">
        <f>E37-G37</f>
      </c>
      <c r="G37" s="74"/>
      <c r="H37" s="75">
        <f>D37*2120.01</f>
      </c>
      <c r="I37" s="75">
        <f>F37*H37</f>
      </c>
      <c r="J37" s="75">
        <f>G37*H37</f>
      </c>
      <c r="K37" s="75"/>
      <c r="L37" s="75">
        <f>D37*E37</f>
      </c>
      <c r="M37" s="75">
        <v>2120.01</v>
      </c>
      <c r="N37" s="75">
        <f>L37*M37</f>
      </c>
      <c r="O37" s="75">
        <f>(I37+J37)-N37</f>
      </c>
      <c r="P37" s="75"/>
      <c r="Q37" s="76" t="s">
        <v>884</v>
      </c>
      <c r="R37" s="77" t="s">
        <v>833</v>
      </c>
      <c r="S37" s="78" t="s">
        <v>834</v>
      </c>
      <c r="T37" s="78" t="s">
        <v>835</v>
      </c>
      <c r="U37" s="82"/>
      <c r="V37" s="50"/>
      <c r="W37" s="50"/>
      <c r="X37" s="80"/>
      <c r="Y37" s="80"/>
      <c r="Z37" s="80"/>
      <c r="AA37" s="80"/>
      <c r="AB37" s="80"/>
      <c r="AC37" s="80"/>
      <c r="AD37" s="80"/>
    </row>
    <row x14ac:dyDescent="0.25" r="38" customHeight="1" ht="25.350000000000005">
      <c r="A38" s="69"/>
      <c r="B38" s="70" t="s">
        <v>897</v>
      </c>
      <c r="C38" s="71" t="s">
        <v>864</v>
      </c>
      <c r="D38" s="72">
        <v>65</v>
      </c>
      <c r="E38" s="73">
        <v>4</v>
      </c>
      <c r="F38" s="74">
        <f>E38-G38</f>
      </c>
      <c r="G38" s="74"/>
      <c r="H38" s="75">
        <f>D38*2120.01</f>
      </c>
      <c r="I38" s="75">
        <f>F38*H38</f>
      </c>
      <c r="J38" s="75">
        <f>G38*H38</f>
      </c>
      <c r="K38" s="75"/>
      <c r="L38" s="75">
        <f>D38*E38</f>
      </c>
      <c r="M38" s="75">
        <v>2120.01</v>
      </c>
      <c r="N38" s="75">
        <f>L38*M38</f>
      </c>
      <c r="O38" s="75">
        <f>(I38+J38)-N38</f>
      </c>
      <c r="P38" s="75"/>
      <c r="Q38" s="76" t="s">
        <v>884</v>
      </c>
      <c r="R38" s="77" t="s">
        <v>833</v>
      </c>
      <c r="S38" s="78" t="s">
        <v>834</v>
      </c>
      <c r="T38" s="78" t="s">
        <v>835</v>
      </c>
      <c r="U38" s="83"/>
      <c r="V38" s="50"/>
      <c r="W38" s="50"/>
      <c r="X38" s="80"/>
      <c r="Y38" s="80"/>
      <c r="Z38" s="80"/>
      <c r="AA38" s="80"/>
      <c r="AB38" s="80"/>
      <c r="AC38" s="80"/>
      <c r="AD38" s="80"/>
    </row>
    <row x14ac:dyDescent="0.25" r="39" customHeight="1" ht="25.350000000000005">
      <c r="A39" s="69"/>
      <c r="B39" s="70" t="s">
        <v>898</v>
      </c>
      <c r="C39" s="71" t="s">
        <v>864</v>
      </c>
      <c r="D39" s="72">
        <v>240</v>
      </c>
      <c r="E39" s="73">
        <v>6</v>
      </c>
      <c r="F39" s="74">
        <f>E39-G39</f>
      </c>
      <c r="G39" s="74"/>
      <c r="H39" s="75">
        <f>D39*2120.01</f>
      </c>
      <c r="I39" s="75">
        <f>F39*H39</f>
      </c>
      <c r="J39" s="75">
        <f>G39*H39</f>
      </c>
      <c r="K39" s="75"/>
      <c r="L39" s="75">
        <f>D39*E39</f>
      </c>
      <c r="M39" s="75">
        <v>2120.01</v>
      </c>
      <c r="N39" s="75">
        <f>L39*M39</f>
      </c>
      <c r="O39" s="75">
        <f>(I39+J39)-N39</f>
      </c>
      <c r="P39" s="75">
        <v>508802.4</v>
      </c>
      <c r="Q39" s="76" t="s">
        <v>884</v>
      </c>
      <c r="R39" s="77" t="s">
        <v>833</v>
      </c>
      <c r="S39" s="78" t="s">
        <v>834</v>
      </c>
      <c r="T39" s="78" t="s">
        <v>835</v>
      </c>
      <c r="U39" s="82"/>
      <c r="V39" s="50"/>
      <c r="W39" s="50"/>
      <c r="X39" s="80"/>
      <c r="Y39" s="80"/>
      <c r="Z39" s="80"/>
      <c r="AA39" s="80"/>
      <c r="AB39" s="80"/>
      <c r="AC39" s="80"/>
      <c r="AD39" s="80"/>
    </row>
    <row x14ac:dyDescent="0.25" r="40" customHeight="1" ht="25.350000000000005">
      <c r="A40" s="69"/>
      <c r="B40" s="70" t="s">
        <v>899</v>
      </c>
      <c r="C40" s="71" t="s">
        <v>864</v>
      </c>
      <c r="D40" s="72">
        <v>3998</v>
      </c>
      <c r="E40" s="73">
        <v>1</v>
      </c>
      <c r="F40" s="74">
        <f>E40-G40</f>
      </c>
      <c r="G40" s="74"/>
      <c r="H40" s="75"/>
      <c r="I40" s="75"/>
      <c r="J40" s="75">
        <f>G40*H40</f>
      </c>
      <c r="K40" s="75">
        <v>8475799.98</v>
      </c>
      <c r="L40" s="75">
        <f>D40*E40</f>
      </c>
      <c r="M40" s="75">
        <v>2120.01</v>
      </c>
      <c r="N40" s="75">
        <f>L40*M40</f>
      </c>
      <c r="O40" s="75">
        <f>(I40+J40)-N40</f>
      </c>
      <c r="P40" s="75"/>
      <c r="Q40" s="76" t="s">
        <v>884</v>
      </c>
      <c r="R40" s="77" t="s">
        <v>833</v>
      </c>
      <c r="S40" s="78" t="s">
        <v>834</v>
      </c>
      <c r="T40" s="78" t="s">
        <v>835</v>
      </c>
      <c r="U40" s="82"/>
      <c r="V40" s="50"/>
      <c r="W40" s="50"/>
      <c r="X40" s="80"/>
      <c r="Y40" s="80"/>
      <c r="Z40" s="80"/>
      <c r="AA40" s="80"/>
      <c r="AB40" s="80"/>
      <c r="AC40" s="80"/>
      <c r="AD40" s="80"/>
    </row>
    <row x14ac:dyDescent="0.25" r="41" customHeight="1" ht="40.5">
      <c r="A41" s="69"/>
      <c r="B41" s="82" t="s">
        <v>900</v>
      </c>
      <c r="C41" s="71" t="s">
        <v>864</v>
      </c>
      <c r="D41" s="72"/>
      <c r="E41" s="73">
        <v>98</v>
      </c>
      <c r="F41" s="74">
        <f>E41-G41</f>
      </c>
      <c r="G41" s="74"/>
      <c r="H41" s="75"/>
      <c r="I41" s="75"/>
      <c r="J41" s="75">
        <f>G41*H41</f>
      </c>
      <c r="K41" s="75">
        <v>5916947.91</v>
      </c>
      <c r="L41" s="75">
        <v>2791</v>
      </c>
      <c r="M41" s="75">
        <v>2120.01</v>
      </c>
      <c r="N41" s="75">
        <f>L41*M41</f>
      </c>
      <c r="O41" s="75">
        <f>(I41+J41)-N41</f>
      </c>
      <c r="P41" s="75"/>
      <c r="Q41" s="76" t="s">
        <v>884</v>
      </c>
      <c r="R41" s="77" t="s">
        <v>833</v>
      </c>
      <c r="S41" s="78" t="s">
        <v>834</v>
      </c>
      <c r="T41" s="78" t="s">
        <v>835</v>
      </c>
      <c r="U41" s="82"/>
      <c r="V41" s="50"/>
      <c r="W41" s="50"/>
      <c r="X41" s="80"/>
      <c r="Y41" s="80"/>
      <c r="Z41" s="80"/>
      <c r="AA41" s="80"/>
      <c r="AB41" s="80"/>
      <c r="AC41" s="80"/>
      <c r="AD41" s="80"/>
    </row>
    <row x14ac:dyDescent="0.25" r="42" customHeight="1" ht="25.350000000000005">
      <c r="A42" s="69"/>
      <c r="B42" s="93" t="s">
        <v>901</v>
      </c>
      <c r="C42" s="71" t="s">
        <v>864</v>
      </c>
      <c r="D42" s="72"/>
      <c r="E42" s="73">
        <v>73</v>
      </c>
      <c r="F42" s="74">
        <f>E42-G42</f>
      </c>
      <c r="G42" s="74"/>
      <c r="H42" s="75">
        <f>D42*2120.01</f>
      </c>
      <c r="I42" s="75"/>
      <c r="J42" s="75">
        <f>G42*H42</f>
      </c>
      <c r="K42" s="75">
        <v>13911505.62</v>
      </c>
      <c r="L42" s="75">
        <v>6562</v>
      </c>
      <c r="M42" s="75">
        <v>2120.01</v>
      </c>
      <c r="N42" s="75">
        <f>L42*M42</f>
      </c>
      <c r="O42" s="75">
        <f>(I42+J42)-N42</f>
      </c>
      <c r="P42" s="75"/>
      <c r="Q42" s="76" t="s">
        <v>884</v>
      </c>
      <c r="R42" s="77" t="s">
        <v>833</v>
      </c>
      <c r="S42" s="78" t="s">
        <v>834</v>
      </c>
      <c r="T42" s="78" t="s">
        <v>835</v>
      </c>
      <c r="U42" s="82"/>
      <c r="V42" s="50"/>
      <c r="W42" s="50"/>
      <c r="X42" s="80"/>
      <c r="Y42" s="80"/>
      <c r="Z42" s="80"/>
      <c r="AA42" s="80"/>
      <c r="AB42" s="80"/>
      <c r="AC42" s="80"/>
      <c r="AD42" s="80"/>
    </row>
    <row x14ac:dyDescent="0.25" r="43" customHeight="1" ht="25.350000000000005">
      <c r="A43" s="69"/>
      <c r="B43" s="70" t="s">
        <v>902</v>
      </c>
      <c r="C43" s="71" t="s">
        <v>864</v>
      </c>
      <c r="D43" s="72"/>
      <c r="E43" s="73">
        <v>30</v>
      </c>
      <c r="F43" s="74">
        <f>E43-G43</f>
      </c>
      <c r="G43" s="74"/>
      <c r="H43" s="75">
        <f>D43*2120.01</f>
      </c>
      <c r="I43" s="75">
        <f>F43*H43</f>
      </c>
      <c r="J43" s="75">
        <f>G43*H43</f>
      </c>
      <c r="K43" s="75"/>
      <c r="L43" s="75">
        <f>D43*E43</f>
      </c>
      <c r="M43" s="75">
        <v>2120.01</v>
      </c>
      <c r="N43" s="75">
        <f>L43*M43</f>
      </c>
      <c r="O43" s="75">
        <f>(I43+J43)-N43</f>
      </c>
      <c r="P43" s="75"/>
      <c r="Q43" s="76" t="s">
        <v>884</v>
      </c>
      <c r="R43" s="77" t="s">
        <v>833</v>
      </c>
      <c r="S43" s="78" t="s">
        <v>834</v>
      </c>
      <c r="T43" s="78" t="s">
        <v>835</v>
      </c>
      <c r="U43" s="82"/>
      <c r="V43" s="50"/>
      <c r="W43" s="50"/>
      <c r="X43" s="80"/>
      <c r="Y43" s="80"/>
      <c r="Z43" s="80"/>
      <c r="AA43" s="80"/>
      <c r="AB43" s="80"/>
      <c r="AC43" s="80"/>
      <c r="AD43" s="80"/>
    </row>
    <row x14ac:dyDescent="0.25" r="44" customHeight="1" ht="25.350000000000005">
      <c r="A44" s="69"/>
      <c r="B44" s="70" t="s">
        <v>903</v>
      </c>
      <c r="C44" s="71" t="s">
        <v>864</v>
      </c>
      <c r="D44" s="72"/>
      <c r="E44" s="73">
        <v>5</v>
      </c>
      <c r="F44" s="74">
        <f>E44-G44</f>
      </c>
      <c r="G44" s="74"/>
      <c r="H44" s="75">
        <f>D44*2120.01</f>
      </c>
      <c r="I44" s="75">
        <f>F44*H44</f>
      </c>
      <c r="J44" s="75">
        <f>G44*H44</f>
      </c>
      <c r="K44" s="75"/>
      <c r="L44" s="75">
        <f>D44*E44</f>
      </c>
      <c r="M44" s="75">
        <v>2120.01</v>
      </c>
      <c r="N44" s="75">
        <f>L44*M44</f>
      </c>
      <c r="O44" s="75">
        <f>(I44+J44)-N44</f>
      </c>
      <c r="P44" s="75"/>
      <c r="Q44" s="76" t="s">
        <v>884</v>
      </c>
      <c r="R44" s="77" t="s">
        <v>833</v>
      </c>
      <c r="S44" s="78" t="s">
        <v>834</v>
      </c>
      <c r="T44" s="78" t="s">
        <v>835</v>
      </c>
      <c r="U44" s="82"/>
      <c r="V44" s="50"/>
      <c r="W44" s="50"/>
      <c r="X44" s="80"/>
      <c r="Y44" s="80"/>
      <c r="Z44" s="80"/>
      <c r="AA44" s="80"/>
      <c r="AB44" s="80"/>
      <c r="AC44" s="80"/>
      <c r="AD44" s="80"/>
    </row>
    <row x14ac:dyDescent="0.25" r="45" customHeight="1" ht="25.350000000000005">
      <c r="A45" s="69"/>
      <c r="B45" s="70" t="s">
        <v>904</v>
      </c>
      <c r="C45" s="71" t="s">
        <v>864</v>
      </c>
      <c r="D45" s="72"/>
      <c r="E45" s="73">
        <v>4</v>
      </c>
      <c r="F45" s="74">
        <f>E45-G45</f>
      </c>
      <c r="G45" s="74"/>
      <c r="H45" s="75">
        <f>D45*2120.01</f>
      </c>
      <c r="I45" s="75">
        <f>F45*H45</f>
      </c>
      <c r="J45" s="75">
        <f>G45*H45</f>
      </c>
      <c r="K45" s="75"/>
      <c r="L45" s="75">
        <f>D45*E45</f>
      </c>
      <c r="M45" s="75">
        <v>2120.01</v>
      </c>
      <c r="N45" s="75">
        <f>L45*M45</f>
      </c>
      <c r="O45" s="75">
        <f>(I45+J45)-N45</f>
      </c>
      <c r="P45" s="75"/>
      <c r="Q45" s="76" t="s">
        <v>884</v>
      </c>
      <c r="R45" s="77" t="s">
        <v>833</v>
      </c>
      <c r="S45" s="78" t="s">
        <v>834</v>
      </c>
      <c r="T45" s="78" t="s">
        <v>835</v>
      </c>
      <c r="U45" s="82"/>
      <c r="V45" s="50"/>
      <c r="W45" s="50"/>
      <c r="X45" s="80"/>
      <c r="Y45" s="80"/>
      <c r="Z45" s="80"/>
      <c r="AA45" s="80"/>
      <c r="AB45" s="80"/>
      <c r="AC45" s="80"/>
      <c r="AD45" s="80"/>
    </row>
    <row x14ac:dyDescent="0.25" r="46" customHeight="1" ht="25.350000000000005">
      <c r="A46" s="69"/>
      <c r="B46" s="70" t="s">
        <v>905</v>
      </c>
      <c r="C46" s="71" t="s">
        <v>864</v>
      </c>
      <c r="D46" s="72"/>
      <c r="E46" s="73">
        <v>4</v>
      </c>
      <c r="F46" s="74">
        <f>E46-G46</f>
      </c>
      <c r="G46" s="74"/>
      <c r="H46" s="75">
        <f>D46*2120.01</f>
      </c>
      <c r="I46" s="75">
        <f>F46*H46</f>
      </c>
      <c r="J46" s="75">
        <f>G46*H46</f>
      </c>
      <c r="K46" s="75"/>
      <c r="L46" s="75">
        <f>D46*E46</f>
      </c>
      <c r="M46" s="75">
        <v>2120.01</v>
      </c>
      <c r="N46" s="75">
        <f>L46*M46</f>
      </c>
      <c r="O46" s="75">
        <f>(I46+J46)-N46</f>
      </c>
      <c r="P46" s="75"/>
      <c r="Q46" s="76" t="s">
        <v>884</v>
      </c>
      <c r="R46" s="77" t="s">
        <v>833</v>
      </c>
      <c r="S46" s="78" t="s">
        <v>834</v>
      </c>
      <c r="T46" s="78" t="s">
        <v>835</v>
      </c>
      <c r="U46" s="82"/>
      <c r="V46" s="50"/>
      <c r="W46" s="50"/>
      <c r="X46" s="80"/>
      <c r="Y46" s="80"/>
      <c r="Z46" s="80"/>
      <c r="AA46" s="80"/>
      <c r="AB46" s="80"/>
      <c r="AC46" s="80"/>
      <c r="AD46" s="80"/>
    </row>
    <row x14ac:dyDescent="0.25" r="47" customHeight="1" ht="25.350000000000005">
      <c r="A47" s="69"/>
      <c r="B47" s="70" t="s">
        <v>906</v>
      </c>
      <c r="C47" s="71" t="s">
        <v>864</v>
      </c>
      <c r="D47" s="72"/>
      <c r="E47" s="73">
        <v>4</v>
      </c>
      <c r="F47" s="74">
        <f>E47-G47</f>
      </c>
      <c r="G47" s="74"/>
      <c r="H47" s="75">
        <f>D47*2120.01</f>
      </c>
      <c r="I47" s="75">
        <f>F47*H47</f>
      </c>
      <c r="J47" s="75">
        <f>G47*H47</f>
      </c>
      <c r="K47" s="75"/>
      <c r="L47" s="75">
        <f>D47*E47</f>
      </c>
      <c r="M47" s="75">
        <v>2120.01</v>
      </c>
      <c r="N47" s="75">
        <f>L47*M47</f>
      </c>
      <c r="O47" s="75">
        <f>(I47+J47)-N47</f>
      </c>
      <c r="P47" s="75"/>
      <c r="Q47" s="76" t="s">
        <v>884</v>
      </c>
      <c r="R47" s="77" t="s">
        <v>833</v>
      </c>
      <c r="S47" s="78" t="s">
        <v>834</v>
      </c>
      <c r="T47" s="78" t="s">
        <v>835</v>
      </c>
      <c r="U47" s="82"/>
      <c r="V47" s="50"/>
      <c r="W47" s="50"/>
      <c r="X47" s="80"/>
      <c r="Y47" s="80"/>
      <c r="Z47" s="80"/>
      <c r="AA47" s="80"/>
      <c r="AB47" s="80"/>
      <c r="AC47" s="80"/>
      <c r="AD47" s="80"/>
    </row>
    <row x14ac:dyDescent="0.25" r="48" customHeight="1" ht="25.350000000000005">
      <c r="A48" s="69"/>
      <c r="B48" s="70" t="s">
        <v>907</v>
      </c>
      <c r="C48" s="71" t="s">
        <v>864</v>
      </c>
      <c r="D48" s="72"/>
      <c r="E48" s="73">
        <v>10</v>
      </c>
      <c r="F48" s="74">
        <f>E48-G48</f>
      </c>
      <c r="G48" s="74"/>
      <c r="H48" s="75">
        <f>D48*2120.01</f>
      </c>
      <c r="I48" s="75">
        <f>F48*H48</f>
      </c>
      <c r="J48" s="75">
        <f>G48*H48</f>
      </c>
      <c r="K48" s="75"/>
      <c r="L48" s="75">
        <f>D48*E48</f>
      </c>
      <c r="M48" s="75">
        <v>2120.01</v>
      </c>
      <c r="N48" s="75">
        <f>L48*M48</f>
      </c>
      <c r="O48" s="75">
        <f>(I48+J48)-N48</f>
      </c>
      <c r="P48" s="75"/>
      <c r="Q48" s="76" t="s">
        <v>884</v>
      </c>
      <c r="R48" s="77" t="s">
        <v>833</v>
      </c>
      <c r="S48" s="78" t="s">
        <v>834</v>
      </c>
      <c r="T48" s="78" t="s">
        <v>835</v>
      </c>
      <c r="U48" s="83"/>
      <c r="V48" s="50"/>
      <c r="W48" s="50"/>
      <c r="X48" s="80"/>
      <c r="Y48" s="80"/>
      <c r="Z48" s="80"/>
      <c r="AA48" s="80"/>
      <c r="AB48" s="80"/>
      <c r="AC48" s="80"/>
      <c r="AD48" s="80"/>
    </row>
    <row x14ac:dyDescent="0.25" r="49" customHeight="1" ht="25.350000000000005">
      <c r="A49" s="69"/>
      <c r="B49" s="70" t="s">
        <v>908</v>
      </c>
      <c r="C49" s="71" t="s">
        <v>864</v>
      </c>
      <c r="D49" s="72"/>
      <c r="E49" s="73">
        <v>4</v>
      </c>
      <c r="F49" s="74">
        <f>E49-G49</f>
      </c>
      <c r="G49" s="74"/>
      <c r="H49" s="75">
        <f>D49*2120.01</f>
      </c>
      <c r="I49" s="75">
        <f>F49*H49</f>
      </c>
      <c r="J49" s="75">
        <f>G49*H49</f>
      </c>
      <c r="K49" s="75"/>
      <c r="L49" s="75">
        <f>D49*E49</f>
      </c>
      <c r="M49" s="75">
        <v>2120.01</v>
      </c>
      <c r="N49" s="75">
        <f>L49*M49</f>
      </c>
      <c r="O49" s="75">
        <f>(I49+J49)-N49</f>
      </c>
      <c r="P49" s="75"/>
      <c r="Q49" s="76" t="s">
        <v>884</v>
      </c>
      <c r="R49" s="77" t="s">
        <v>833</v>
      </c>
      <c r="S49" s="78" t="s">
        <v>834</v>
      </c>
      <c r="T49" s="78" t="s">
        <v>835</v>
      </c>
      <c r="U49" s="81"/>
      <c r="V49" s="50"/>
      <c r="W49" s="50"/>
      <c r="X49" s="80"/>
      <c r="Y49" s="80"/>
      <c r="Z49" s="80"/>
      <c r="AA49" s="80"/>
      <c r="AB49" s="80"/>
      <c r="AC49" s="80"/>
      <c r="AD49" s="80"/>
    </row>
    <row x14ac:dyDescent="0.25" r="50" customHeight="1" ht="25.350000000000005">
      <c r="A50" s="69"/>
      <c r="B50" s="70" t="s">
        <v>909</v>
      </c>
      <c r="C50" s="71" t="s">
        <v>864</v>
      </c>
      <c r="D50" s="72"/>
      <c r="E50" s="73">
        <v>4</v>
      </c>
      <c r="F50" s="74">
        <f>E50-G50</f>
      </c>
      <c r="G50" s="74"/>
      <c r="H50" s="75">
        <f>D50*2120.01</f>
      </c>
      <c r="I50" s="75">
        <f>F50*H50</f>
      </c>
      <c r="J50" s="75">
        <f>G50*H50</f>
      </c>
      <c r="K50" s="75"/>
      <c r="L50" s="75">
        <f>D50*E50</f>
      </c>
      <c r="M50" s="75">
        <v>2120.01</v>
      </c>
      <c r="N50" s="75">
        <f>L50*M50</f>
      </c>
      <c r="O50" s="75">
        <f>(I50+J50)-N50</f>
      </c>
      <c r="P50" s="75"/>
      <c r="Q50" s="76" t="s">
        <v>884</v>
      </c>
      <c r="R50" s="77" t="s">
        <v>833</v>
      </c>
      <c r="S50" s="78" t="s">
        <v>834</v>
      </c>
      <c r="T50" s="78" t="s">
        <v>835</v>
      </c>
      <c r="U50" s="82"/>
      <c r="V50" s="50"/>
      <c r="W50" s="50"/>
      <c r="X50" s="80"/>
      <c r="Y50" s="80"/>
      <c r="Z50" s="80"/>
      <c r="AA50" s="80"/>
      <c r="AB50" s="80"/>
      <c r="AC50" s="80"/>
      <c r="AD50" s="80"/>
    </row>
    <row x14ac:dyDescent="0.25" r="51" customHeight="1" ht="25.350000000000005">
      <c r="A51" s="69"/>
      <c r="B51" s="70" t="s">
        <v>910</v>
      </c>
      <c r="C51" s="71" t="s">
        <v>864</v>
      </c>
      <c r="D51" s="72"/>
      <c r="E51" s="73">
        <v>4</v>
      </c>
      <c r="F51" s="74">
        <f>E51-G51</f>
      </c>
      <c r="G51" s="74"/>
      <c r="H51" s="75">
        <f>D51*2120.01</f>
      </c>
      <c r="I51" s="75">
        <f>F51*H51</f>
      </c>
      <c r="J51" s="75">
        <f>G51*H51</f>
      </c>
      <c r="K51" s="75"/>
      <c r="L51" s="75">
        <f>D51*E51</f>
      </c>
      <c r="M51" s="75">
        <v>2120.01</v>
      </c>
      <c r="N51" s="75">
        <f>L51*M51</f>
      </c>
      <c r="O51" s="75">
        <f>(I51+J51)-N51</f>
      </c>
      <c r="P51" s="75"/>
      <c r="Q51" s="76" t="s">
        <v>884</v>
      </c>
      <c r="R51" s="77" t="s">
        <v>833</v>
      </c>
      <c r="S51" s="78" t="s">
        <v>834</v>
      </c>
      <c r="T51" s="78" t="s">
        <v>835</v>
      </c>
      <c r="U51" s="83"/>
      <c r="V51" s="50"/>
      <c r="W51" s="50"/>
      <c r="X51" s="80"/>
      <c r="Y51" s="80"/>
      <c r="Z51" s="80"/>
      <c r="AA51" s="80"/>
      <c r="AB51" s="80"/>
      <c r="AC51" s="80"/>
      <c r="AD51" s="80"/>
    </row>
    <row x14ac:dyDescent="0.25" r="52" customHeight="1" ht="25.350000000000005">
      <c r="A52" s="69"/>
      <c r="B52" s="82" t="s">
        <v>911</v>
      </c>
      <c r="C52" s="71" t="s">
        <v>864</v>
      </c>
      <c r="D52" s="72"/>
      <c r="E52" s="73">
        <v>6</v>
      </c>
      <c r="F52" s="74">
        <f>E52-G52</f>
      </c>
      <c r="G52" s="74"/>
      <c r="H52" s="75">
        <f>D52*2120.01</f>
      </c>
      <c r="I52" s="75">
        <f>F52*H52</f>
      </c>
      <c r="J52" s="75">
        <f>G52*H52</f>
      </c>
      <c r="K52" s="75"/>
      <c r="L52" s="75">
        <f>D52*E52</f>
      </c>
      <c r="M52" s="75">
        <v>2120.01</v>
      </c>
      <c r="N52" s="75">
        <f>L52*M52</f>
      </c>
      <c r="O52" s="75">
        <f>(I52+J52)-N52</f>
      </c>
      <c r="P52" s="75"/>
      <c r="Q52" s="76" t="s">
        <v>884</v>
      </c>
      <c r="R52" s="77" t="s">
        <v>833</v>
      </c>
      <c r="S52" s="78" t="s">
        <v>834</v>
      </c>
      <c r="T52" s="78" t="s">
        <v>835</v>
      </c>
      <c r="U52" s="81"/>
      <c r="V52" s="50"/>
      <c r="W52" s="50"/>
      <c r="X52" s="80"/>
      <c r="Y52" s="80"/>
      <c r="Z52" s="80"/>
      <c r="AA52" s="80"/>
      <c r="AB52" s="80"/>
      <c r="AC52" s="80"/>
      <c r="AD52" s="80"/>
    </row>
    <row x14ac:dyDescent="0.25" r="53" customHeight="1" ht="25.350000000000005">
      <c r="A53" s="69"/>
      <c r="B53" s="70" t="s">
        <v>912</v>
      </c>
      <c r="C53" s="71" t="s">
        <v>864</v>
      </c>
      <c r="D53" s="72"/>
      <c r="E53" s="73">
        <v>8</v>
      </c>
      <c r="F53" s="74">
        <f>E53-G53</f>
      </c>
      <c r="G53" s="74"/>
      <c r="H53" s="75">
        <f>D53*2120.01</f>
      </c>
      <c r="I53" s="75">
        <f>F53*H53</f>
      </c>
      <c r="J53" s="75">
        <f>G53*H53</f>
      </c>
      <c r="K53" s="75"/>
      <c r="L53" s="75">
        <f>D53*E53</f>
      </c>
      <c r="M53" s="75">
        <v>2120.01</v>
      </c>
      <c r="N53" s="75">
        <f>L53*M53</f>
      </c>
      <c r="O53" s="75">
        <f>(I53+J53)-N53</f>
      </c>
      <c r="P53" s="75"/>
      <c r="Q53" s="76" t="s">
        <v>884</v>
      </c>
      <c r="R53" s="77" t="s">
        <v>833</v>
      </c>
      <c r="S53" s="78" t="s">
        <v>834</v>
      </c>
      <c r="T53" s="78" t="s">
        <v>835</v>
      </c>
      <c r="U53" s="82"/>
      <c r="V53" s="50"/>
      <c r="W53" s="50"/>
      <c r="X53" s="80"/>
      <c r="Y53" s="80"/>
      <c r="Z53" s="80"/>
      <c r="AA53" s="80"/>
      <c r="AB53" s="80"/>
      <c r="AC53" s="80"/>
      <c r="AD53" s="80"/>
    </row>
    <row x14ac:dyDescent="0.25" r="54" customHeight="1" ht="25.350000000000005">
      <c r="A54" s="69"/>
      <c r="B54" s="70" t="s">
        <v>913</v>
      </c>
      <c r="C54" s="71" t="s">
        <v>864</v>
      </c>
      <c r="D54" s="72"/>
      <c r="E54" s="73">
        <v>6</v>
      </c>
      <c r="F54" s="74">
        <f>E54-G54</f>
      </c>
      <c r="G54" s="74"/>
      <c r="H54" s="75">
        <f>D54*2120.01</f>
      </c>
      <c r="I54" s="75">
        <f>F54*H54</f>
      </c>
      <c r="J54" s="75">
        <f>G54*H54</f>
      </c>
      <c r="K54" s="75"/>
      <c r="L54" s="75">
        <f>D54*E54</f>
      </c>
      <c r="M54" s="75">
        <v>2120.01</v>
      </c>
      <c r="N54" s="75">
        <f>L54*M54</f>
      </c>
      <c r="O54" s="75">
        <f>(I54+J54)-N54</f>
      </c>
      <c r="P54" s="75"/>
      <c r="Q54" s="76" t="s">
        <v>884</v>
      </c>
      <c r="R54" s="77" t="s">
        <v>833</v>
      </c>
      <c r="S54" s="78" t="s">
        <v>834</v>
      </c>
      <c r="T54" s="78" t="s">
        <v>835</v>
      </c>
      <c r="U54" s="83"/>
      <c r="V54" s="50"/>
      <c r="W54" s="50"/>
      <c r="X54" s="80"/>
      <c r="Y54" s="80"/>
      <c r="Z54" s="80"/>
      <c r="AA54" s="80"/>
      <c r="AB54" s="80"/>
      <c r="AC54" s="80"/>
      <c r="AD54" s="80"/>
    </row>
    <row x14ac:dyDescent="0.25" r="55" customHeight="1" ht="25.350000000000005">
      <c r="A55" s="69"/>
      <c r="B55" s="70" t="s">
        <v>914</v>
      </c>
      <c r="C55" s="71" t="s">
        <v>864</v>
      </c>
      <c r="D55" s="72"/>
      <c r="E55" s="73">
        <v>19</v>
      </c>
      <c r="F55" s="74">
        <f>E55-G55</f>
      </c>
      <c r="G55" s="74"/>
      <c r="H55" s="75">
        <f>D55*2120.01</f>
      </c>
      <c r="I55" s="75">
        <f>F55*H55</f>
      </c>
      <c r="J55" s="75">
        <f>G55*H55</f>
      </c>
      <c r="K55" s="75"/>
      <c r="L55" s="75">
        <f>D55*E55</f>
      </c>
      <c r="M55" s="75">
        <v>2120.01</v>
      </c>
      <c r="N55" s="75">
        <f>L55*M55</f>
      </c>
      <c r="O55" s="75">
        <f>(I55+J55)-N55</f>
      </c>
      <c r="P55" s="75"/>
      <c r="Q55" s="76" t="s">
        <v>884</v>
      </c>
      <c r="R55" s="77" t="s">
        <v>833</v>
      </c>
      <c r="S55" s="78" t="s">
        <v>834</v>
      </c>
      <c r="T55" s="78" t="s">
        <v>835</v>
      </c>
      <c r="U55" s="81"/>
      <c r="V55" s="50"/>
      <c r="W55" s="50"/>
      <c r="X55" s="80"/>
      <c r="Y55" s="80"/>
      <c r="Z55" s="80"/>
      <c r="AA55" s="80"/>
      <c r="AB55" s="80"/>
      <c r="AC55" s="80"/>
      <c r="AD55" s="80"/>
    </row>
    <row x14ac:dyDescent="0.25" r="56" customHeight="1" ht="25.350000000000005">
      <c r="A56" s="69"/>
      <c r="B56" s="70" t="s">
        <v>915</v>
      </c>
      <c r="C56" s="71" t="s">
        <v>864</v>
      </c>
      <c r="D56" s="72"/>
      <c r="E56" s="73">
        <v>9</v>
      </c>
      <c r="F56" s="74">
        <f>E56-G56</f>
      </c>
      <c r="G56" s="74"/>
      <c r="H56" s="75">
        <f>D56*2120.01</f>
      </c>
      <c r="I56" s="75">
        <f>F56*H56</f>
      </c>
      <c r="J56" s="75">
        <f>G56*H56</f>
      </c>
      <c r="K56" s="75"/>
      <c r="L56" s="75">
        <f>D56*E56</f>
      </c>
      <c r="M56" s="75">
        <v>2120.01</v>
      </c>
      <c r="N56" s="75">
        <f>L56*M56</f>
      </c>
      <c r="O56" s="75">
        <f>(I56+J56)-N56</f>
      </c>
      <c r="P56" s="75"/>
      <c r="Q56" s="76" t="s">
        <v>884</v>
      </c>
      <c r="R56" s="77" t="s">
        <v>833</v>
      </c>
      <c r="S56" s="78" t="s">
        <v>834</v>
      </c>
      <c r="T56" s="78" t="s">
        <v>835</v>
      </c>
      <c r="U56" s="82"/>
      <c r="V56" s="50"/>
      <c r="W56" s="50"/>
      <c r="X56" s="80"/>
      <c r="Y56" s="80"/>
      <c r="Z56" s="80"/>
      <c r="AA56" s="80"/>
      <c r="AB56" s="80"/>
      <c r="AC56" s="80"/>
      <c r="AD56" s="80"/>
    </row>
    <row x14ac:dyDescent="0.25" r="57" customHeight="1" ht="25.350000000000005">
      <c r="A57" s="69"/>
      <c r="B57" s="93" t="s">
        <v>916</v>
      </c>
      <c r="C57" s="71" t="s">
        <v>864</v>
      </c>
      <c r="D57" s="72"/>
      <c r="E57" s="73">
        <v>23</v>
      </c>
      <c r="F57" s="74">
        <f>E57-G57</f>
      </c>
      <c r="G57" s="74"/>
      <c r="H57" s="75">
        <f>D57*2120.01</f>
      </c>
      <c r="I57" s="75"/>
      <c r="J57" s="75">
        <f>G57*H57</f>
      </c>
      <c r="K57" s="75">
        <v>17772043.83</v>
      </c>
      <c r="L57" s="75">
        <v>8383</v>
      </c>
      <c r="M57" s="75">
        <v>2120.01</v>
      </c>
      <c r="N57" s="75">
        <f>L57*M57</f>
      </c>
      <c r="O57" s="75">
        <f>(I57+J57)-N57</f>
      </c>
      <c r="P57" s="75"/>
      <c r="Q57" s="76" t="s">
        <v>884</v>
      </c>
      <c r="R57" s="77" t="s">
        <v>833</v>
      </c>
      <c r="S57" s="78" t="s">
        <v>834</v>
      </c>
      <c r="T57" s="78" t="s">
        <v>835</v>
      </c>
      <c r="U57" s="82"/>
      <c r="V57" s="50"/>
      <c r="W57" s="50"/>
      <c r="X57" s="80"/>
      <c r="Y57" s="80"/>
      <c r="Z57" s="80"/>
      <c r="AA57" s="80"/>
      <c r="AB57" s="80"/>
      <c r="AC57" s="80"/>
      <c r="AD57" s="80"/>
    </row>
    <row x14ac:dyDescent="0.25" r="58" customHeight="1" ht="25.350000000000005">
      <c r="A58" s="69"/>
      <c r="B58" s="70" t="s">
        <v>917</v>
      </c>
      <c r="C58" s="71" t="s">
        <v>864</v>
      </c>
      <c r="D58" s="72"/>
      <c r="E58" s="73">
        <v>2</v>
      </c>
      <c r="F58" s="74">
        <f>E58-G58</f>
      </c>
      <c r="G58" s="74"/>
      <c r="H58" s="75">
        <f>D58*2120.01</f>
      </c>
      <c r="I58" s="75">
        <f>F58*H58</f>
      </c>
      <c r="J58" s="75">
        <f>G58*H58</f>
      </c>
      <c r="K58" s="75"/>
      <c r="L58" s="75">
        <f>D58*E58</f>
      </c>
      <c r="M58" s="75">
        <v>2120.01</v>
      </c>
      <c r="N58" s="75">
        <f>L58*M58</f>
      </c>
      <c r="O58" s="75">
        <f>(I58+J58)-N58</f>
      </c>
      <c r="P58" s="75"/>
      <c r="Q58" s="76" t="s">
        <v>884</v>
      </c>
      <c r="R58" s="77" t="s">
        <v>833</v>
      </c>
      <c r="S58" s="78" t="s">
        <v>834</v>
      </c>
      <c r="T58" s="78" t="s">
        <v>835</v>
      </c>
      <c r="U58" s="82"/>
      <c r="V58" s="50"/>
      <c r="W58" s="50"/>
      <c r="X58" s="80"/>
      <c r="Y58" s="80"/>
      <c r="Z58" s="80"/>
      <c r="AA58" s="80"/>
      <c r="AB58" s="80"/>
      <c r="AC58" s="80"/>
      <c r="AD58" s="80"/>
    </row>
    <row x14ac:dyDescent="0.25" r="59" customHeight="1" ht="25.350000000000005">
      <c r="A59" s="69"/>
      <c r="B59" s="70" t="s">
        <v>918</v>
      </c>
      <c r="C59" s="71" t="s">
        <v>864</v>
      </c>
      <c r="D59" s="72"/>
      <c r="E59" s="73">
        <v>2</v>
      </c>
      <c r="F59" s="74">
        <f>E59-G59</f>
      </c>
      <c r="G59" s="74"/>
      <c r="H59" s="75">
        <f>D59*2120.01</f>
      </c>
      <c r="I59" s="75">
        <f>F59*H59</f>
      </c>
      <c r="J59" s="75">
        <f>G59*H59</f>
      </c>
      <c r="K59" s="75"/>
      <c r="L59" s="75">
        <f>D59*E59</f>
      </c>
      <c r="M59" s="75">
        <v>2120.01</v>
      </c>
      <c r="N59" s="75">
        <f>L59*M59</f>
      </c>
      <c r="O59" s="75">
        <f>(I59+J59)-N59</f>
      </c>
      <c r="P59" s="75"/>
      <c r="Q59" s="76" t="s">
        <v>884</v>
      </c>
      <c r="R59" s="77" t="s">
        <v>833</v>
      </c>
      <c r="S59" s="78" t="s">
        <v>834</v>
      </c>
      <c r="T59" s="78" t="s">
        <v>835</v>
      </c>
      <c r="U59" s="82"/>
      <c r="V59" s="50"/>
      <c r="W59" s="50"/>
      <c r="X59" s="80"/>
      <c r="Y59" s="80"/>
      <c r="Z59" s="80"/>
      <c r="AA59" s="80"/>
      <c r="AB59" s="80"/>
      <c r="AC59" s="80"/>
      <c r="AD59" s="80"/>
    </row>
    <row x14ac:dyDescent="0.25" r="60" customHeight="1" ht="25.350000000000005">
      <c r="A60" s="69"/>
      <c r="B60" s="70" t="s">
        <v>919</v>
      </c>
      <c r="C60" s="71" t="s">
        <v>864</v>
      </c>
      <c r="D60" s="72">
        <v>697</v>
      </c>
      <c r="E60" s="73">
        <v>2</v>
      </c>
      <c r="F60" s="74">
        <f>E60-G60</f>
      </c>
      <c r="G60" s="74"/>
      <c r="H60" s="75"/>
      <c r="I60" s="75"/>
      <c r="J60" s="75">
        <f>G60*H60</f>
      </c>
      <c r="K60" s="75">
        <v>2955293.9400000004</v>
      </c>
      <c r="L60" s="75">
        <f>D60*E60</f>
      </c>
      <c r="M60" s="75">
        <v>2120.01</v>
      </c>
      <c r="N60" s="75">
        <f>L60*M60</f>
      </c>
      <c r="O60" s="75">
        <f>(I60+J60)-N60</f>
      </c>
      <c r="P60" s="75"/>
      <c r="Q60" s="76" t="s">
        <v>884</v>
      </c>
      <c r="R60" s="77" t="s">
        <v>833</v>
      </c>
      <c r="S60" s="78" t="s">
        <v>834</v>
      </c>
      <c r="T60" s="78" t="s">
        <v>835</v>
      </c>
      <c r="U60" s="82"/>
      <c r="V60" s="50"/>
      <c r="W60" s="50"/>
      <c r="X60" s="80"/>
      <c r="Y60" s="80"/>
      <c r="Z60" s="80"/>
      <c r="AA60" s="80"/>
      <c r="AB60" s="80"/>
      <c r="AC60" s="80"/>
      <c r="AD60" s="80"/>
    </row>
    <row x14ac:dyDescent="0.25" r="61" customHeight="1" ht="25.350000000000005">
      <c r="A61" s="69"/>
      <c r="B61" s="70" t="s">
        <v>920</v>
      </c>
      <c r="C61" s="71" t="s">
        <v>864</v>
      </c>
      <c r="D61" s="72"/>
      <c r="E61" s="73">
        <v>2</v>
      </c>
      <c r="F61" s="74">
        <f>E61-G61</f>
      </c>
      <c r="G61" s="74"/>
      <c r="H61" s="75">
        <f>D61*2120.01</f>
      </c>
      <c r="I61" s="75">
        <f>F61*H61</f>
      </c>
      <c r="J61" s="75">
        <f>G61*H61</f>
      </c>
      <c r="K61" s="75"/>
      <c r="L61" s="75">
        <f>D61*E61</f>
      </c>
      <c r="M61" s="75">
        <v>2120.01</v>
      </c>
      <c r="N61" s="75">
        <f>L61*M61</f>
      </c>
      <c r="O61" s="75">
        <f>(I61+J61)-N61</f>
      </c>
      <c r="P61" s="75"/>
      <c r="Q61" s="76" t="s">
        <v>884</v>
      </c>
      <c r="R61" s="77" t="s">
        <v>833</v>
      </c>
      <c r="S61" s="78" t="s">
        <v>834</v>
      </c>
      <c r="T61" s="78" t="s">
        <v>835</v>
      </c>
      <c r="U61" s="82"/>
      <c r="V61" s="50"/>
      <c r="W61" s="50"/>
      <c r="X61" s="80"/>
      <c r="Y61" s="80"/>
      <c r="Z61" s="80"/>
      <c r="AA61" s="80"/>
      <c r="AB61" s="80"/>
      <c r="AC61" s="80"/>
      <c r="AD61" s="80"/>
    </row>
    <row x14ac:dyDescent="0.25" r="62" customHeight="1" ht="25.350000000000005">
      <c r="A62" s="69"/>
      <c r="B62" s="70" t="s">
        <v>921</v>
      </c>
      <c r="C62" s="71" t="s">
        <v>864</v>
      </c>
      <c r="D62" s="72"/>
      <c r="E62" s="73">
        <v>2</v>
      </c>
      <c r="F62" s="74">
        <f>E62-G62</f>
      </c>
      <c r="G62" s="74"/>
      <c r="H62" s="75">
        <f>D62*2120.01</f>
      </c>
      <c r="I62" s="75">
        <f>F62*H62</f>
      </c>
      <c r="J62" s="75">
        <f>G62*H62</f>
      </c>
      <c r="K62" s="75"/>
      <c r="L62" s="75">
        <f>D62*E62</f>
      </c>
      <c r="M62" s="75">
        <v>2120.01</v>
      </c>
      <c r="N62" s="75">
        <f>L62*M62</f>
      </c>
      <c r="O62" s="75">
        <f>(I62+J62)-N62</f>
      </c>
      <c r="P62" s="75"/>
      <c r="Q62" s="76" t="s">
        <v>884</v>
      </c>
      <c r="R62" s="77" t="s">
        <v>833</v>
      </c>
      <c r="S62" s="78" t="s">
        <v>834</v>
      </c>
      <c r="T62" s="78" t="s">
        <v>835</v>
      </c>
      <c r="U62" s="82"/>
      <c r="V62" s="50"/>
      <c r="W62" s="50"/>
      <c r="X62" s="80"/>
      <c r="Y62" s="80"/>
      <c r="Z62" s="80"/>
      <c r="AA62" s="80"/>
      <c r="AB62" s="80"/>
      <c r="AC62" s="80"/>
      <c r="AD62" s="80"/>
    </row>
    <row x14ac:dyDescent="0.25" r="63" customHeight="1" ht="25.350000000000005">
      <c r="A63" s="69"/>
      <c r="B63" s="70" t="s">
        <v>922</v>
      </c>
      <c r="C63" s="71" t="s">
        <v>864</v>
      </c>
      <c r="D63" s="72"/>
      <c r="E63" s="73">
        <v>2</v>
      </c>
      <c r="F63" s="74">
        <f>E63-G63</f>
      </c>
      <c r="G63" s="74"/>
      <c r="H63" s="75">
        <f>D63*2120.01</f>
      </c>
      <c r="I63" s="75">
        <f>F63*H63</f>
      </c>
      <c r="J63" s="75">
        <f>G63*H63</f>
      </c>
      <c r="K63" s="75"/>
      <c r="L63" s="75">
        <f>D63*E63</f>
      </c>
      <c r="M63" s="75">
        <v>2120.01</v>
      </c>
      <c r="N63" s="75">
        <f>L63*M63</f>
      </c>
      <c r="O63" s="75">
        <f>(I63+J63)-N63</f>
      </c>
      <c r="P63" s="75"/>
      <c r="Q63" s="76" t="s">
        <v>884</v>
      </c>
      <c r="R63" s="77" t="s">
        <v>833</v>
      </c>
      <c r="S63" s="78" t="s">
        <v>834</v>
      </c>
      <c r="T63" s="78" t="s">
        <v>835</v>
      </c>
      <c r="U63" s="82"/>
      <c r="V63" s="50"/>
      <c r="W63" s="50"/>
      <c r="X63" s="80"/>
      <c r="Y63" s="80"/>
      <c r="Z63" s="80"/>
      <c r="AA63" s="80"/>
      <c r="AB63" s="80"/>
      <c r="AC63" s="80"/>
      <c r="AD63" s="80"/>
    </row>
    <row x14ac:dyDescent="0.25" r="64" customHeight="1" ht="25.350000000000005">
      <c r="A64" s="69"/>
      <c r="B64" s="70" t="s">
        <v>923</v>
      </c>
      <c r="C64" s="71" t="s">
        <v>864</v>
      </c>
      <c r="D64" s="72"/>
      <c r="E64" s="73">
        <v>2</v>
      </c>
      <c r="F64" s="74">
        <f>E64-G64</f>
      </c>
      <c r="G64" s="74"/>
      <c r="H64" s="75">
        <f>D64*2120.01</f>
      </c>
      <c r="I64" s="75">
        <f>F64*H64</f>
      </c>
      <c r="J64" s="75">
        <f>G64*H64</f>
      </c>
      <c r="K64" s="75"/>
      <c r="L64" s="75">
        <f>D64*E64</f>
      </c>
      <c r="M64" s="75">
        <v>2120.01</v>
      </c>
      <c r="N64" s="75">
        <f>L64*M64</f>
      </c>
      <c r="O64" s="75">
        <f>(I64+J64)-N64</f>
      </c>
      <c r="P64" s="75"/>
      <c r="Q64" s="76" t="s">
        <v>884</v>
      </c>
      <c r="R64" s="77" t="s">
        <v>833</v>
      </c>
      <c r="S64" s="78" t="s">
        <v>834</v>
      </c>
      <c r="T64" s="78" t="s">
        <v>835</v>
      </c>
      <c r="U64" s="82"/>
      <c r="V64" s="50"/>
      <c r="W64" s="50"/>
      <c r="X64" s="80"/>
      <c r="Y64" s="80"/>
      <c r="Z64" s="80"/>
      <c r="AA64" s="80"/>
      <c r="AB64" s="80"/>
      <c r="AC64" s="80"/>
      <c r="AD64" s="80"/>
    </row>
    <row x14ac:dyDescent="0.25" r="65" customHeight="1" ht="25.350000000000005">
      <c r="A65" s="69"/>
      <c r="B65" s="70" t="s">
        <v>924</v>
      </c>
      <c r="C65" s="71" t="s">
        <v>864</v>
      </c>
      <c r="D65" s="72"/>
      <c r="E65" s="73">
        <v>1</v>
      </c>
      <c r="F65" s="74">
        <f>E65-G65</f>
      </c>
      <c r="G65" s="74"/>
      <c r="H65" s="75">
        <f>D65*2120.01</f>
      </c>
      <c r="I65" s="75">
        <f>F65*H65</f>
      </c>
      <c r="J65" s="75">
        <f>G65*H65</f>
      </c>
      <c r="K65" s="75"/>
      <c r="L65" s="75">
        <f>D65*E65</f>
      </c>
      <c r="M65" s="75">
        <v>2120.01</v>
      </c>
      <c r="N65" s="75">
        <f>L65*M65</f>
      </c>
      <c r="O65" s="75">
        <f>(I65+J65)-N65</f>
      </c>
      <c r="P65" s="75"/>
      <c r="Q65" s="76" t="s">
        <v>884</v>
      </c>
      <c r="R65" s="77" t="s">
        <v>833</v>
      </c>
      <c r="S65" s="78" t="s">
        <v>834</v>
      </c>
      <c r="T65" s="78" t="s">
        <v>835</v>
      </c>
      <c r="U65" s="82"/>
      <c r="V65" s="50"/>
      <c r="W65" s="50"/>
      <c r="X65" s="80"/>
      <c r="Y65" s="80"/>
      <c r="Z65" s="80"/>
      <c r="AA65" s="80"/>
      <c r="AB65" s="80"/>
      <c r="AC65" s="80"/>
      <c r="AD65" s="80"/>
    </row>
    <row x14ac:dyDescent="0.25" r="66" customHeight="1" ht="73.5">
      <c r="A66" s="69"/>
      <c r="B66" s="82" t="s">
        <v>925</v>
      </c>
      <c r="C66" s="71" t="s">
        <v>864</v>
      </c>
      <c r="D66" s="72"/>
      <c r="E66" s="73">
        <v>4</v>
      </c>
      <c r="F66" s="74">
        <f>E66-G66</f>
      </c>
      <c r="G66" s="74"/>
      <c r="H66" s="75">
        <f>D66*2120.01</f>
      </c>
      <c r="I66" s="75">
        <f>F66*H66</f>
      </c>
      <c r="J66" s="75">
        <f>G66*H66</f>
      </c>
      <c r="K66" s="75"/>
      <c r="L66" s="75">
        <f>D66*E66</f>
      </c>
      <c r="M66" s="75">
        <v>2120.01</v>
      </c>
      <c r="N66" s="75">
        <f>L66*M66</f>
      </c>
      <c r="O66" s="75">
        <f>(I66+J66)-N66</f>
      </c>
      <c r="P66" s="75"/>
      <c r="Q66" s="76" t="s">
        <v>884</v>
      </c>
      <c r="R66" s="77" t="s">
        <v>833</v>
      </c>
      <c r="S66" s="78" t="s">
        <v>834</v>
      </c>
      <c r="T66" s="78" t="s">
        <v>835</v>
      </c>
      <c r="U66" s="82"/>
      <c r="V66" s="50"/>
      <c r="W66" s="50"/>
      <c r="X66" s="80"/>
      <c r="Y66" s="80"/>
      <c r="Z66" s="80"/>
      <c r="AA66" s="80"/>
      <c r="AB66" s="80"/>
      <c r="AC66" s="80"/>
      <c r="AD66" s="80"/>
    </row>
    <row x14ac:dyDescent="0.25" r="67" customHeight="1" ht="41.25">
      <c r="A67" s="69"/>
      <c r="B67" s="82" t="s">
        <v>926</v>
      </c>
      <c r="C67" s="71" t="s">
        <v>864</v>
      </c>
      <c r="D67" s="72"/>
      <c r="E67" s="73">
        <v>2</v>
      </c>
      <c r="F67" s="74">
        <f>E67-G67</f>
      </c>
      <c r="G67" s="74"/>
      <c r="H67" s="75">
        <f>D67*2120.01</f>
      </c>
      <c r="I67" s="75">
        <f>F67*H67</f>
      </c>
      <c r="J67" s="75">
        <f>G67*H67</f>
      </c>
      <c r="K67" s="75"/>
      <c r="L67" s="75">
        <f>D67*E67</f>
      </c>
      <c r="M67" s="75">
        <v>2120.01</v>
      </c>
      <c r="N67" s="75">
        <f>L67*M67</f>
      </c>
      <c r="O67" s="75">
        <f>(I67+J67)-N67</f>
      </c>
      <c r="P67" s="75"/>
      <c r="Q67" s="76" t="s">
        <v>884</v>
      </c>
      <c r="R67" s="77" t="s">
        <v>833</v>
      </c>
      <c r="S67" s="78" t="s">
        <v>834</v>
      </c>
      <c r="T67" s="78" t="s">
        <v>835</v>
      </c>
      <c r="U67" s="82"/>
      <c r="V67" s="50"/>
      <c r="W67" s="50"/>
      <c r="X67" s="80"/>
      <c r="Y67" s="80"/>
      <c r="Z67" s="80"/>
      <c r="AA67" s="80"/>
      <c r="AB67" s="80"/>
      <c r="AC67" s="80"/>
      <c r="AD67" s="80"/>
    </row>
    <row x14ac:dyDescent="0.25" r="68" customHeight="1" ht="41.25">
      <c r="A68" s="69"/>
      <c r="B68" s="82" t="s">
        <v>927</v>
      </c>
      <c r="C68" s="71" t="s">
        <v>864</v>
      </c>
      <c r="D68" s="72"/>
      <c r="E68" s="73">
        <v>2</v>
      </c>
      <c r="F68" s="74">
        <f>E68-G68</f>
      </c>
      <c r="G68" s="74"/>
      <c r="H68" s="75">
        <f>D68*2120.01</f>
      </c>
      <c r="I68" s="75">
        <f>F68*H68</f>
      </c>
      <c r="J68" s="75">
        <f>G68*H68</f>
      </c>
      <c r="K68" s="75"/>
      <c r="L68" s="75">
        <f>D68*E68</f>
      </c>
      <c r="M68" s="75">
        <v>2120.01</v>
      </c>
      <c r="N68" s="75">
        <f>L68*M68</f>
      </c>
      <c r="O68" s="75">
        <f>(I68+J68)-N68</f>
      </c>
      <c r="P68" s="75"/>
      <c r="Q68" s="76" t="s">
        <v>884</v>
      </c>
      <c r="R68" s="77" t="s">
        <v>833</v>
      </c>
      <c r="S68" s="78" t="s">
        <v>834</v>
      </c>
      <c r="T68" s="78" t="s">
        <v>835</v>
      </c>
      <c r="U68" s="82"/>
      <c r="V68" s="50"/>
      <c r="W68" s="50"/>
      <c r="X68" s="80"/>
      <c r="Y68" s="80"/>
      <c r="Z68" s="80"/>
      <c r="AA68" s="80"/>
      <c r="AB68" s="80"/>
      <c r="AC68" s="80"/>
      <c r="AD68" s="80"/>
    </row>
    <row x14ac:dyDescent="0.25" r="69" customHeight="1" ht="40.95">
      <c r="A69" s="69">
        <v>10</v>
      </c>
      <c r="B69" s="70" t="s">
        <v>840</v>
      </c>
      <c r="C69" s="71" t="s">
        <v>831</v>
      </c>
      <c r="D69" s="72">
        <v>4.92</v>
      </c>
      <c r="E69" s="73">
        <v>20064</v>
      </c>
      <c r="F69" s="74">
        <f>E69-G69</f>
      </c>
      <c r="G69" s="74">
        <v>16175</v>
      </c>
      <c r="H69" s="75">
        <f>D69*2120.01</f>
      </c>
      <c r="I69" s="75">
        <f>F69*H69</f>
      </c>
      <c r="J69" s="75">
        <f>G69*H69</f>
      </c>
      <c r="K69" s="75"/>
      <c r="L69" s="75">
        <f>D69*E69</f>
      </c>
      <c r="M69" s="75">
        <v>2120.01</v>
      </c>
      <c r="N69" s="75">
        <f>L69*M69</f>
      </c>
      <c r="O69" s="75">
        <f>(I69+J69)-N69</f>
      </c>
      <c r="P69" s="75">
        <v>10430.45</v>
      </c>
      <c r="Q69" s="76" t="s">
        <v>928</v>
      </c>
      <c r="R69" s="70" t="s">
        <v>842</v>
      </c>
      <c r="S69" s="78" t="s">
        <v>843</v>
      </c>
      <c r="T69" s="78" t="s">
        <v>844</v>
      </c>
      <c r="U69" s="83" t="s">
        <v>929</v>
      </c>
      <c r="V69" s="50"/>
      <c r="W69" s="50"/>
      <c r="X69" s="80"/>
      <c r="Y69" s="80"/>
      <c r="Z69" s="80"/>
      <c r="AA69" s="80"/>
      <c r="AB69" s="80"/>
      <c r="AC69" s="80"/>
      <c r="AD69" s="80"/>
    </row>
    <row x14ac:dyDescent="0.25" r="70" customHeight="1" ht="62.4">
      <c r="A70" s="69">
        <v>11</v>
      </c>
      <c r="B70" s="82" t="s">
        <v>930</v>
      </c>
      <c r="C70" s="71" t="s">
        <v>831</v>
      </c>
      <c r="D70" s="72">
        <v>30.17</v>
      </c>
      <c r="E70" s="73">
        <v>300</v>
      </c>
      <c r="F70" s="74">
        <f>E70-G70</f>
      </c>
      <c r="G70" s="74"/>
      <c r="H70" s="75"/>
      <c r="I70" s="75">
        <v>19186090.500000004</v>
      </c>
      <c r="J70" s="75">
        <f>G70*H70</f>
      </c>
      <c r="K70" s="75"/>
      <c r="L70" s="75">
        <v>9050</v>
      </c>
      <c r="M70" s="75">
        <v>2120.01</v>
      </c>
      <c r="N70" s="75">
        <f>L70*M70</f>
      </c>
      <c r="O70" s="75">
        <f>(I70+J70)-N70</f>
      </c>
      <c r="P70" s="75">
        <v>63953.64</v>
      </c>
      <c r="Q70" s="76" t="s">
        <v>931</v>
      </c>
      <c r="R70" s="77" t="s">
        <v>932</v>
      </c>
      <c r="S70" s="78" t="s">
        <v>933</v>
      </c>
      <c r="T70" s="78" t="s">
        <v>835</v>
      </c>
      <c r="U70" s="83" t="s">
        <v>934</v>
      </c>
      <c r="V70" s="50"/>
      <c r="W70" s="50"/>
      <c r="X70" s="80"/>
      <c r="Y70" s="80"/>
      <c r="Z70" s="80"/>
      <c r="AA70" s="80"/>
      <c r="AB70" s="80"/>
      <c r="AC70" s="80"/>
      <c r="AD70" s="80"/>
    </row>
    <row x14ac:dyDescent="0.25" r="71" customHeight="1" ht="93.59999999999998">
      <c r="A71" s="69">
        <v>12</v>
      </c>
      <c r="B71" s="70" t="s">
        <v>935</v>
      </c>
      <c r="C71" s="71" t="s">
        <v>831</v>
      </c>
      <c r="D71" s="72">
        <v>1.7</v>
      </c>
      <c r="E71" s="73">
        <v>19270</v>
      </c>
      <c r="F71" s="74">
        <f>E71-G71</f>
      </c>
      <c r="G71" s="74">
        <v>9393</v>
      </c>
      <c r="H71" s="75">
        <f>D71*2120.01</f>
      </c>
      <c r="I71" s="75">
        <f>F71*H71</f>
      </c>
      <c r="J71" s="75">
        <f>G71*H71</f>
      </c>
      <c r="K71" s="75"/>
      <c r="L71" s="75">
        <f>D71*E71</f>
      </c>
      <c r="M71" s="75">
        <v>2120.01</v>
      </c>
      <c r="N71" s="75">
        <f>L71*M71</f>
      </c>
      <c r="O71" s="75">
        <f>(I71+J71)-N71</f>
      </c>
      <c r="P71" s="75">
        <v>3604.02</v>
      </c>
      <c r="Q71" s="76" t="s">
        <v>936</v>
      </c>
      <c r="R71" s="77" t="s">
        <v>932</v>
      </c>
      <c r="S71" s="78" t="s">
        <v>937</v>
      </c>
      <c r="T71" s="78" t="s">
        <v>844</v>
      </c>
      <c r="U71" s="83" t="s">
        <v>938</v>
      </c>
      <c r="V71" s="50"/>
      <c r="W71" s="50"/>
      <c r="X71" s="80"/>
      <c r="Y71" s="80"/>
      <c r="Z71" s="80"/>
      <c r="AA71" s="80"/>
      <c r="AB71" s="80"/>
      <c r="AC71" s="80"/>
      <c r="AD71" s="80"/>
    </row>
    <row x14ac:dyDescent="0.25" r="72" customHeight="1" ht="25.350000000000005">
      <c r="A72" s="69">
        <v>13</v>
      </c>
      <c r="B72" s="70" t="s">
        <v>939</v>
      </c>
      <c r="C72" s="71" t="s">
        <v>831</v>
      </c>
      <c r="D72" s="84">
        <v>2.33</v>
      </c>
      <c r="E72" s="73">
        <v>50400</v>
      </c>
      <c r="F72" s="74">
        <f>E72-G72</f>
      </c>
      <c r="G72" s="74"/>
      <c r="H72" s="75">
        <f>D72*2120.01</f>
      </c>
      <c r="I72" s="75">
        <f>F72*H72</f>
      </c>
      <c r="J72" s="75">
        <f>G72*H72</f>
      </c>
      <c r="K72" s="75"/>
      <c r="L72" s="75">
        <f>D72*E72</f>
      </c>
      <c r="M72" s="75">
        <v>2120.01</v>
      </c>
      <c r="N72" s="75">
        <f>L72*M72</f>
      </c>
      <c r="O72" s="75">
        <f>(I72+J72)-N72</f>
      </c>
      <c r="P72" s="75">
        <v>4939.62</v>
      </c>
      <c r="Q72" s="76" t="s">
        <v>940</v>
      </c>
      <c r="R72" s="77" t="s">
        <v>833</v>
      </c>
      <c r="S72" s="78" t="s">
        <v>834</v>
      </c>
      <c r="T72" s="78" t="s">
        <v>851</v>
      </c>
      <c r="U72" s="83" t="s">
        <v>941</v>
      </c>
      <c r="V72" s="50"/>
      <c r="W72" s="50"/>
      <c r="X72" s="80"/>
      <c r="Y72" s="80"/>
      <c r="Z72" s="80"/>
      <c r="AA72" s="80"/>
      <c r="AB72" s="80"/>
      <c r="AC72" s="80"/>
      <c r="AD72" s="80"/>
    </row>
    <row x14ac:dyDescent="0.25" r="73" customHeight="1" ht="25.350000000000005">
      <c r="A73" s="69"/>
      <c r="B73" s="70" t="s">
        <v>942</v>
      </c>
      <c r="C73" s="71" t="s">
        <v>831</v>
      </c>
      <c r="D73" s="84">
        <v>2.22</v>
      </c>
      <c r="E73" s="73">
        <v>16800</v>
      </c>
      <c r="F73" s="74">
        <f>E73-G73</f>
      </c>
      <c r="G73" s="74"/>
      <c r="H73" s="75">
        <f>D73*2120.01</f>
      </c>
      <c r="I73" s="75">
        <f>F73*H73</f>
      </c>
      <c r="J73" s="75">
        <f>G73*H73</f>
      </c>
      <c r="K73" s="75"/>
      <c r="L73" s="75">
        <f>D73*E73</f>
      </c>
      <c r="M73" s="75">
        <v>2120.01</v>
      </c>
      <c r="N73" s="75">
        <f>L73*M73</f>
      </c>
      <c r="O73" s="75">
        <f>(I73+J73)-N73</f>
      </c>
      <c r="P73" s="75">
        <v>4706.42</v>
      </c>
      <c r="Q73" s="76" t="s">
        <v>940</v>
      </c>
      <c r="R73" s="77" t="s">
        <v>833</v>
      </c>
      <c r="S73" s="78" t="s">
        <v>834</v>
      </c>
      <c r="T73" s="78" t="s">
        <v>851</v>
      </c>
      <c r="U73" s="90"/>
      <c r="V73" s="50"/>
      <c r="W73" s="50"/>
      <c r="X73" s="80"/>
      <c r="Y73" s="80"/>
      <c r="Z73" s="80"/>
      <c r="AA73" s="80"/>
      <c r="AB73" s="80"/>
      <c r="AC73" s="80"/>
      <c r="AD73" s="80"/>
    </row>
    <row x14ac:dyDescent="0.25" r="74" customHeight="1" ht="25.350000000000005">
      <c r="A74" s="69"/>
      <c r="B74" s="70" t="s">
        <v>943</v>
      </c>
      <c r="C74" s="71" t="s">
        <v>831</v>
      </c>
      <c r="D74" s="84">
        <v>2.17</v>
      </c>
      <c r="E74" s="73">
        <v>16800</v>
      </c>
      <c r="F74" s="74">
        <f>E74-G74</f>
      </c>
      <c r="G74" s="73"/>
      <c r="H74" s="75">
        <f>D74*2120.01</f>
      </c>
      <c r="I74" s="75">
        <f>F74*H74</f>
      </c>
      <c r="J74" s="75">
        <f>G74*H74</f>
      </c>
      <c r="K74" s="75"/>
      <c r="L74" s="73">
        <v>36456</v>
      </c>
      <c r="M74" s="75">
        <v>2120.01</v>
      </c>
      <c r="N74" s="75">
        <f>L74*M74</f>
      </c>
      <c r="O74" s="75">
        <f>(I74+J74)-N74</f>
      </c>
      <c r="P74" s="75">
        <v>4600.42</v>
      </c>
      <c r="Q74" s="76" t="s">
        <v>940</v>
      </c>
      <c r="R74" s="77" t="s">
        <v>833</v>
      </c>
      <c r="S74" s="78" t="s">
        <v>834</v>
      </c>
      <c r="T74" s="78" t="s">
        <v>851</v>
      </c>
      <c r="U74" s="80"/>
      <c r="V74" s="50"/>
      <c r="W74" s="50"/>
      <c r="X74" s="80"/>
      <c r="Y74" s="80"/>
      <c r="Z74" s="80"/>
      <c r="AA74" s="80"/>
      <c r="AB74" s="80"/>
      <c r="AC74" s="80"/>
      <c r="AD74" s="80"/>
    </row>
    <row x14ac:dyDescent="0.25" r="75" customHeight="1" ht="39.6">
      <c r="A75" s="69">
        <v>14</v>
      </c>
      <c r="B75" s="82" t="s">
        <v>944</v>
      </c>
      <c r="C75" s="71" t="s">
        <v>831</v>
      </c>
      <c r="D75" s="84">
        <v>5.1</v>
      </c>
      <c r="E75" s="73">
        <v>18947</v>
      </c>
      <c r="F75" s="74">
        <f>E75-G75</f>
      </c>
      <c r="G75" s="74">
        <v>547</v>
      </c>
      <c r="H75" s="75">
        <f>D75*2120.01</f>
      </c>
      <c r="I75" s="75">
        <f>F75*H75</f>
      </c>
      <c r="J75" s="75">
        <f>G75*H75</f>
      </c>
      <c r="K75" s="75"/>
      <c r="L75" s="75">
        <f>D75*E75</f>
      </c>
      <c r="M75" s="75">
        <v>2120.01</v>
      </c>
      <c r="N75" s="75">
        <f>L75*M75</f>
      </c>
      <c r="O75" s="75">
        <f>(I75+J75)-N75</f>
      </c>
      <c r="P75" s="75">
        <v>10608.69</v>
      </c>
      <c r="Q75" s="76" t="s">
        <v>945</v>
      </c>
      <c r="R75" s="77" t="s">
        <v>842</v>
      </c>
      <c r="S75" s="78" t="s">
        <v>946</v>
      </c>
      <c r="T75" s="78" t="s">
        <v>844</v>
      </c>
      <c r="U75" s="83" t="s">
        <v>947</v>
      </c>
      <c r="V75" s="50"/>
      <c r="W75" s="50"/>
      <c r="X75" s="80"/>
      <c r="Y75" s="80"/>
      <c r="Z75" s="80"/>
      <c r="AA75" s="80"/>
      <c r="AB75" s="80"/>
      <c r="AC75" s="80"/>
      <c r="AD75" s="80"/>
    </row>
    <row x14ac:dyDescent="0.25" r="76" customHeight="1" ht="43.20000000000001">
      <c r="A76" s="69"/>
      <c r="B76" s="82" t="s">
        <v>948</v>
      </c>
      <c r="C76" s="71" t="s">
        <v>831</v>
      </c>
      <c r="D76" s="84">
        <v>5.1</v>
      </c>
      <c r="E76" s="73">
        <v>914</v>
      </c>
      <c r="F76" s="74">
        <f>E76-G76</f>
      </c>
      <c r="G76" s="74"/>
      <c r="H76" s="75">
        <f>D76*2120.01</f>
      </c>
      <c r="I76" s="75">
        <f>F76*H76</f>
      </c>
      <c r="J76" s="75">
        <f>G76*H76</f>
      </c>
      <c r="K76" s="75"/>
      <c r="L76" s="75">
        <f>D76*E76</f>
      </c>
      <c r="M76" s="75">
        <v>2120.01</v>
      </c>
      <c r="N76" s="75">
        <f>L76*M76</f>
      </c>
      <c r="O76" s="75">
        <f>(I76+J76)-N76</f>
      </c>
      <c r="P76" s="75">
        <v>10424.88</v>
      </c>
      <c r="Q76" s="88" t="s">
        <v>945</v>
      </c>
      <c r="R76" s="77" t="s">
        <v>842</v>
      </c>
      <c r="S76" s="78" t="s">
        <v>946</v>
      </c>
      <c r="T76" s="78" t="s">
        <v>844</v>
      </c>
      <c r="U76" s="81"/>
      <c r="V76" s="50"/>
      <c r="W76" s="50"/>
      <c r="X76" s="80"/>
      <c r="Y76" s="80"/>
      <c r="Z76" s="80"/>
      <c r="AA76" s="80"/>
      <c r="AB76" s="80"/>
      <c r="AC76" s="80"/>
      <c r="AD76" s="80"/>
    </row>
    <row x14ac:dyDescent="0.25" r="77" customHeight="1" ht="25.350000000000005">
      <c r="A77" s="69">
        <v>15</v>
      </c>
      <c r="B77" s="70" t="s">
        <v>949</v>
      </c>
      <c r="C77" s="71" t="s">
        <v>831</v>
      </c>
      <c r="D77" s="84">
        <v>2.5</v>
      </c>
      <c r="E77" s="73">
        <v>9000</v>
      </c>
      <c r="F77" s="74">
        <f>E77-G77</f>
      </c>
      <c r="G77" s="74">
        <v>3800</v>
      </c>
      <c r="H77" s="75">
        <f>D77*2120.01</f>
      </c>
      <c r="I77" s="75">
        <f>F77*H77</f>
      </c>
      <c r="J77" s="75">
        <f>G77*H77</f>
      </c>
      <c r="K77" s="75"/>
      <c r="L77" s="75">
        <f>D77*E77</f>
      </c>
      <c r="M77" s="75">
        <v>2120.01</v>
      </c>
      <c r="N77" s="75">
        <f>L77*M77</f>
      </c>
      <c r="O77" s="75">
        <f>(I77+J77)-N77</f>
      </c>
      <c r="P77" s="75">
        <v>5300.02</v>
      </c>
      <c r="Q77" s="76" t="s">
        <v>950</v>
      </c>
      <c r="R77" s="77" t="s">
        <v>842</v>
      </c>
      <c r="S77" s="78" t="s">
        <v>946</v>
      </c>
      <c r="T77" s="78" t="s">
        <v>835</v>
      </c>
      <c r="U77" s="83" t="s">
        <v>951</v>
      </c>
      <c r="V77" s="50"/>
      <c r="W77" s="50"/>
      <c r="X77" s="80"/>
      <c r="Y77" s="80"/>
      <c r="Z77" s="80"/>
      <c r="AA77" s="80"/>
      <c r="AB77" s="80"/>
      <c r="AC77" s="80"/>
      <c r="AD77" s="80"/>
    </row>
    <row x14ac:dyDescent="0.25" r="78" customHeight="1" ht="25.350000000000005">
      <c r="A78" s="69"/>
      <c r="B78" s="70" t="s">
        <v>952</v>
      </c>
      <c r="C78" s="71" t="s">
        <v>831</v>
      </c>
      <c r="D78" s="84">
        <v>4.2</v>
      </c>
      <c r="E78" s="73">
        <v>4500</v>
      </c>
      <c r="F78" s="74">
        <f>E78-G78</f>
      </c>
      <c r="G78" s="74">
        <v>800</v>
      </c>
      <c r="H78" s="75">
        <f>D78*2120.01</f>
      </c>
      <c r="I78" s="75">
        <f>F78*H78</f>
      </c>
      <c r="J78" s="75">
        <f>G78*H78</f>
      </c>
      <c r="K78" s="75"/>
      <c r="L78" s="75">
        <f>D78*E78</f>
      </c>
      <c r="M78" s="75">
        <v>2120.01</v>
      </c>
      <c r="N78" s="75">
        <f>L78*M78</f>
      </c>
      <c r="O78" s="75">
        <f>(I78+J78)-N78</f>
      </c>
      <c r="P78" s="75">
        <v>8904.04</v>
      </c>
      <c r="Q78" s="76" t="s">
        <v>950</v>
      </c>
      <c r="R78" s="77" t="s">
        <v>842</v>
      </c>
      <c r="S78" s="78" t="s">
        <v>946</v>
      </c>
      <c r="T78" s="78" t="s">
        <v>835</v>
      </c>
      <c r="U78" s="90"/>
      <c r="V78" s="50"/>
      <c r="W78" s="50"/>
      <c r="X78" s="80"/>
      <c r="Y78" s="80"/>
      <c r="Z78" s="80"/>
      <c r="AA78" s="80"/>
      <c r="AB78" s="80"/>
      <c r="AC78" s="80"/>
      <c r="AD78" s="80"/>
    </row>
    <row x14ac:dyDescent="0.25" r="79" customHeight="1" ht="25.350000000000005">
      <c r="A79" s="69"/>
      <c r="B79" s="70" t="s">
        <v>953</v>
      </c>
      <c r="C79" s="94" t="s">
        <v>954</v>
      </c>
      <c r="D79" s="95">
        <v>1.7</v>
      </c>
      <c r="E79" s="85">
        <v>1920</v>
      </c>
      <c r="F79" s="74">
        <f>E79-G79</f>
      </c>
      <c r="G79" s="85"/>
      <c r="H79" s="75">
        <f>D79*2120.01</f>
      </c>
      <c r="I79" s="75">
        <f>F79*H79</f>
      </c>
      <c r="J79" s="75">
        <f>G79*H79</f>
      </c>
      <c r="K79" s="75"/>
      <c r="L79" s="75">
        <f>D79*E79</f>
      </c>
      <c r="M79" s="75">
        <v>2120.01</v>
      </c>
      <c r="N79" s="75">
        <f>L79*M79</f>
      </c>
      <c r="O79" s="75">
        <f>(I79+J79)-N79</f>
      </c>
      <c r="P79" s="75">
        <v>3604.02</v>
      </c>
      <c r="Q79" s="76" t="s">
        <v>950</v>
      </c>
      <c r="R79" s="77" t="s">
        <v>842</v>
      </c>
      <c r="S79" s="78" t="s">
        <v>946</v>
      </c>
      <c r="T79" s="78" t="s">
        <v>835</v>
      </c>
      <c r="U79" s="82"/>
      <c r="V79" s="50"/>
      <c r="W79" s="50"/>
      <c r="X79" s="80"/>
      <c r="Y79" s="80"/>
      <c r="Z79" s="80"/>
      <c r="AA79" s="80"/>
      <c r="AB79" s="80"/>
      <c r="AC79" s="80"/>
      <c r="AD79" s="80"/>
    </row>
    <row x14ac:dyDescent="0.25" r="80" customHeight="1" ht="25.350000000000005">
      <c r="A80" s="69">
        <v>16</v>
      </c>
      <c r="B80" s="70" t="s">
        <v>955</v>
      </c>
      <c r="C80" s="71" t="s">
        <v>831</v>
      </c>
      <c r="D80" s="84">
        <v>3.9</v>
      </c>
      <c r="E80" s="73">
        <v>6219</v>
      </c>
      <c r="F80" s="74">
        <f>E80-G80</f>
      </c>
      <c r="G80" s="74"/>
      <c r="H80" s="75">
        <f>D80*2120.01</f>
      </c>
      <c r="I80" s="75">
        <f>F80*H80</f>
      </c>
      <c r="J80" s="75">
        <f>G80*H80</f>
      </c>
      <c r="K80" s="75"/>
      <c r="L80" s="75">
        <f>D80*E80</f>
      </c>
      <c r="M80" s="75">
        <v>2120.01</v>
      </c>
      <c r="N80" s="75">
        <f>L80*M80</f>
      </c>
      <c r="O80" s="75">
        <f>(I80+J80)-N80</f>
      </c>
      <c r="P80" s="75">
        <v>8268.04</v>
      </c>
      <c r="Q80" s="76" t="s">
        <v>956</v>
      </c>
      <c r="R80" s="77" t="s">
        <v>957</v>
      </c>
      <c r="S80" s="78" t="s">
        <v>834</v>
      </c>
      <c r="T80" s="78" t="s">
        <v>835</v>
      </c>
      <c r="U80" s="83" t="s">
        <v>958</v>
      </c>
      <c r="V80" s="50"/>
      <c r="W80" s="50"/>
      <c r="X80" s="80"/>
      <c r="Y80" s="80"/>
      <c r="Z80" s="80"/>
      <c r="AA80" s="80"/>
      <c r="AB80" s="80"/>
      <c r="AC80" s="80"/>
      <c r="AD80" s="80"/>
    </row>
    <row x14ac:dyDescent="0.25" r="81" customHeight="1" ht="25.350000000000005">
      <c r="A81" s="69"/>
      <c r="B81" s="70" t="s">
        <v>959</v>
      </c>
      <c r="C81" s="71" t="s">
        <v>831</v>
      </c>
      <c r="D81" s="84">
        <v>3.7</v>
      </c>
      <c r="E81" s="73">
        <v>12246</v>
      </c>
      <c r="F81" s="74">
        <f>E81-G81</f>
      </c>
      <c r="G81" s="74"/>
      <c r="H81" s="75">
        <f>D81*2120.01</f>
      </c>
      <c r="I81" s="75">
        <f>F81*H81</f>
      </c>
      <c r="J81" s="75">
        <f>G81*H81</f>
      </c>
      <c r="K81" s="75"/>
      <c r="L81" s="75">
        <f>D81*E81</f>
      </c>
      <c r="M81" s="75">
        <v>2120.01</v>
      </c>
      <c r="N81" s="75">
        <f>L81*M81</f>
      </c>
      <c r="O81" s="75">
        <f>(I81+J81)-N81</f>
      </c>
      <c r="P81" s="75">
        <v>7844.04</v>
      </c>
      <c r="Q81" s="88" t="s">
        <v>956</v>
      </c>
      <c r="R81" s="77" t="s">
        <v>957</v>
      </c>
      <c r="S81" s="78" t="s">
        <v>834</v>
      </c>
      <c r="T81" s="78" t="s">
        <v>835</v>
      </c>
      <c r="U81" s="90"/>
      <c r="V81" s="50"/>
      <c r="W81" s="50"/>
      <c r="X81" s="80"/>
      <c r="Y81" s="80"/>
      <c r="Z81" s="80"/>
      <c r="AA81" s="80"/>
      <c r="AB81" s="80"/>
      <c r="AC81" s="80"/>
      <c r="AD81" s="80"/>
    </row>
    <row x14ac:dyDescent="0.25" r="82" customHeight="1" ht="45.75">
      <c r="A82" s="69">
        <v>17</v>
      </c>
      <c r="B82" s="70" t="s">
        <v>830</v>
      </c>
      <c r="C82" s="71" t="s">
        <v>831</v>
      </c>
      <c r="D82" s="84">
        <v>1.815</v>
      </c>
      <c r="E82" s="69">
        <v>59400</v>
      </c>
      <c r="F82" s="74">
        <f>E82-G82</f>
      </c>
      <c r="G82" s="85">
        <f>10000+14000</f>
      </c>
      <c r="H82" s="75">
        <f>D82*2120.01</f>
      </c>
      <c r="I82" s="75">
        <f>F82*H82</f>
      </c>
      <c r="J82" s="75">
        <f>G82*H82</f>
      </c>
      <c r="K82" s="75"/>
      <c r="L82" s="75">
        <f>D82*E82</f>
      </c>
      <c r="M82" s="75">
        <v>2120.01</v>
      </c>
      <c r="N82" s="75">
        <f>L82*M82</f>
      </c>
      <c r="O82" s="75">
        <f>(I82+J82)-N82</f>
      </c>
      <c r="P82" s="75">
        <v>3464.52</v>
      </c>
      <c r="Q82" s="76" t="s">
        <v>960</v>
      </c>
      <c r="R82" s="77" t="s">
        <v>833</v>
      </c>
      <c r="S82" s="78" t="s">
        <v>834</v>
      </c>
      <c r="T82" s="78" t="s">
        <v>835</v>
      </c>
      <c r="U82" s="83" t="s">
        <v>961</v>
      </c>
      <c r="V82" s="50"/>
      <c r="W82" s="50"/>
      <c r="X82" s="80"/>
      <c r="Y82" s="80"/>
      <c r="Z82" s="80"/>
      <c r="AA82" s="80"/>
      <c r="AB82" s="80"/>
      <c r="AC82" s="80"/>
      <c r="AD82" s="80"/>
    </row>
    <row x14ac:dyDescent="0.25" r="83" customHeight="1" ht="37.5">
      <c r="A83" s="69"/>
      <c r="B83" s="70" t="s">
        <v>837</v>
      </c>
      <c r="C83" s="71" t="s">
        <v>831</v>
      </c>
      <c r="D83" s="84">
        <v>1.715</v>
      </c>
      <c r="E83" s="69">
        <v>66000</v>
      </c>
      <c r="F83" s="74">
        <f>E83-G83</f>
      </c>
      <c r="G83" s="85"/>
      <c r="H83" s="75">
        <f>D83*2120.01</f>
      </c>
      <c r="I83" s="75">
        <f>F83*H83</f>
      </c>
      <c r="J83" s="75">
        <f>G83*H83</f>
      </c>
      <c r="K83" s="75"/>
      <c r="L83" s="75">
        <f>D83*E83</f>
      </c>
      <c r="M83" s="75">
        <v>2120.01</v>
      </c>
      <c r="N83" s="75">
        <f>L83*M83</f>
      </c>
      <c r="O83" s="75">
        <f>(I83+J83)-N83</f>
      </c>
      <c r="P83" s="75">
        <v>3262.32</v>
      </c>
      <c r="Q83" s="76" t="s">
        <v>960</v>
      </c>
      <c r="R83" s="77" t="s">
        <v>833</v>
      </c>
      <c r="S83" s="78" t="s">
        <v>834</v>
      </c>
      <c r="T83" s="78" t="s">
        <v>835</v>
      </c>
      <c r="U83" s="90"/>
      <c r="V83" s="50"/>
      <c r="W83" s="50"/>
      <c r="X83" s="80"/>
      <c r="Y83" s="80"/>
      <c r="Z83" s="80"/>
      <c r="AA83" s="80"/>
      <c r="AB83" s="80"/>
      <c r="AC83" s="80"/>
      <c r="AD83" s="80"/>
    </row>
    <row x14ac:dyDescent="0.25" r="84" customHeight="1" ht="25.350000000000005">
      <c r="A84" s="69"/>
      <c r="B84" s="70" t="s">
        <v>838</v>
      </c>
      <c r="C84" s="71" t="s">
        <v>831</v>
      </c>
      <c r="D84" s="84">
        <v>1.715</v>
      </c>
      <c r="E84" s="69">
        <v>66000</v>
      </c>
      <c r="F84" s="74">
        <f>E84-G84</f>
      </c>
      <c r="G84" s="85">
        <v>42000</v>
      </c>
      <c r="H84" s="75">
        <f>D84*2120.01</f>
      </c>
      <c r="I84" s="75">
        <f>F84*H84</f>
      </c>
      <c r="J84" s="75">
        <f>G84*H84</f>
      </c>
      <c r="K84" s="75"/>
      <c r="L84" s="75">
        <f>D84*E84</f>
      </c>
      <c r="M84" s="75">
        <v>2120.01</v>
      </c>
      <c r="N84" s="75">
        <f>L84*M84</f>
      </c>
      <c r="O84" s="75">
        <f>(I84+J84)-N84</f>
      </c>
      <c r="P84" s="75">
        <v>3286.02</v>
      </c>
      <c r="Q84" s="76" t="s">
        <v>960</v>
      </c>
      <c r="R84" s="77" t="s">
        <v>833</v>
      </c>
      <c r="S84" s="78" t="s">
        <v>834</v>
      </c>
      <c r="T84" s="78" t="s">
        <v>835</v>
      </c>
      <c r="U84" s="82"/>
      <c r="V84" s="50"/>
      <c r="W84" s="50"/>
      <c r="X84" s="80"/>
      <c r="Y84" s="80"/>
      <c r="Z84" s="80"/>
      <c r="AA84" s="80"/>
      <c r="AB84" s="80"/>
      <c r="AC84" s="80"/>
      <c r="AD84" s="80"/>
    </row>
    <row x14ac:dyDescent="0.25" r="85" customHeight="1" ht="46.95000000000001">
      <c r="A85" s="69">
        <v>18</v>
      </c>
      <c r="B85" s="82" t="s">
        <v>944</v>
      </c>
      <c r="C85" s="71" t="s">
        <v>831</v>
      </c>
      <c r="D85" s="84">
        <v>4.95</v>
      </c>
      <c r="E85" s="73">
        <v>13648</v>
      </c>
      <c r="F85" s="74">
        <f>E85-G85</f>
      </c>
      <c r="G85" s="74"/>
      <c r="H85" s="75">
        <f>D85*2120.01</f>
      </c>
      <c r="I85" s="75">
        <f>F85*H85</f>
      </c>
      <c r="J85" s="75">
        <f>G85*H85</f>
      </c>
      <c r="K85" s="75"/>
      <c r="L85" s="75">
        <f>D85*E85</f>
      </c>
      <c r="M85" s="75">
        <v>2120.01</v>
      </c>
      <c r="N85" s="75">
        <f>L85*M85</f>
      </c>
      <c r="O85" s="75">
        <f>(I85+J85)-N85</f>
      </c>
      <c r="P85" s="75">
        <v>10608.69</v>
      </c>
      <c r="Q85" s="76" t="s">
        <v>962</v>
      </c>
      <c r="R85" s="77" t="s">
        <v>842</v>
      </c>
      <c r="S85" s="78" t="s">
        <v>946</v>
      </c>
      <c r="T85" s="78" t="s">
        <v>844</v>
      </c>
      <c r="U85" s="83" t="s">
        <v>963</v>
      </c>
      <c r="V85" s="50"/>
      <c r="W85" s="50"/>
      <c r="X85" s="80"/>
      <c r="Y85" s="80"/>
      <c r="Z85" s="80"/>
      <c r="AA85" s="80"/>
      <c r="AB85" s="80"/>
      <c r="AC85" s="80"/>
      <c r="AD85" s="80"/>
    </row>
    <row x14ac:dyDescent="0.25" r="86" customHeight="1" ht="43.95000000000001">
      <c r="A86" s="69"/>
      <c r="B86" s="82" t="s">
        <v>948</v>
      </c>
      <c r="C86" s="71" t="s">
        <v>964</v>
      </c>
      <c r="D86" s="84">
        <v>4.95</v>
      </c>
      <c r="E86" s="73">
        <v>5911</v>
      </c>
      <c r="F86" s="74">
        <f>E86-G86</f>
      </c>
      <c r="G86" s="74"/>
      <c r="H86" s="75">
        <f>D86*2120.01</f>
      </c>
      <c r="I86" s="75">
        <f>F86*H86</f>
      </c>
      <c r="J86" s="75">
        <f>G86*H86</f>
      </c>
      <c r="K86" s="75"/>
      <c r="L86" s="75">
        <f>D86*E86</f>
      </c>
      <c r="M86" s="75">
        <v>2120.01</v>
      </c>
      <c r="N86" s="75">
        <f>L86*M86</f>
      </c>
      <c r="O86" s="75">
        <f>(I86+J86)-N86</f>
      </c>
      <c r="P86" s="75">
        <v>10424.88</v>
      </c>
      <c r="Q86" s="88" t="s">
        <v>962</v>
      </c>
      <c r="R86" s="70" t="s">
        <v>842</v>
      </c>
      <c r="S86" s="89" t="s">
        <v>946</v>
      </c>
      <c r="T86" s="89" t="s">
        <v>844</v>
      </c>
      <c r="U86" s="90"/>
      <c r="V86" s="50"/>
      <c r="W86" s="50"/>
      <c r="X86" s="80"/>
      <c r="Y86" s="80"/>
      <c r="Z86" s="80"/>
      <c r="AA86" s="80"/>
      <c r="AB86" s="80"/>
      <c r="AC86" s="80"/>
      <c r="AD86" s="80"/>
    </row>
    <row x14ac:dyDescent="0.25" r="87" customHeight="1" ht="25.350000000000005">
      <c r="A87" s="69"/>
      <c r="B87" s="70" t="s">
        <v>965</v>
      </c>
      <c r="C87" s="71" t="s">
        <v>966</v>
      </c>
      <c r="D87" s="84">
        <v>335</v>
      </c>
      <c r="E87" s="73">
        <v>4</v>
      </c>
      <c r="F87" s="74">
        <f>E87-G87</f>
      </c>
      <c r="G87" s="74"/>
      <c r="H87" s="75">
        <f>D87*2120.01</f>
      </c>
      <c r="I87" s="75">
        <f>F87*H87</f>
      </c>
      <c r="J87" s="75">
        <f>G87*H87</f>
      </c>
      <c r="K87" s="75"/>
      <c r="L87" s="75">
        <f>D87*E87</f>
      </c>
      <c r="M87" s="75">
        <v>2120.01</v>
      </c>
      <c r="N87" s="75">
        <f>L87*M87</f>
      </c>
      <c r="O87" s="75">
        <f>(I87+J87)-N87</f>
      </c>
      <c r="P87" s="75"/>
      <c r="Q87" s="76" t="s">
        <v>962</v>
      </c>
      <c r="R87" s="77" t="s">
        <v>842</v>
      </c>
      <c r="S87" s="78" t="s">
        <v>946</v>
      </c>
      <c r="T87" s="78" t="s">
        <v>844</v>
      </c>
      <c r="U87" s="83" t="s">
        <v>963</v>
      </c>
      <c r="V87" s="50"/>
      <c r="W87" s="50"/>
      <c r="X87" s="80"/>
      <c r="Y87" s="80"/>
      <c r="Z87" s="80"/>
      <c r="AA87" s="80"/>
      <c r="AB87" s="80"/>
      <c r="AC87" s="80"/>
      <c r="AD87" s="80"/>
    </row>
    <row x14ac:dyDescent="0.25" r="88" customHeight="1" ht="25.350000000000005">
      <c r="A88" s="69"/>
      <c r="B88" s="70" t="s">
        <v>967</v>
      </c>
      <c r="C88" s="71" t="s">
        <v>966</v>
      </c>
      <c r="D88" s="84">
        <v>980</v>
      </c>
      <c r="E88" s="73">
        <v>1</v>
      </c>
      <c r="F88" s="74">
        <f>E88-G88</f>
      </c>
      <c r="G88" s="74"/>
      <c r="H88" s="75">
        <f>D88*2120.01</f>
      </c>
      <c r="I88" s="75">
        <f>F88*H88</f>
      </c>
      <c r="J88" s="75">
        <f>G88*H88</f>
      </c>
      <c r="K88" s="75"/>
      <c r="L88" s="75">
        <f>D88*E88</f>
      </c>
      <c r="M88" s="75">
        <v>2120.01</v>
      </c>
      <c r="N88" s="75">
        <f>L88*M88</f>
      </c>
      <c r="O88" s="75">
        <f>(I88+J88)-N88</f>
      </c>
      <c r="P88" s="75"/>
      <c r="Q88" s="76" t="s">
        <v>962</v>
      </c>
      <c r="R88" s="77" t="s">
        <v>842</v>
      </c>
      <c r="S88" s="78" t="s">
        <v>946</v>
      </c>
      <c r="T88" s="78" t="s">
        <v>844</v>
      </c>
      <c r="U88" s="83" t="s">
        <v>963</v>
      </c>
      <c r="V88" s="50"/>
      <c r="W88" s="50"/>
      <c r="X88" s="80"/>
      <c r="Y88" s="80"/>
      <c r="Z88" s="80"/>
      <c r="AA88" s="80"/>
      <c r="AB88" s="80"/>
      <c r="AC88" s="80"/>
      <c r="AD88" s="80"/>
    </row>
    <row x14ac:dyDescent="0.25" r="89" customHeight="1" ht="25.350000000000005">
      <c r="A89" s="69">
        <v>19</v>
      </c>
      <c r="B89" s="70" t="s">
        <v>853</v>
      </c>
      <c r="C89" s="71" t="s">
        <v>831</v>
      </c>
      <c r="D89" s="72">
        <v>3.67</v>
      </c>
      <c r="E89" s="73">
        <v>15000</v>
      </c>
      <c r="F89" s="74">
        <f>E89-G89</f>
      </c>
      <c r="G89" s="74">
        <v>5000</v>
      </c>
      <c r="H89" s="75">
        <f>D89*2120.01</f>
      </c>
      <c r="I89" s="75">
        <f>F89*H89</f>
      </c>
      <c r="J89" s="75">
        <f>G89*H89</f>
      </c>
      <c r="K89" s="75"/>
      <c r="L89" s="75">
        <f>D89*E89</f>
      </c>
      <c r="M89" s="75">
        <v>2120.01</v>
      </c>
      <c r="N89" s="75">
        <f>L89*M89</f>
      </c>
      <c r="O89" s="75">
        <f>(I89+J89)-N89</f>
      </c>
      <c r="P89" s="75">
        <v>7777.19</v>
      </c>
      <c r="Q89" s="76" t="s">
        <v>968</v>
      </c>
      <c r="R89" s="77" t="s">
        <v>833</v>
      </c>
      <c r="S89" s="78" t="s">
        <v>834</v>
      </c>
      <c r="T89" s="78" t="s">
        <v>835</v>
      </c>
      <c r="U89" s="83" t="s">
        <v>969</v>
      </c>
      <c r="V89" s="50"/>
      <c r="W89" s="50"/>
      <c r="X89" s="80"/>
      <c r="Y89" s="80"/>
      <c r="Z89" s="80"/>
      <c r="AA89" s="80"/>
      <c r="AB89" s="80"/>
      <c r="AC89" s="80"/>
      <c r="AD89" s="80"/>
    </row>
    <row x14ac:dyDescent="0.25" r="90" customHeight="1" ht="25.350000000000005">
      <c r="A90" s="69"/>
      <c r="B90" s="70" t="s">
        <v>857</v>
      </c>
      <c r="C90" s="71" t="s">
        <v>964</v>
      </c>
      <c r="D90" s="84">
        <v>3.05</v>
      </c>
      <c r="E90" s="73">
        <v>3000</v>
      </c>
      <c r="F90" s="74">
        <f>E90-G90</f>
      </c>
      <c r="G90" s="74">
        <v>2000</v>
      </c>
      <c r="H90" s="75">
        <f>D90*2120.01</f>
      </c>
      <c r="I90" s="75">
        <f>F90*H90</f>
      </c>
      <c r="J90" s="75">
        <f>G90*H90</f>
      </c>
      <c r="K90" s="75"/>
      <c r="L90" s="75">
        <f>D90*E90</f>
      </c>
      <c r="M90" s="75">
        <v>2120.01</v>
      </c>
      <c r="N90" s="75">
        <f>L90*M90</f>
      </c>
      <c r="O90" s="75">
        <f>(I90+J90)-N90</f>
      </c>
      <c r="P90" s="75">
        <v>6264.63</v>
      </c>
      <c r="Q90" s="88" t="s">
        <v>968</v>
      </c>
      <c r="R90" s="70" t="s">
        <v>833</v>
      </c>
      <c r="S90" s="78" t="s">
        <v>834</v>
      </c>
      <c r="T90" s="78" t="s">
        <v>835</v>
      </c>
      <c r="U90" s="90"/>
      <c r="V90" s="50"/>
      <c r="W90" s="50"/>
      <c r="X90" s="80"/>
      <c r="Y90" s="80"/>
      <c r="Z90" s="80"/>
      <c r="AA90" s="80"/>
      <c r="AB90" s="80"/>
      <c r="AC90" s="80"/>
      <c r="AD90" s="80"/>
    </row>
    <row x14ac:dyDescent="0.25" r="91" customHeight="1" ht="25.350000000000005">
      <c r="A91" s="69"/>
      <c r="B91" s="70" t="s">
        <v>970</v>
      </c>
      <c r="C91" s="71" t="s">
        <v>964</v>
      </c>
      <c r="D91" s="84">
        <v>5.72</v>
      </c>
      <c r="E91" s="73">
        <v>500</v>
      </c>
      <c r="F91" s="74">
        <f>E91-G91</f>
      </c>
      <c r="G91" s="74">
        <v>500</v>
      </c>
      <c r="H91" s="75">
        <f>D91*2120.01</f>
      </c>
      <c r="I91" s="75">
        <f>F91*H91</f>
      </c>
      <c r="J91" s="75">
        <f>G91*H91</f>
      </c>
      <c r="K91" s="75"/>
      <c r="L91" s="75">
        <f>D91*E91</f>
      </c>
      <c r="M91" s="75">
        <v>2120.01</v>
      </c>
      <c r="N91" s="75">
        <f>L91*M91</f>
      </c>
      <c r="O91" s="75">
        <f>(I91+J91)-N91</f>
      </c>
      <c r="P91" s="75">
        <v>12126.46</v>
      </c>
      <c r="Q91" s="76" t="s">
        <v>968</v>
      </c>
      <c r="R91" s="70" t="s">
        <v>833</v>
      </c>
      <c r="S91" s="78" t="s">
        <v>834</v>
      </c>
      <c r="T91" s="78" t="s">
        <v>835</v>
      </c>
      <c r="U91" s="82"/>
      <c r="V91" s="50"/>
      <c r="W91" s="50"/>
      <c r="X91" s="80"/>
      <c r="Y91" s="80"/>
      <c r="Z91" s="80"/>
      <c r="AA91" s="80"/>
      <c r="AB91" s="80"/>
      <c r="AC91" s="80"/>
      <c r="AD91" s="80"/>
    </row>
    <row x14ac:dyDescent="0.25" r="92" customHeight="1" ht="25.350000000000005">
      <c r="A92" s="69"/>
      <c r="B92" s="70" t="s">
        <v>859</v>
      </c>
      <c r="C92" s="71" t="s">
        <v>964</v>
      </c>
      <c r="D92" s="84">
        <v>10.35</v>
      </c>
      <c r="E92" s="73">
        <v>1000</v>
      </c>
      <c r="F92" s="74">
        <f>E92-G92</f>
      </c>
      <c r="G92" s="74">
        <v>200</v>
      </c>
      <c r="H92" s="75">
        <f>D92*2120.01</f>
      </c>
      <c r="I92" s="75">
        <f>F92*H92</f>
      </c>
      <c r="J92" s="75">
        <f>G92*H92</f>
      </c>
      <c r="K92" s="75"/>
      <c r="L92" s="75">
        <f>D92*E92</f>
      </c>
      <c r="M92" s="75">
        <v>2120.01</v>
      </c>
      <c r="N92" s="75">
        <f>L92*M92</f>
      </c>
      <c r="O92" s="75">
        <f>(I92+J92)-N92</f>
      </c>
      <c r="P92" s="75">
        <v>22076.37</v>
      </c>
      <c r="Q92" s="96" t="s">
        <v>968</v>
      </c>
      <c r="R92" s="70" t="s">
        <v>833</v>
      </c>
      <c r="S92" s="78" t="s">
        <v>834</v>
      </c>
      <c r="T92" s="78" t="s">
        <v>835</v>
      </c>
      <c r="U92" s="82"/>
      <c r="V92" s="50"/>
      <c r="W92" s="50"/>
      <c r="X92" s="80"/>
      <c r="Y92" s="80"/>
      <c r="Z92" s="80"/>
      <c r="AA92" s="80"/>
      <c r="AB92" s="80"/>
      <c r="AC92" s="80"/>
      <c r="AD92" s="80"/>
    </row>
    <row x14ac:dyDescent="0.25" r="93" customHeight="1" ht="25.350000000000005">
      <c r="A93" s="69"/>
      <c r="B93" s="70" t="s">
        <v>860</v>
      </c>
      <c r="C93" s="71" t="s">
        <v>964</v>
      </c>
      <c r="D93" s="84">
        <v>5.64</v>
      </c>
      <c r="E93" s="73">
        <v>1600</v>
      </c>
      <c r="F93" s="74">
        <f>E93-G93</f>
      </c>
      <c r="G93" s="74">
        <v>400</v>
      </c>
      <c r="H93" s="75">
        <f>D93*2120.01</f>
      </c>
      <c r="I93" s="75">
        <f>F93*H93</f>
      </c>
      <c r="J93" s="75">
        <f>G93*H93</f>
      </c>
      <c r="K93" s="75"/>
      <c r="L93" s="75">
        <f>D93*E93</f>
      </c>
      <c r="M93" s="75">
        <v>2120.01</v>
      </c>
      <c r="N93" s="75">
        <f>L93*M93</f>
      </c>
      <c r="O93" s="75">
        <f>(I93+J93)-N93</f>
      </c>
      <c r="P93" s="75">
        <v>11956.85</v>
      </c>
      <c r="Q93" s="76" t="s">
        <v>968</v>
      </c>
      <c r="R93" s="70" t="s">
        <v>833</v>
      </c>
      <c r="S93" s="78" t="s">
        <v>834</v>
      </c>
      <c r="T93" s="78" t="s">
        <v>835</v>
      </c>
      <c r="U93" s="82"/>
      <c r="V93" s="50"/>
      <c r="W93" s="50"/>
      <c r="X93" s="80"/>
      <c r="Y93" s="80"/>
      <c r="Z93" s="80"/>
      <c r="AA93" s="80"/>
      <c r="AB93" s="80"/>
      <c r="AC93" s="80"/>
      <c r="AD93" s="80"/>
    </row>
    <row x14ac:dyDescent="0.25" r="94" customHeight="1" ht="25.350000000000005">
      <c r="A94" s="69"/>
      <c r="B94" s="70" t="s">
        <v>971</v>
      </c>
      <c r="C94" s="71" t="s">
        <v>964</v>
      </c>
      <c r="D94" s="84">
        <v>8.36</v>
      </c>
      <c r="E94" s="73">
        <v>1200</v>
      </c>
      <c r="F94" s="74">
        <f>E94-G94</f>
      </c>
      <c r="G94" s="74">
        <v>300</v>
      </c>
      <c r="H94" s="75">
        <f>D94*2120.01</f>
      </c>
      <c r="I94" s="75">
        <f>F94*H94</f>
      </c>
      <c r="J94" s="75">
        <f>G94*H94</f>
      </c>
      <c r="K94" s="75"/>
      <c r="L94" s="75">
        <f>D94*E94</f>
      </c>
      <c r="M94" s="75">
        <v>2120.01</v>
      </c>
      <c r="N94" s="75">
        <f>L94*M94</f>
      </c>
      <c r="O94" s="75">
        <f>(I94+J94)-N94</f>
      </c>
      <c r="P94" s="97">
        <v>17723.28</v>
      </c>
      <c r="Q94" s="96" t="s">
        <v>968</v>
      </c>
      <c r="R94" s="70" t="s">
        <v>833</v>
      </c>
      <c r="S94" s="78" t="s">
        <v>834</v>
      </c>
      <c r="T94" s="78" t="s">
        <v>835</v>
      </c>
      <c r="U94" s="82"/>
      <c r="V94" s="50"/>
      <c r="W94" s="50"/>
      <c r="X94" s="80"/>
      <c r="Y94" s="80"/>
      <c r="Z94" s="80"/>
      <c r="AA94" s="80"/>
      <c r="AB94" s="80"/>
      <c r="AC94" s="80"/>
      <c r="AD94" s="80"/>
    </row>
    <row x14ac:dyDescent="0.25" r="95" customHeight="1" ht="25.350000000000005">
      <c r="A95" s="69"/>
      <c r="B95" s="70" t="s">
        <v>873</v>
      </c>
      <c r="C95" s="71" t="s">
        <v>964</v>
      </c>
      <c r="D95" s="84">
        <v>2.11</v>
      </c>
      <c r="E95" s="73">
        <v>2000</v>
      </c>
      <c r="F95" s="74">
        <f>E95-G95</f>
      </c>
      <c r="G95" s="74"/>
      <c r="H95" s="75">
        <f>D95*2120.01</f>
      </c>
      <c r="I95" s="75">
        <f>F95*H95</f>
      </c>
      <c r="J95" s="75">
        <f>G95*H95</f>
      </c>
      <c r="K95" s="75"/>
      <c r="L95" s="75">
        <f>D95*E95</f>
      </c>
      <c r="M95" s="75">
        <v>2120.01</v>
      </c>
      <c r="N95" s="75">
        <f>L95*M95</f>
      </c>
      <c r="O95" s="75">
        <f>(I95+J95)-N95</f>
      </c>
      <c r="P95" s="75">
        <v>4473.22</v>
      </c>
      <c r="Q95" s="76" t="s">
        <v>968</v>
      </c>
      <c r="R95" s="70" t="s">
        <v>833</v>
      </c>
      <c r="S95" s="78" t="s">
        <v>834</v>
      </c>
      <c r="T95" s="78" t="s">
        <v>835</v>
      </c>
      <c r="U95" s="82"/>
      <c r="V95" s="50"/>
      <c r="W95" s="50"/>
      <c r="X95" s="80"/>
      <c r="Y95" s="80"/>
      <c r="Z95" s="80"/>
      <c r="AA95" s="80"/>
      <c r="AB95" s="80"/>
      <c r="AC95" s="80"/>
      <c r="AD95" s="80"/>
    </row>
    <row x14ac:dyDescent="0.25" r="96" customHeight="1" ht="25.350000000000005">
      <c r="A96" s="69">
        <v>20</v>
      </c>
      <c r="B96" s="70" t="s">
        <v>972</v>
      </c>
      <c r="C96" s="71" t="s">
        <v>831</v>
      </c>
      <c r="D96" s="72">
        <v>0.9</v>
      </c>
      <c r="E96" s="73">
        <v>36000</v>
      </c>
      <c r="F96" s="74">
        <f>E96-G96</f>
      </c>
      <c r="G96" s="74">
        <v>11000</v>
      </c>
      <c r="H96" s="75">
        <f>D96*2120.01</f>
      </c>
      <c r="I96" s="75">
        <f>F96*H96</f>
      </c>
      <c r="J96" s="75">
        <f>G96*H96</f>
      </c>
      <c r="K96" s="75"/>
      <c r="L96" s="75">
        <f>D96*E96</f>
      </c>
      <c r="M96" s="75">
        <v>2120.01</v>
      </c>
      <c r="N96" s="75">
        <f>L96*M96</f>
      </c>
      <c r="O96" s="75">
        <f>(I96+J96)-N96</f>
      </c>
      <c r="P96" s="75">
        <v>2096.6</v>
      </c>
      <c r="Q96" s="76" t="s">
        <v>973</v>
      </c>
      <c r="R96" s="77" t="s">
        <v>974</v>
      </c>
      <c r="S96" s="78" t="s">
        <v>834</v>
      </c>
      <c r="T96" s="78" t="s">
        <v>835</v>
      </c>
      <c r="U96" s="83" t="s">
        <v>975</v>
      </c>
      <c r="V96" s="50"/>
      <c r="W96" s="50"/>
      <c r="X96" s="80"/>
      <c r="Y96" s="80"/>
      <c r="Z96" s="80"/>
      <c r="AA96" s="80"/>
      <c r="AB96" s="80"/>
      <c r="AC96" s="80"/>
      <c r="AD96" s="80"/>
    </row>
    <row x14ac:dyDescent="0.25" r="97" customHeight="1" ht="25.350000000000005">
      <c r="A97" s="69">
        <v>21</v>
      </c>
      <c r="B97" s="70" t="s">
        <v>949</v>
      </c>
      <c r="C97" s="71" t="s">
        <v>831</v>
      </c>
      <c r="D97" s="84">
        <v>2.5</v>
      </c>
      <c r="E97" s="73">
        <v>4000</v>
      </c>
      <c r="F97" s="74">
        <f>E97-G97</f>
      </c>
      <c r="G97" s="74">
        <v>2400</v>
      </c>
      <c r="H97" s="75">
        <f>D97*2120.01</f>
      </c>
      <c r="I97" s="75">
        <f>F97*H97</f>
      </c>
      <c r="J97" s="75">
        <f>G97*H97</f>
      </c>
      <c r="K97" s="75"/>
      <c r="L97" s="75">
        <f>D97*E97</f>
      </c>
      <c r="M97" s="75">
        <v>2120.01</v>
      </c>
      <c r="N97" s="75">
        <f>L97*M97</f>
      </c>
      <c r="O97" s="75">
        <f>(I97+J97)-N97</f>
      </c>
      <c r="P97" s="75">
        <v>5300.02</v>
      </c>
      <c r="Q97" s="76" t="s">
        <v>976</v>
      </c>
      <c r="R97" s="77" t="s">
        <v>842</v>
      </c>
      <c r="S97" s="78" t="s">
        <v>946</v>
      </c>
      <c r="T97" s="78" t="s">
        <v>835</v>
      </c>
      <c r="U97" s="83" t="s">
        <v>977</v>
      </c>
      <c r="V97" s="50"/>
      <c r="W97" s="50"/>
      <c r="X97" s="80"/>
      <c r="Y97" s="80"/>
      <c r="Z97" s="80"/>
      <c r="AA97" s="80"/>
      <c r="AB97" s="80"/>
      <c r="AC97" s="80"/>
      <c r="AD97" s="80"/>
    </row>
    <row x14ac:dyDescent="0.25" r="98" customHeight="1" ht="25.350000000000005">
      <c r="A98" s="69"/>
      <c r="B98" s="70" t="s">
        <v>978</v>
      </c>
      <c r="C98" s="71" t="s">
        <v>964</v>
      </c>
      <c r="D98" s="84">
        <v>6.35</v>
      </c>
      <c r="E98" s="73">
        <v>9000</v>
      </c>
      <c r="F98" s="74">
        <f>E98-G98</f>
      </c>
      <c r="G98" s="74"/>
      <c r="H98" s="75">
        <f>D98*2120.01</f>
      </c>
      <c r="I98" s="75">
        <f>F98*H98</f>
      </c>
      <c r="J98" s="75">
        <f>G98*H98</f>
      </c>
      <c r="K98" s="75"/>
      <c r="L98" s="75">
        <f>D98*E98</f>
      </c>
      <c r="M98" s="75">
        <v>2120.01</v>
      </c>
      <c r="N98" s="75">
        <f>L98*M98</f>
      </c>
      <c r="O98" s="75">
        <f>(I98+J98)-N98</f>
      </c>
      <c r="P98" s="97">
        <v>13272.77</v>
      </c>
      <c r="Q98" s="96" t="s">
        <v>976</v>
      </c>
      <c r="R98" s="77" t="s">
        <v>842</v>
      </c>
      <c r="S98" s="78" t="s">
        <v>946</v>
      </c>
      <c r="T98" s="78" t="s">
        <v>835</v>
      </c>
      <c r="U98" s="90"/>
      <c r="V98" s="50"/>
      <c r="W98" s="50"/>
      <c r="X98" s="80"/>
      <c r="Y98" s="80"/>
      <c r="Z98" s="80"/>
      <c r="AA98" s="80"/>
      <c r="AB98" s="80"/>
      <c r="AC98" s="80"/>
      <c r="AD98" s="80"/>
    </row>
    <row x14ac:dyDescent="0.25" r="99" customHeight="1" ht="25.350000000000005">
      <c r="A99" s="69"/>
      <c r="B99" s="70" t="s">
        <v>979</v>
      </c>
      <c r="C99" s="71" t="s">
        <v>964</v>
      </c>
      <c r="D99" s="84">
        <v>3.6</v>
      </c>
      <c r="E99" s="73">
        <v>2000</v>
      </c>
      <c r="F99" s="74">
        <f>E99-G99</f>
      </c>
      <c r="G99" s="74">
        <v>2000</v>
      </c>
      <c r="H99" s="75">
        <f>D99*2120.01</f>
      </c>
      <c r="I99" s="75">
        <f>F99*H99</f>
      </c>
      <c r="J99" s="75">
        <f>G99*H99</f>
      </c>
      <c r="K99" s="75"/>
      <c r="L99" s="75">
        <f>D99*E99</f>
      </c>
      <c r="M99" s="75">
        <v>2120.01</v>
      </c>
      <c r="N99" s="75">
        <f>L99*M99</f>
      </c>
      <c r="O99" s="75">
        <f>(I99+J99)-N99</f>
      </c>
      <c r="P99" s="75">
        <v>7632.04</v>
      </c>
      <c r="Q99" s="76" t="s">
        <v>976</v>
      </c>
      <c r="R99" s="77" t="s">
        <v>842</v>
      </c>
      <c r="S99" s="78" t="s">
        <v>946</v>
      </c>
      <c r="T99" s="78" t="s">
        <v>835</v>
      </c>
      <c r="U99" s="82"/>
      <c r="V99" s="50"/>
      <c r="W99" s="50"/>
      <c r="X99" s="80"/>
      <c r="Y99" s="80"/>
      <c r="Z99" s="80"/>
      <c r="AA99" s="80"/>
      <c r="AB99" s="80"/>
      <c r="AC99" s="80"/>
      <c r="AD99" s="80"/>
    </row>
    <row x14ac:dyDescent="0.25" r="100" customHeight="1" ht="25.350000000000005">
      <c r="A100" s="69"/>
      <c r="B100" s="70" t="s">
        <v>952</v>
      </c>
      <c r="C100" s="71" t="s">
        <v>964</v>
      </c>
      <c r="D100" s="84">
        <v>4.2</v>
      </c>
      <c r="E100" s="73">
        <v>5000</v>
      </c>
      <c r="F100" s="74">
        <f>E100-G100</f>
      </c>
      <c r="G100" s="74">
        <v>2300</v>
      </c>
      <c r="H100" s="75">
        <f>D100*2120.01</f>
      </c>
      <c r="I100" s="75">
        <f>F100*H100</f>
      </c>
      <c r="J100" s="75">
        <f>G100*H100</f>
      </c>
      <c r="K100" s="75"/>
      <c r="L100" s="75">
        <f>D100*E100</f>
      </c>
      <c r="M100" s="75">
        <v>2120.01</v>
      </c>
      <c r="N100" s="75">
        <f>L100*M100</f>
      </c>
      <c r="O100" s="75">
        <f>(I100+J100)-N100</f>
      </c>
      <c r="P100" s="75">
        <v>8904.04</v>
      </c>
      <c r="Q100" s="96" t="s">
        <v>976</v>
      </c>
      <c r="R100" s="77" t="s">
        <v>842</v>
      </c>
      <c r="S100" s="78" t="s">
        <v>946</v>
      </c>
      <c r="T100" s="78" t="s">
        <v>835</v>
      </c>
      <c r="U100" s="82"/>
      <c r="V100" s="50"/>
      <c r="W100" s="50"/>
      <c r="X100" s="80"/>
      <c r="Y100" s="80"/>
      <c r="Z100" s="80"/>
      <c r="AA100" s="80"/>
      <c r="AB100" s="80"/>
      <c r="AC100" s="80"/>
      <c r="AD100" s="80"/>
    </row>
    <row x14ac:dyDescent="0.25" r="101" customHeight="1" ht="25.350000000000005">
      <c r="A101" s="69"/>
      <c r="B101" s="70" t="s">
        <v>980</v>
      </c>
      <c r="C101" s="71" t="s">
        <v>964</v>
      </c>
      <c r="D101" s="84">
        <v>3.6</v>
      </c>
      <c r="E101" s="73">
        <v>2000</v>
      </c>
      <c r="F101" s="74">
        <f>E101-G101</f>
      </c>
      <c r="G101" s="74"/>
      <c r="H101" s="75">
        <f>D101*2120.01</f>
      </c>
      <c r="I101" s="75">
        <f>F101*H101</f>
      </c>
      <c r="J101" s="75">
        <f>G101*H101</f>
      </c>
      <c r="K101" s="75"/>
      <c r="L101" s="75">
        <f>D101*E101</f>
      </c>
      <c r="M101" s="75">
        <v>2120.01</v>
      </c>
      <c r="N101" s="75">
        <f>L101*M101</f>
      </c>
      <c r="O101" s="75">
        <f>(I101+J101)-N101</f>
      </c>
      <c r="P101" s="87">
        <v>7632.04</v>
      </c>
      <c r="Q101" s="88" t="s">
        <v>976</v>
      </c>
      <c r="R101" s="77" t="s">
        <v>842</v>
      </c>
      <c r="S101" s="78" t="s">
        <v>946</v>
      </c>
      <c r="T101" s="78" t="s">
        <v>835</v>
      </c>
      <c r="U101" s="82"/>
      <c r="V101" s="50"/>
      <c r="W101" s="50"/>
      <c r="X101" s="80"/>
      <c r="Y101" s="80"/>
      <c r="Z101" s="80"/>
      <c r="AA101" s="80"/>
      <c r="AB101" s="80"/>
      <c r="AC101" s="80"/>
      <c r="AD101" s="80"/>
    </row>
    <row x14ac:dyDescent="0.25" r="102" customHeight="1" ht="25.350000000000005">
      <c r="A102" s="69"/>
      <c r="B102" s="70" t="s">
        <v>981</v>
      </c>
      <c r="C102" s="71" t="s">
        <v>964</v>
      </c>
      <c r="D102" s="84">
        <v>10.6</v>
      </c>
      <c r="E102" s="73">
        <v>200</v>
      </c>
      <c r="F102" s="74">
        <f>E102-G102</f>
      </c>
      <c r="G102" s="74"/>
      <c r="H102" s="75">
        <f>D102*2120.01</f>
      </c>
      <c r="I102" s="75">
        <f>F102*H102</f>
      </c>
      <c r="J102" s="75">
        <f>G102*H102</f>
      </c>
      <c r="K102" s="75"/>
      <c r="L102" s="75">
        <f>D102*E102</f>
      </c>
      <c r="M102" s="75">
        <v>2120.01</v>
      </c>
      <c r="N102" s="75">
        <f>L102*M102</f>
      </c>
      <c r="O102" s="75">
        <f>(I102+J102)-N102</f>
      </c>
      <c r="P102" s="97">
        <v>22472.1</v>
      </c>
      <c r="Q102" s="96" t="s">
        <v>976</v>
      </c>
      <c r="R102" s="77" t="s">
        <v>842</v>
      </c>
      <c r="S102" s="78" t="s">
        <v>946</v>
      </c>
      <c r="T102" s="78" t="s">
        <v>835</v>
      </c>
      <c r="U102" s="82"/>
      <c r="V102" s="50"/>
      <c r="W102" s="50"/>
      <c r="X102" s="80"/>
      <c r="Y102" s="80"/>
      <c r="Z102" s="80"/>
      <c r="AA102" s="80"/>
      <c r="AB102" s="80"/>
      <c r="AC102" s="80"/>
      <c r="AD102" s="80"/>
    </row>
    <row x14ac:dyDescent="0.25" r="103" customHeight="1" ht="25.350000000000005">
      <c r="A103" s="69"/>
      <c r="B103" s="70" t="s">
        <v>982</v>
      </c>
      <c r="C103" s="71" t="s">
        <v>964</v>
      </c>
      <c r="D103" s="84">
        <v>10.5</v>
      </c>
      <c r="E103" s="73">
        <v>2000</v>
      </c>
      <c r="F103" s="74">
        <f>E103-G103</f>
      </c>
      <c r="G103" s="74"/>
      <c r="H103" s="75">
        <f>D103*2120.01</f>
      </c>
      <c r="I103" s="75">
        <f>F103*H103</f>
      </c>
      <c r="J103" s="75">
        <f>G103*H103</f>
      </c>
      <c r="K103" s="75"/>
      <c r="L103" s="75">
        <f>D103*E103</f>
      </c>
      <c r="M103" s="75">
        <v>2120.01</v>
      </c>
      <c r="N103" s="75">
        <f>L103*M103</f>
      </c>
      <c r="O103" s="75">
        <f>(I103+J103)-N103</f>
      </c>
      <c r="P103" s="75">
        <v>22260.1</v>
      </c>
      <c r="Q103" s="76" t="s">
        <v>976</v>
      </c>
      <c r="R103" s="77" t="s">
        <v>842</v>
      </c>
      <c r="S103" s="78" t="s">
        <v>946</v>
      </c>
      <c r="T103" s="78" t="s">
        <v>835</v>
      </c>
      <c r="U103" s="82"/>
      <c r="V103" s="50"/>
      <c r="W103" s="50"/>
      <c r="X103" s="80"/>
      <c r="Y103" s="80"/>
      <c r="Z103" s="80"/>
      <c r="AA103" s="80"/>
      <c r="AB103" s="80"/>
      <c r="AC103" s="80"/>
      <c r="AD103" s="80"/>
    </row>
    <row x14ac:dyDescent="0.25" r="104" customHeight="1" ht="25.350000000000005">
      <c r="A104" s="69"/>
      <c r="B104" s="70" t="s">
        <v>983</v>
      </c>
      <c r="C104" s="71" t="s">
        <v>964</v>
      </c>
      <c r="D104" s="84">
        <v>6</v>
      </c>
      <c r="E104" s="73">
        <v>50</v>
      </c>
      <c r="F104" s="74">
        <f>E104-G104</f>
      </c>
      <c r="G104" s="74"/>
      <c r="H104" s="75">
        <f>D104*2120.01</f>
      </c>
      <c r="I104" s="75">
        <f>F104*H104</f>
      </c>
      <c r="J104" s="75">
        <f>G104*H104</f>
      </c>
      <c r="K104" s="75"/>
      <c r="L104" s="75">
        <f>D104*E104</f>
      </c>
      <c r="M104" s="75">
        <v>2120.01</v>
      </c>
      <c r="N104" s="75">
        <f>L104*M104</f>
      </c>
      <c r="O104" s="75">
        <f>(I104+J104)-N104</f>
      </c>
      <c r="P104" s="97">
        <v>12720.06</v>
      </c>
      <c r="Q104" s="96" t="s">
        <v>976</v>
      </c>
      <c r="R104" s="77" t="s">
        <v>842</v>
      </c>
      <c r="S104" s="78" t="s">
        <v>946</v>
      </c>
      <c r="T104" s="78" t="s">
        <v>835</v>
      </c>
      <c r="U104" s="82"/>
      <c r="V104" s="50"/>
      <c r="W104" s="50"/>
      <c r="X104" s="80"/>
      <c r="Y104" s="80"/>
      <c r="Z104" s="80"/>
      <c r="AA104" s="80"/>
      <c r="AB104" s="80"/>
      <c r="AC104" s="80"/>
      <c r="AD104" s="80"/>
    </row>
    <row x14ac:dyDescent="0.25" r="105" customHeight="1" ht="25.350000000000005">
      <c r="A105" s="69"/>
      <c r="B105" s="80" t="s">
        <v>984</v>
      </c>
      <c r="C105" s="71" t="s">
        <v>964</v>
      </c>
      <c r="D105" s="84">
        <v>2.8</v>
      </c>
      <c r="E105" s="73">
        <v>1500</v>
      </c>
      <c r="F105" s="74">
        <f>E105-G105</f>
      </c>
      <c r="G105" s="74"/>
      <c r="H105" s="75">
        <f>D105*2120.01</f>
      </c>
      <c r="I105" s="75">
        <f>F105*H105</f>
      </c>
      <c r="J105" s="75">
        <f>G105*H105</f>
      </c>
      <c r="K105" s="75"/>
      <c r="L105" s="75">
        <f>D105*E105</f>
      </c>
      <c r="M105" s="75">
        <v>2120.01</v>
      </c>
      <c r="N105" s="75">
        <f>L105*M105</f>
      </c>
      <c r="O105" s="75">
        <f>(I105+J105)-N105</f>
      </c>
      <c r="P105" s="75">
        <v>5936.03</v>
      </c>
      <c r="Q105" s="76" t="s">
        <v>976</v>
      </c>
      <c r="R105" s="77" t="s">
        <v>842</v>
      </c>
      <c r="S105" s="78" t="s">
        <v>946</v>
      </c>
      <c r="T105" s="78" t="s">
        <v>835</v>
      </c>
      <c r="U105" s="82"/>
      <c r="V105" s="50"/>
      <c r="W105" s="50"/>
      <c r="X105" s="80"/>
      <c r="Y105" s="80"/>
      <c r="Z105" s="80"/>
      <c r="AA105" s="80"/>
      <c r="AB105" s="80"/>
      <c r="AC105" s="80"/>
      <c r="AD105" s="80"/>
    </row>
    <row x14ac:dyDescent="0.25" r="106" customHeight="1" ht="25.350000000000005">
      <c r="A106" s="69">
        <v>22</v>
      </c>
      <c r="B106" s="70" t="s">
        <v>949</v>
      </c>
      <c r="C106" s="71" t="s">
        <v>831</v>
      </c>
      <c r="D106" s="84">
        <v>2.5</v>
      </c>
      <c r="E106" s="73">
        <v>9000</v>
      </c>
      <c r="F106" s="74">
        <f>E106-G106</f>
      </c>
      <c r="G106" s="74"/>
      <c r="H106" s="75">
        <f>D106*2120.01</f>
      </c>
      <c r="I106" s="75">
        <f>F106*H106</f>
      </c>
      <c r="J106" s="75">
        <f>G106*H106</f>
      </c>
      <c r="K106" s="75"/>
      <c r="L106" s="75">
        <f>D106*E106</f>
      </c>
      <c r="M106" s="75">
        <v>2120.01</v>
      </c>
      <c r="N106" s="75">
        <f>L106*M106</f>
      </c>
      <c r="O106" s="75">
        <f>(I106+J106)-N106</f>
      </c>
      <c r="P106" s="75">
        <v>5300.02</v>
      </c>
      <c r="Q106" s="76" t="s">
        <v>985</v>
      </c>
      <c r="R106" s="77" t="s">
        <v>842</v>
      </c>
      <c r="S106" s="78" t="s">
        <v>946</v>
      </c>
      <c r="T106" s="78" t="s">
        <v>835</v>
      </c>
      <c r="U106" s="83" t="s">
        <v>986</v>
      </c>
      <c r="V106" s="50"/>
      <c r="W106" s="50"/>
      <c r="X106" s="80"/>
      <c r="Y106" s="80"/>
      <c r="Z106" s="80"/>
      <c r="AA106" s="80"/>
      <c r="AB106" s="80"/>
      <c r="AC106" s="80"/>
      <c r="AD106" s="80"/>
    </row>
    <row x14ac:dyDescent="0.25" r="107" customHeight="1" ht="25.350000000000005">
      <c r="A107" s="69"/>
      <c r="B107" s="70" t="s">
        <v>978</v>
      </c>
      <c r="C107" s="71" t="s">
        <v>964</v>
      </c>
      <c r="D107" s="84">
        <v>6.1</v>
      </c>
      <c r="E107" s="73">
        <v>5000</v>
      </c>
      <c r="F107" s="74">
        <f>E107-G107</f>
      </c>
      <c r="G107" s="74"/>
      <c r="H107" s="75">
        <f>D107*2120.01</f>
      </c>
      <c r="I107" s="75">
        <f>F107*H107</f>
      </c>
      <c r="J107" s="75">
        <f>G107*H107</f>
      </c>
      <c r="K107" s="75"/>
      <c r="L107" s="75">
        <f>D107*E107</f>
      </c>
      <c r="M107" s="75">
        <v>2120.01</v>
      </c>
      <c r="N107" s="75">
        <f>L107*M107</f>
      </c>
      <c r="O107" s="75">
        <f>(I107+J107)-N107</f>
      </c>
      <c r="P107" s="97">
        <v>13272.77</v>
      </c>
      <c r="Q107" s="96" t="s">
        <v>985</v>
      </c>
      <c r="R107" s="77" t="s">
        <v>842</v>
      </c>
      <c r="S107" s="78" t="s">
        <v>946</v>
      </c>
      <c r="T107" s="78" t="s">
        <v>835</v>
      </c>
      <c r="U107" s="90"/>
      <c r="V107" s="50"/>
      <c r="W107" s="50"/>
      <c r="X107" s="80"/>
      <c r="Y107" s="80"/>
      <c r="Z107" s="80"/>
      <c r="AA107" s="80"/>
      <c r="AB107" s="80"/>
      <c r="AC107" s="80"/>
      <c r="AD107" s="80"/>
    </row>
    <row x14ac:dyDescent="0.25" r="108" customHeight="1" ht="25.350000000000005">
      <c r="A108" s="69"/>
      <c r="B108" s="70" t="s">
        <v>952</v>
      </c>
      <c r="C108" s="71" t="s">
        <v>964</v>
      </c>
      <c r="D108" s="84">
        <v>4.2</v>
      </c>
      <c r="E108" s="73">
        <v>4000</v>
      </c>
      <c r="F108" s="74">
        <f>E108-G108</f>
      </c>
      <c r="G108" s="74"/>
      <c r="H108" s="75">
        <f>D108*2120.01</f>
      </c>
      <c r="I108" s="75">
        <f>F108*H108</f>
      </c>
      <c r="J108" s="75">
        <f>G108*H108</f>
      </c>
      <c r="K108" s="75"/>
      <c r="L108" s="75">
        <f>D108*E108</f>
      </c>
      <c r="M108" s="75">
        <v>2120.01</v>
      </c>
      <c r="N108" s="75">
        <f>L108*M108</f>
      </c>
      <c r="O108" s="75">
        <f>(I108+J108)-N108</f>
      </c>
      <c r="P108" s="75">
        <v>8904.04</v>
      </c>
      <c r="Q108" s="76" t="s">
        <v>985</v>
      </c>
      <c r="R108" s="77" t="s">
        <v>842</v>
      </c>
      <c r="S108" s="78" t="s">
        <v>946</v>
      </c>
      <c r="T108" s="78" t="s">
        <v>835</v>
      </c>
      <c r="U108" s="82"/>
      <c r="V108" s="50"/>
      <c r="W108" s="50"/>
      <c r="X108" s="80"/>
      <c r="Y108" s="80"/>
      <c r="Z108" s="80"/>
      <c r="AA108" s="80"/>
      <c r="AB108" s="80"/>
      <c r="AC108" s="80"/>
      <c r="AD108" s="80"/>
    </row>
    <row x14ac:dyDescent="0.25" r="109" customHeight="1" ht="25.350000000000005">
      <c r="A109" s="69"/>
      <c r="B109" s="70" t="s">
        <v>987</v>
      </c>
      <c r="C109" s="71" t="s">
        <v>964</v>
      </c>
      <c r="D109" s="84">
        <v>3.6</v>
      </c>
      <c r="E109" s="73">
        <v>2000</v>
      </c>
      <c r="F109" s="74">
        <f>E109-G109</f>
      </c>
      <c r="G109" s="74"/>
      <c r="H109" s="75">
        <f>D109*2120.01</f>
      </c>
      <c r="I109" s="75">
        <f>F109*H109</f>
      </c>
      <c r="J109" s="75">
        <f>G109*H109</f>
      </c>
      <c r="K109" s="75"/>
      <c r="L109" s="75">
        <f>D109*E109</f>
      </c>
      <c r="M109" s="75">
        <v>2120.01</v>
      </c>
      <c r="N109" s="75">
        <f>L109*M109</f>
      </c>
      <c r="O109" s="75">
        <f>(I109+J109)-N109</f>
      </c>
      <c r="P109" s="97">
        <v>7632.04</v>
      </c>
      <c r="Q109" s="96" t="s">
        <v>985</v>
      </c>
      <c r="R109" s="77" t="s">
        <v>842</v>
      </c>
      <c r="S109" s="78" t="s">
        <v>946</v>
      </c>
      <c r="T109" s="78" t="s">
        <v>835</v>
      </c>
      <c r="U109" s="82"/>
      <c r="V109" s="50"/>
      <c r="W109" s="50"/>
      <c r="X109" s="80"/>
      <c r="Y109" s="80"/>
      <c r="Z109" s="80"/>
      <c r="AA109" s="80"/>
      <c r="AB109" s="80"/>
      <c r="AC109" s="80"/>
      <c r="AD109" s="80"/>
    </row>
    <row x14ac:dyDescent="0.25" r="110" customHeight="1" ht="25.350000000000005">
      <c r="A110" s="69"/>
      <c r="B110" s="70" t="s">
        <v>988</v>
      </c>
      <c r="C110" s="71" t="s">
        <v>964</v>
      </c>
      <c r="D110" s="84">
        <v>2.5</v>
      </c>
      <c r="E110" s="73">
        <v>2000</v>
      </c>
      <c r="F110" s="74">
        <f>E110-G110</f>
      </c>
      <c r="G110" s="74"/>
      <c r="H110" s="75">
        <f>D110*2120.01</f>
      </c>
      <c r="I110" s="75">
        <f>F110*H110</f>
      </c>
      <c r="J110" s="75">
        <f>G110*H110</f>
      </c>
      <c r="K110" s="75"/>
      <c r="L110" s="75">
        <f>D110*E110</f>
      </c>
      <c r="M110" s="75">
        <v>2120.01</v>
      </c>
      <c r="N110" s="75">
        <f>L110*M110</f>
      </c>
      <c r="O110" s="75">
        <f>(I110+J110)-N110</f>
      </c>
      <c r="P110" s="75">
        <v>5300.02</v>
      </c>
      <c r="Q110" s="76" t="s">
        <v>985</v>
      </c>
      <c r="R110" s="77" t="s">
        <v>842</v>
      </c>
      <c r="S110" s="78" t="s">
        <v>946</v>
      </c>
      <c r="T110" s="78" t="s">
        <v>835</v>
      </c>
      <c r="U110" s="82"/>
      <c r="V110" s="50"/>
      <c r="W110" s="50"/>
      <c r="X110" s="80"/>
      <c r="Y110" s="80"/>
      <c r="Z110" s="80"/>
      <c r="AA110" s="80"/>
      <c r="AB110" s="80"/>
      <c r="AC110" s="80"/>
      <c r="AD110" s="80"/>
    </row>
    <row x14ac:dyDescent="0.25" r="111" customHeight="1" ht="25.350000000000005">
      <c r="A111" s="69"/>
      <c r="B111" s="80" t="s">
        <v>984</v>
      </c>
      <c r="C111" s="71" t="s">
        <v>964</v>
      </c>
      <c r="D111" s="84">
        <v>2.8</v>
      </c>
      <c r="E111" s="73">
        <v>2000</v>
      </c>
      <c r="F111" s="74">
        <f>E111-G111</f>
      </c>
      <c r="G111" s="74"/>
      <c r="H111" s="75">
        <f>D111*2120.01</f>
      </c>
      <c r="I111" s="75">
        <f>F111*H111</f>
      </c>
      <c r="J111" s="75">
        <f>G111*H111</f>
      </c>
      <c r="K111" s="75"/>
      <c r="L111" s="75">
        <f>D111*E111</f>
      </c>
      <c r="M111" s="75">
        <v>2120.01</v>
      </c>
      <c r="N111" s="75">
        <f>L111*M111</f>
      </c>
      <c r="O111" s="75">
        <f>(I111+J111)-N111</f>
      </c>
      <c r="P111" s="75">
        <v>5936.03</v>
      </c>
      <c r="Q111" s="96" t="s">
        <v>985</v>
      </c>
      <c r="R111" s="77" t="s">
        <v>842</v>
      </c>
      <c r="S111" s="78" t="s">
        <v>946</v>
      </c>
      <c r="T111" s="78" t="s">
        <v>835</v>
      </c>
      <c r="U111" s="82"/>
      <c r="V111" s="50"/>
      <c r="W111" s="50"/>
      <c r="X111" s="80"/>
      <c r="Y111" s="80"/>
      <c r="Z111" s="80"/>
      <c r="AA111" s="80"/>
      <c r="AB111" s="80"/>
      <c r="AC111" s="80"/>
      <c r="AD111" s="80"/>
    </row>
    <row x14ac:dyDescent="0.25" r="112" customHeight="1" ht="25.350000000000005">
      <c r="A112" s="69"/>
      <c r="B112" s="82" t="s">
        <v>989</v>
      </c>
      <c r="C112" s="71" t="s">
        <v>883</v>
      </c>
      <c r="D112" s="72">
        <v>5500</v>
      </c>
      <c r="E112" s="73">
        <v>2</v>
      </c>
      <c r="F112" s="74">
        <f>E112-G112</f>
      </c>
      <c r="G112" s="74"/>
      <c r="H112" s="75">
        <f>D112*2120.01</f>
      </c>
      <c r="I112" s="75">
        <f>F112*H112</f>
      </c>
      <c r="J112" s="75">
        <f>G112*H112</f>
      </c>
      <c r="K112" s="75"/>
      <c r="L112" s="75">
        <f>D112*E112</f>
      </c>
      <c r="M112" s="75">
        <v>2120.01</v>
      </c>
      <c r="N112" s="75">
        <f>L112*M112</f>
      </c>
      <c r="O112" s="75">
        <f>(I112+J112)-N112</f>
      </c>
      <c r="P112" s="75"/>
      <c r="Q112" s="76" t="s">
        <v>985</v>
      </c>
      <c r="R112" s="77" t="s">
        <v>842</v>
      </c>
      <c r="S112" s="78" t="s">
        <v>946</v>
      </c>
      <c r="T112" s="78" t="s">
        <v>835</v>
      </c>
      <c r="U112" s="83" t="s">
        <v>986</v>
      </c>
      <c r="V112" s="50"/>
      <c r="W112" s="50"/>
      <c r="X112" s="80"/>
      <c r="Y112" s="80"/>
      <c r="Z112" s="80"/>
      <c r="AA112" s="80"/>
      <c r="AB112" s="80"/>
      <c r="AC112" s="80"/>
      <c r="AD112" s="80"/>
    </row>
    <row x14ac:dyDescent="0.25" r="113" customHeight="1" ht="43.5">
      <c r="A113" s="69">
        <v>23</v>
      </c>
      <c r="B113" s="70" t="s">
        <v>830</v>
      </c>
      <c r="C113" s="71" t="s">
        <v>831</v>
      </c>
      <c r="D113" s="84">
        <v>1.55</v>
      </c>
      <c r="E113" s="73">
        <v>22000</v>
      </c>
      <c r="F113" s="74">
        <f>E113-G113</f>
      </c>
      <c r="G113" s="74"/>
      <c r="H113" s="75">
        <f>D113*2120.01</f>
      </c>
      <c r="I113" s="75">
        <f>F113*H113</f>
      </c>
      <c r="J113" s="75">
        <f>G113*H113</f>
      </c>
      <c r="K113" s="75"/>
      <c r="L113" s="75">
        <f>D113*E113</f>
      </c>
      <c r="M113" s="75">
        <v>2120.01</v>
      </c>
      <c r="N113" s="75">
        <f>L113*M113</f>
      </c>
      <c r="O113" s="75">
        <f>(I113+J113)-N113</f>
      </c>
      <c r="P113" s="75">
        <v>3464.52</v>
      </c>
      <c r="Q113" s="76" t="s">
        <v>990</v>
      </c>
      <c r="R113" s="77" t="s">
        <v>842</v>
      </c>
      <c r="S113" s="78" t="s">
        <v>946</v>
      </c>
      <c r="T113" s="78" t="s">
        <v>835</v>
      </c>
      <c r="U113" s="83" t="s">
        <v>991</v>
      </c>
      <c r="V113" s="50"/>
      <c r="W113" s="50"/>
      <c r="X113" s="80"/>
      <c r="Y113" s="80"/>
      <c r="Z113" s="80"/>
      <c r="AA113" s="80"/>
      <c r="AB113" s="80"/>
      <c r="AC113" s="80"/>
      <c r="AD113" s="80"/>
    </row>
    <row x14ac:dyDescent="0.25" r="114" customHeight="1" ht="33.75">
      <c r="A114" s="69"/>
      <c r="B114" s="70" t="s">
        <v>837</v>
      </c>
      <c r="C114" s="71" t="s">
        <v>964</v>
      </c>
      <c r="D114" s="84">
        <v>1.425</v>
      </c>
      <c r="E114" s="73">
        <v>22000</v>
      </c>
      <c r="F114" s="74">
        <f>E114-G114</f>
      </c>
      <c r="G114" s="74"/>
      <c r="H114" s="75">
        <f>D114*2120.01</f>
      </c>
      <c r="I114" s="75">
        <f>F114*H114</f>
      </c>
      <c r="J114" s="75">
        <f>G114*H114</f>
      </c>
      <c r="K114" s="75"/>
      <c r="L114" s="75">
        <f>D114*E114</f>
      </c>
      <c r="M114" s="75">
        <v>2120.01</v>
      </c>
      <c r="N114" s="75">
        <f>L114*M114</f>
      </c>
      <c r="O114" s="75">
        <f>(I114+J114)-N114</f>
      </c>
      <c r="P114" s="75">
        <v>3262.32</v>
      </c>
      <c r="Q114" s="96" t="s">
        <v>990</v>
      </c>
      <c r="R114" s="77" t="s">
        <v>842</v>
      </c>
      <c r="S114" s="78" t="s">
        <v>946</v>
      </c>
      <c r="T114" s="78" t="s">
        <v>835</v>
      </c>
      <c r="U114" s="90"/>
      <c r="V114" s="50"/>
      <c r="W114" s="50"/>
      <c r="X114" s="80"/>
      <c r="Y114" s="80"/>
      <c r="Z114" s="80"/>
      <c r="AA114" s="80"/>
      <c r="AB114" s="80"/>
      <c r="AC114" s="80"/>
      <c r="AD114" s="80"/>
    </row>
    <row x14ac:dyDescent="0.25" r="115" customHeight="1" ht="25.350000000000005">
      <c r="A115" s="69"/>
      <c r="B115" s="70" t="s">
        <v>838</v>
      </c>
      <c r="C115" s="71" t="s">
        <v>964</v>
      </c>
      <c r="D115" s="84">
        <v>1.425</v>
      </c>
      <c r="E115" s="73">
        <v>22000</v>
      </c>
      <c r="F115" s="74">
        <f>E115-G115</f>
      </c>
      <c r="G115" s="74">
        <v>5000</v>
      </c>
      <c r="H115" s="75">
        <f>D115*2120.01</f>
      </c>
      <c r="I115" s="75">
        <f>F115*H115</f>
      </c>
      <c r="J115" s="75">
        <f>G115*H115</f>
      </c>
      <c r="K115" s="75"/>
      <c r="L115" s="75">
        <f>D115*E115</f>
      </c>
      <c r="M115" s="75">
        <v>2120.01</v>
      </c>
      <c r="N115" s="75">
        <f>L115*M115</f>
      </c>
      <c r="O115" s="75">
        <f>(I115+J115)-N115</f>
      </c>
      <c r="P115" s="75">
        <v>3286.02</v>
      </c>
      <c r="Q115" s="96" t="s">
        <v>990</v>
      </c>
      <c r="R115" s="77" t="s">
        <v>842</v>
      </c>
      <c r="S115" s="78" t="s">
        <v>946</v>
      </c>
      <c r="T115" s="78" t="s">
        <v>835</v>
      </c>
      <c r="U115" s="82"/>
      <c r="V115" s="50"/>
      <c r="W115" s="50"/>
      <c r="X115" s="80"/>
      <c r="Y115" s="80"/>
      <c r="Z115" s="80"/>
      <c r="AA115" s="80"/>
      <c r="AB115" s="80"/>
      <c r="AC115" s="80"/>
      <c r="AD115" s="80"/>
    </row>
    <row x14ac:dyDescent="0.25" r="116" customHeight="1" ht="42">
      <c r="A116" s="69">
        <v>24</v>
      </c>
      <c r="B116" s="82" t="s">
        <v>944</v>
      </c>
      <c r="C116" s="71" t="s">
        <v>831</v>
      </c>
      <c r="D116" s="84">
        <v>4.95</v>
      </c>
      <c r="E116" s="73">
        <v>19964</v>
      </c>
      <c r="F116" s="74">
        <f>E116-G116</f>
      </c>
      <c r="G116" s="74"/>
      <c r="H116" s="75">
        <f>D116*2120.01</f>
      </c>
      <c r="I116" s="75">
        <f>F116*H116</f>
      </c>
      <c r="J116" s="75">
        <f>G116*H116</f>
      </c>
      <c r="K116" s="75"/>
      <c r="L116" s="75">
        <f>D116*E116</f>
      </c>
      <c r="M116" s="75">
        <v>2120.01</v>
      </c>
      <c r="N116" s="75">
        <f>L116*M116</f>
      </c>
      <c r="O116" s="75">
        <f>(I116+J116)-N116</f>
      </c>
      <c r="P116" s="75">
        <v>10608.69</v>
      </c>
      <c r="Q116" s="76" t="s">
        <v>992</v>
      </c>
      <c r="R116" s="77" t="s">
        <v>842</v>
      </c>
      <c r="S116" s="78" t="s">
        <v>946</v>
      </c>
      <c r="T116" s="78" t="s">
        <v>844</v>
      </c>
      <c r="U116" s="83" t="s">
        <v>993</v>
      </c>
      <c r="V116" s="50"/>
      <c r="W116" s="50"/>
      <c r="X116" s="80"/>
      <c r="Y116" s="80"/>
      <c r="Z116" s="80"/>
      <c r="AA116" s="80"/>
      <c r="AB116" s="80"/>
      <c r="AC116" s="80"/>
      <c r="AD116" s="80"/>
    </row>
    <row x14ac:dyDescent="0.25" r="117" customHeight="1" ht="49.5">
      <c r="A117" s="69">
        <v>25</v>
      </c>
      <c r="B117" s="70" t="s">
        <v>837</v>
      </c>
      <c r="C117" s="71" t="s">
        <v>831</v>
      </c>
      <c r="D117" s="84">
        <v>1.56</v>
      </c>
      <c r="E117" s="73">
        <v>66000</v>
      </c>
      <c r="F117" s="74">
        <f>E117-G117</f>
      </c>
      <c r="G117" s="74">
        <v>62000</v>
      </c>
      <c r="H117" s="75">
        <f>D117*2120.01</f>
      </c>
      <c r="I117" s="75">
        <f>F117*H117</f>
      </c>
      <c r="J117" s="75">
        <f>G117*H117</f>
      </c>
      <c r="K117" s="75"/>
      <c r="L117" s="75">
        <f>D117*E117</f>
      </c>
      <c r="M117" s="75">
        <v>2120.01</v>
      </c>
      <c r="N117" s="75">
        <f>L117*M117</f>
      </c>
      <c r="O117" s="75">
        <f>(I117+J117)-N117</f>
      </c>
      <c r="P117" s="75">
        <v>3262.32</v>
      </c>
      <c r="Q117" s="76" t="s">
        <v>994</v>
      </c>
      <c r="R117" s="77" t="s">
        <v>842</v>
      </c>
      <c r="S117" s="77" t="s">
        <v>834</v>
      </c>
      <c r="T117" s="77" t="s">
        <v>835</v>
      </c>
      <c r="U117" s="83" t="s">
        <v>995</v>
      </c>
      <c r="V117" s="50"/>
      <c r="W117" s="50"/>
      <c r="X117" s="80"/>
      <c r="Y117" s="80"/>
      <c r="Z117" s="80"/>
      <c r="AA117" s="80"/>
      <c r="AB117" s="80"/>
      <c r="AC117" s="80"/>
      <c r="AD117" s="80"/>
    </row>
    <row x14ac:dyDescent="0.25" r="118" customHeight="1" ht="25.350000000000005">
      <c r="A118" s="69">
        <v>26</v>
      </c>
      <c r="B118" s="70" t="s">
        <v>996</v>
      </c>
      <c r="C118" s="71" t="s">
        <v>831</v>
      </c>
      <c r="D118" s="87">
        <v>1.6</v>
      </c>
      <c r="E118" s="73">
        <v>19255</v>
      </c>
      <c r="F118" s="74">
        <f>E118-G118</f>
      </c>
      <c r="G118" s="73">
        <v>3749</v>
      </c>
      <c r="H118" s="75">
        <f>D118*2120.01</f>
      </c>
      <c r="I118" s="75">
        <f>F118*H118</f>
      </c>
      <c r="J118" s="75">
        <f>G118*H118</f>
      </c>
      <c r="K118" s="75"/>
      <c r="L118" s="87">
        <f>E118*D118</f>
      </c>
      <c r="M118" s="75">
        <v>2120.01</v>
      </c>
      <c r="N118" s="75">
        <f>L118*M118</f>
      </c>
      <c r="O118" s="75">
        <f>(I118+J118)-N118</f>
      </c>
      <c r="P118" s="87">
        <v>3392.01</v>
      </c>
      <c r="Q118" s="88" t="s">
        <v>997</v>
      </c>
      <c r="R118" s="70" t="s">
        <v>998</v>
      </c>
      <c r="S118" s="70" t="s">
        <v>999</v>
      </c>
      <c r="T118" s="70" t="s">
        <v>844</v>
      </c>
      <c r="U118" s="82" t="s">
        <v>1000</v>
      </c>
      <c r="V118" s="50"/>
      <c r="W118" s="50"/>
      <c r="X118" s="80"/>
      <c r="Y118" s="80"/>
      <c r="Z118" s="80"/>
      <c r="AA118" s="80"/>
      <c r="AB118" s="80"/>
      <c r="AC118" s="80"/>
      <c r="AD118" s="80"/>
    </row>
    <row x14ac:dyDescent="0.25" r="119" customHeight="1" ht="43.5">
      <c r="A119" s="69">
        <v>27</v>
      </c>
      <c r="B119" s="70" t="s">
        <v>853</v>
      </c>
      <c r="C119" s="71" t="s">
        <v>831</v>
      </c>
      <c r="D119" s="87">
        <v>3.8</v>
      </c>
      <c r="E119" s="73">
        <v>20000</v>
      </c>
      <c r="F119" s="74">
        <f>E119-G119</f>
      </c>
      <c r="G119" s="73">
        <v>5000</v>
      </c>
      <c r="H119" s="75">
        <f>D119*2120.01</f>
      </c>
      <c r="I119" s="75">
        <f>F119*H119</f>
      </c>
      <c r="J119" s="75">
        <f>G119*H119</f>
      </c>
      <c r="K119" s="75"/>
      <c r="L119" s="87">
        <f>E119*D119</f>
      </c>
      <c r="M119" s="75">
        <v>2120.01</v>
      </c>
      <c r="N119" s="75">
        <f>L119*M119</f>
      </c>
      <c r="O119" s="75">
        <f>(I119+J119)-N119</f>
      </c>
      <c r="P119" s="75">
        <v>7777.19</v>
      </c>
      <c r="Q119" s="88" t="s">
        <v>1001</v>
      </c>
      <c r="R119" s="70" t="s">
        <v>998</v>
      </c>
      <c r="S119" s="70" t="s">
        <v>834</v>
      </c>
      <c r="T119" s="70" t="s">
        <v>851</v>
      </c>
      <c r="U119" s="82" t="s">
        <v>1002</v>
      </c>
      <c r="V119" s="50"/>
      <c r="W119" s="50"/>
      <c r="X119" s="80"/>
      <c r="Y119" s="80"/>
      <c r="Z119" s="80"/>
      <c r="AA119" s="80"/>
      <c r="AB119" s="80"/>
      <c r="AC119" s="80"/>
      <c r="AD119" s="80"/>
    </row>
    <row x14ac:dyDescent="0.25" r="120" customHeight="1" ht="48">
      <c r="A120" s="69">
        <v>28</v>
      </c>
      <c r="B120" s="70" t="s">
        <v>837</v>
      </c>
      <c r="C120" s="71" t="s">
        <v>831</v>
      </c>
      <c r="D120" s="87">
        <v>1.59</v>
      </c>
      <c r="E120" s="73">
        <v>66000</v>
      </c>
      <c r="F120" s="74">
        <f>E120-G120</f>
      </c>
      <c r="G120" s="73">
        <v>57000</v>
      </c>
      <c r="H120" s="75">
        <f>D120*2120.01</f>
      </c>
      <c r="I120" s="75">
        <f>F120*H120</f>
      </c>
      <c r="J120" s="75">
        <f>G120*H120</f>
      </c>
      <c r="K120" s="75"/>
      <c r="L120" s="87">
        <f>E120*D120</f>
      </c>
      <c r="M120" s="75">
        <v>2120.01</v>
      </c>
      <c r="N120" s="75">
        <f>L120*M120</f>
      </c>
      <c r="O120" s="75">
        <f>(I120+J120)-N120</f>
      </c>
      <c r="P120" s="75">
        <v>3262.32</v>
      </c>
      <c r="Q120" s="88" t="s">
        <v>1003</v>
      </c>
      <c r="R120" s="70" t="s">
        <v>833</v>
      </c>
      <c r="S120" s="70" t="s">
        <v>834</v>
      </c>
      <c r="T120" s="70" t="s">
        <v>835</v>
      </c>
      <c r="U120" s="82" t="s">
        <v>1004</v>
      </c>
      <c r="V120" s="50"/>
      <c r="W120" s="50"/>
      <c r="X120" s="80"/>
      <c r="Y120" s="80"/>
      <c r="Z120" s="80"/>
      <c r="AA120" s="80"/>
      <c r="AB120" s="80"/>
      <c r="AC120" s="80"/>
      <c r="AD120" s="80"/>
    </row>
    <row x14ac:dyDescent="0.25" r="121" customHeight="1" ht="25.350000000000005">
      <c r="A121" s="69">
        <v>29</v>
      </c>
      <c r="B121" s="70" t="s">
        <v>1005</v>
      </c>
      <c r="C121" s="71" t="s">
        <v>1006</v>
      </c>
      <c r="D121" s="87">
        <v>5.272727</v>
      </c>
      <c r="E121" s="73">
        <v>3520</v>
      </c>
      <c r="F121" s="74">
        <f>E121-G121</f>
      </c>
      <c r="G121" s="73">
        <v>1100</v>
      </c>
      <c r="H121" s="75">
        <v>11178.23</v>
      </c>
      <c r="I121" s="75">
        <f>F121*H121</f>
      </c>
      <c r="J121" s="75">
        <f>G121*H121</f>
      </c>
      <c r="K121" s="75"/>
      <c r="L121" s="87">
        <f>E121*D121</f>
      </c>
      <c r="M121" s="75">
        <v>2120.01</v>
      </c>
      <c r="N121" s="75">
        <f>L121*M121</f>
      </c>
      <c r="O121" s="75">
        <f>(I121+J121)-N121</f>
      </c>
      <c r="P121" s="87">
        <v>11178.23</v>
      </c>
      <c r="Q121" s="88" t="s">
        <v>1007</v>
      </c>
      <c r="R121" s="70" t="s">
        <v>1008</v>
      </c>
      <c r="S121" s="70" t="s">
        <v>1009</v>
      </c>
      <c r="T121" s="70" t="s">
        <v>844</v>
      </c>
      <c r="U121" s="82" t="s">
        <v>1010</v>
      </c>
      <c r="V121" s="50"/>
      <c r="W121" s="50"/>
      <c r="X121" s="80"/>
      <c r="Y121" s="80"/>
      <c r="Z121" s="80"/>
      <c r="AA121" s="80"/>
      <c r="AB121" s="80"/>
      <c r="AC121" s="80"/>
      <c r="AD121" s="80"/>
    </row>
    <row x14ac:dyDescent="0.25" r="122" customHeight="1" ht="25.350000000000005">
      <c r="A122" s="69">
        <v>30</v>
      </c>
      <c r="B122" s="70" t="s">
        <v>972</v>
      </c>
      <c r="C122" s="71" t="s">
        <v>831</v>
      </c>
      <c r="D122" s="87">
        <v>0.97</v>
      </c>
      <c r="E122" s="73">
        <v>32000</v>
      </c>
      <c r="F122" s="74">
        <f>E122-G122</f>
      </c>
      <c r="G122" s="73">
        <v>5000</v>
      </c>
      <c r="H122" s="75">
        <f>D122*2120.01</f>
      </c>
      <c r="I122" s="75">
        <f>F122*H122</f>
      </c>
      <c r="J122" s="75">
        <f>G122*H122</f>
      </c>
      <c r="K122" s="75"/>
      <c r="L122" s="87">
        <f>E122*D122</f>
      </c>
      <c r="M122" s="75">
        <v>2120.01</v>
      </c>
      <c r="N122" s="75">
        <f>L122*M122</f>
      </c>
      <c r="O122" s="75">
        <f>(I122+J122)-N122</f>
      </c>
      <c r="P122" s="87">
        <v>2096.6</v>
      </c>
      <c r="Q122" s="88" t="s">
        <v>1011</v>
      </c>
      <c r="R122" s="70" t="s">
        <v>1012</v>
      </c>
      <c r="S122" s="70" t="s">
        <v>1013</v>
      </c>
      <c r="T122" s="70" t="s">
        <v>835</v>
      </c>
      <c r="U122" s="82" t="s">
        <v>1014</v>
      </c>
      <c r="V122" s="50"/>
      <c r="W122" s="50"/>
      <c r="X122" s="80"/>
      <c r="Y122" s="80"/>
      <c r="Z122" s="80"/>
      <c r="AA122" s="80"/>
      <c r="AB122" s="80"/>
      <c r="AC122" s="80"/>
      <c r="AD122" s="80"/>
    </row>
    <row x14ac:dyDescent="0.25" r="123" customHeight="1" ht="25.350000000000005">
      <c r="A123" s="69">
        <v>31</v>
      </c>
      <c r="B123" s="70" t="s">
        <v>972</v>
      </c>
      <c r="C123" s="71" t="s">
        <v>831</v>
      </c>
      <c r="D123" s="84">
        <v>1.108</v>
      </c>
      <c r="E123" s="69">
        <v>32000</v>
      </c>
      <c r="F123" s="74">
        <f>E123-G123</f>
      </c>
      <c r="G123" s="69">
        <v>6000</v>
      </c>
      <c r="H123" s="75">
        <f>D123*2120.01</f>
      </c>
      <c r="I123" s="75">
        <f>F123*H123</f>
      </c>
      <c r="J123" s="75">
        <f>G123*H123</f>
      </c>
      <c r="K123" s="75"/>
      <c r="L123" s="87">
        <f>E123*D123</f>
      </c>
      <c r="M123" s="75">
        <v>2120.01</v>
      </c>
      <c r="N123" s="75">
        <f>L123*M123</f>
      </c>
      <c r="O123" s="75">
        <f>(I123+J123)-N123</f>
      </c>
      <c r="P123" s="87">
        <v>2096.6</v>
      </c>
      <c r="Q123" s="88" t="s">
        <v>1015</v>
      </c>
      <c r="R123" s="70" t="s">
        <v>1012</v>
      </c>
      <c r="S123" s="70" t="s">
        <v>1013</v>
      </c>
      <c r="T123" s="70" t="s">
        <v>835</v>
      </c>
      <c r="U123" s="82" t="s">
        <v>1016</v>
      </c>
      <c r="V123" s="50"/>
      <c r="W123" s="50"/>
      <c r="X123" s="80"/>
      <c r="Y123" s="80"/>
      <c r="Z123" s="80"/>
      <c r="AA123" s="80"/>
      <c r="AB123" s="80"/>
      <c r="AC123" s="80"/>
      <c r="AD123" s="80"/>
    </row>
    <row x14ac:dyDescent="0.25" r="124" customHeight="1" ht="25.350000000000005">
      <c r="A124" s="69">
        <v>32</v>
      </c>
      <c r="B124" s="70" t="s">
        <v>856</v>
      </c>
      <c r="C124" s="71" t="s">
        <v>831</v>
      </c>
      <c r="D124" s="87">
        <v>0.96</v>
      </c>
      <c r="E124" s="73">
        <v>13500</v>
      </c>
      <c r="F124" s="74">
        <f>E124-G124</f>
      </c>
      <c r="G124" s="73"/>
      <c r="H124" s="75">
        <f>D124*2120.01</f>
      </c>
      <c r="I124" s="75">
        <f>F124*H124</f>
      </c>
      <c r="J124" s="75">
        <f>G124*H124</f>
      </c>
      <c r="K124" s="75"/>
      <c r="L124" s="87">
        <f>E124*D124</f>
      </c>
      <c r="M124" s="75">
        <v>2120.01</v>
      </c>
      <c r="N124" s="75">
        <f>L124*M124</f>
      </c>
      <c r="O124" s="75">
        <f>(I124+J124)-N124</f>
      </c>
      <c r="P124" s="75">
        <v>1969.98</v>
      </c>
      <c r="Q124" s="88" t="s">
        <v>1017</v>
      </c>
      <c r="R124" s="70" t="s">
        <v>833</v>
      </c>
      <c r="S124" s="70" t="s">
        <v>834</v>
      </c>
      <c r="T124" s="70" t="s">
        <v>835</v>
      </c>
      <c r="U124" s="82" t="s">
        <v>1018</v>
      </c>
      <c r="V124" s="50"/>
      <c r="W124" s="50"/>
      <c r="X124" s="80"/>
      <c r="Y124" s="80"/>
      <c r="Z124" s="80"/>
      <c r="AA124" s="80"/>
      <c r="AB124" s="80"/>
      <c r="AC124" s="80"/>
      <c r="AD124" s="80"/>
    </row>
    <row x14ac:dyDescent="0.25" r="125" customHeight="1" ht="25.350000000000005">
      <c r="A125" s="69"/>
      <c r="B125" s="70" t="s">
        <v>970</v>
      </c>
      <c r="C125" s="71" t="s">
        <v>964</v>
      </c>
      <c r="D125" s="87">
        <v>5.72</v>
      </c>
      <c r="E125" s="73">
        <v>1000</v>
      </c>
      <c r="F125" s="74">
        <f>E125-G125</f>
      </c>
      <c r="G125" s="73"/>
      <c r="H125" s="75">
        <f>D125*2120.01</f>
      </c>
      <c r="I125" s="75">
        <f>F125*H125</f>
      </c>
      <c r="J125" s="75">
        <f>G125*H125</f>
      </c>
      <c r="K125" s="75"/>
      <c r="L125" s="87">
        <f>E125*D125</f>
      </c>
      <c r="M125" s="75">
        <v>2120.01</v>
      </c>
      <c r="N125" s="75">
        <f>L125*M125</f>
      </c>
      <c r="O125" s="75">
        <f>(I125+J125)-N125</f>
      </c>
      <c r="P125" s="75">
        <v>12126.46</v>
      </c>
      <c r="Q125" s="88" t="s">
        <v>1017</v>
      </c>
      <c r="R125" s="70" t="s">
        <v>833</v>
      </c>
      <c r="S125" s="70" t="s">
        <v>834</v>
      </c>
      <c r="T125" s="70" t="s">
        <v>835</v>
      </c>
      <c r="U125" s="82"/>
      <c r="V125" s="50"/>
      <c r="W125" s="50"/>
      <c r="X125" s="80"/>
      <c r="Y125" s="80"/>
      <c r="Z125" s="80"/>
      <c r="AA125" s="80"/>
      <c r="AB125" s="80"/>
      <c r="AC125" s="80"/>
      <c r="AD125" s="80"/>
    </row>
    <row x14ac:dyDescent="0.25" r="126" customHeight="1" ht="25.350000000000005">
      <c r="A126" s="69"/>
      <c r="B126" s="70" t="s">
        <v>859</v>
      </c>
      <c r="C126" s="71" t="s">
        <v>964</v>
      </c>
      <c r="D126" s="87">
        <v>10.54</v>
      </c>
      <c r="E126" s="73">
        <v>1000</v>
      </c>
      <c r="F126" s="74">
        <f>E126-G126</f>
      </c>
      <c r="G126" s="73"/>
      <c r="H126" s="75">
        <f>D126*2120.01</f>
      </c>
      <c r="I126" s="75">
        <f>F126*H126</f>
      </c>
      <c r="J126" s="75">
        <f>G126*H126</f>
      </c>
      <c r="K126" s="75"/>
      <c r="L126" s="87">
        <f>E126*D126</f>
      </c>
      <c r="M126" s="75">
        <v>2120.01</v>
      </c>
      <c r="N126" s="75">
        <f>L126*M126</f>
      </c>
      <c r="O126" s="75">
        <f>(I126+J126)-N126</f>
      </c>
      <c r="P126" s="75">
        <v>22076.37</v>
      </c>
      <c r="Q126" s="88" t="s">
        <v>1017</v>
      </c>
      <c r="R126" s="70" t="s">
        <v>833</v>
      </c>
      <c r="S126" s="70" t="s">
        <v>834</v>
      </c>
      <c r="T126" s="70" t="s">
        <v>835</v>
      </c>
      <c r="U126" s="82"/>
      <c r="V126" s="50"/>
      <c r="W126" s="50"/>
      <c r="X126" s="80"/>
      <c r="Y126" s="80"/>
      <c r="Z126" s="80"/>
      <c r="AA126" s="80"/>
      <c r="AB126" s="80"/>
      <c r="AC126" s="80"/>
      <c r="AD126" s="80"/>
    </row>
    <row x14ac:dyDescent="0.25" r="127" customHeight="1" ht="25.350000000000005">
      <c r="A127" s="69">
        <v>33</v>
      </c>
      <c r="B127" s="70" t="s">
        <v>996</v>
      </c>
      <c r="C127" s="71" t="s">
        <v>831</v>
      </c>
      <c r="D127" s="87">
        <v>1.6</v>
      </c>
      <c r="E127" s="73">
        <v>19067</v>
      </c>
      <c r="F127" s="74">
        <f>E127-G127</f>
      </c>
      <c r="G127" s="73"/>
      <c r="H127" s="75">
        <f>D127*2120.01</f>
      </c>
      <c r="I127" s="75">
        <f>F127*H127</f>
      </c>
      <c r="J127" s="75">
        <f>G127*H127</f>
      </c>
      <c r="K127" s="75"/>
      <c r="L127" s="87">
        <f>E127*D127</f>
      </c>
      <c r="M127" s="75">
        <v>2120.01</v>
      </c>
      <c r="N127" s="75">
        <f>L127*M127</f>
      </c>
      <c r="O127" s="75">
        <f>(I127+J127)-N127</f>
      </c>
      <c r="P127" s="87">
        <v>3392.01</v>
      </c>
      <c r="Q127" s="88" t="s">
        <v>1019</v>
      </c>
      <c r="R127" s="70" t="s">
        <v>998</v>
      </c>
      <c r="S127" s="70" t="s">
        <v>999</v>
      </c>
      <c r="T127" s="70" t="s">
        <v>844</v>
      </c>
      <c r="U127" s="82" t="s">
        <v>1020</v>
      </c>
      <c r="V127" s="50"/>
      <c r="W127" s="50"/>
      <c r="X127" s="80"/>
      <c r="Y127" s="80"/>
      <c r="Z127" s="80"/>
      <c r="AA127" s="80"/>
      <c r="AB127" s="80"/>
      <c r="AC127" s="80"/>
      <c r="AD127" s="80"/>
    </row>
    <row x14ac:dyDescent="0.25" r="128" customHeight="1" ht="25.350000000000005">
      <c r="A128" s="69">
        <v>34</v>
      </c>
      <c r="B128" s="70" t="s">
        <v>1021</v>
      </c>
      <c r="C128" s="71" t="s">
        <v>831</v>
      </c>
      <c r="D128" s="87">
        <v>2.85</v>
      </c>
      <c r="E128" s="73">
        <v>15912</v>
      </c>
      <c r="F128" s="74">
        <f>E128-G128</f>
      </c>
      <c r="G128" s="73"/>
      <c r="H128" s="75">
        <f>D128*2120.01</f>
      </c>
      <c r="I128" s="75">
        <f>F128*H128</f>
      </c>
      <c r="J128" s="75">
        <f>G128*H128</f>
      </c>
      <c r="K128" s="75"/>
      <c r="L128" s="87">
        <f>E128*D128</f>
      </c>
      <c r="M128" s="75">
        <v>2120.01</v>
      </c>
      <c r="N128" s="75">
        <f>L128*M128</f>
      </c>
      <c r="O128" s="75">
        <f>(I128+J128)-N128</f>
      </c>
      <c r="P128" s="75">
        <v>6042.03</v>
      </c>
      <c r="Q128" s="76" t="s">
        <v>1022</v>
      </c>
      <c r="R128" s="70" t="s">
        <v>842</v>
      </c>
      <c r="S128" s="70" t="s">
        <v>834</v>
      </c>
      <c r="T128" s="70" t="s">
        <v>851</v>
      </c>
      <c r="U128" s="82" t="s">
        <v>1023</v>
      </c>
      <c r="V128" s="50"/>
      <c r="W128" s="50"/>
      <c r="X128" s="80"/>
      <c r="Y128" s="80"/>
      <c r="Z128" s="80"/>
      <c r="AA128" s="80"/>
      <c r="AB128" s="80"/>
      <c r="AC128" s="80"/>
      <c r="AD128" s="80"/>
    </row>
    <row x14ac:dyDescent="0.25" r="129" customHeight="1" ht="25.350000000000005">
      <c r="A129" s="69"/>
      <c r="B129" s="70" t="s">
        <v>1024</v>
      </c>
      <c r="C129" s="71" t="s">
        <v>831</v>
      </c>
      <c r="D129" s="87">
        <v>2.1</v>
      </c>
      <c r="E129" s="73">
        <v>3150</v>
      </c>
      <c r="F129" s="74">
        <f>E129-G129</f>
      </c>
      <c r="G129" s="73"/>
      <c r="H129" s="75">
        <f>D129*2120.01</f>
      </c>
      <c r="I129" s="75">
        <f>F129*H129</f>
      </c>
      <c r="J129" s="75">
        <f>G129*H129</f>
      </c>
      <c r="K129" s="75"/>
      <c r="L129" s="87">
        <f>E129*D129</f>
      </c>
      <c r="M129" s="75">
        <v>2120.01</v>
      </c>
      <c r="N129" s="75">
        <f>L129*M129</f>
      </c>
      <c r="O129" s="75">
        <f>(I129+J129)-N129</f>
      </c>
      <c r="P129" s="75">
        <v>4452.02</v>
      </c>
      <c r="Q129" s="76" t="s">
        <v>1022</v>
      </c>
      <c r="R129" s="70" t="s">
        <v>842</v>
      </c>
      <c r="S129" s="70" t="s">
        <v>834</v>
      </c>
      <c r="T129" s="70" t="s">
        <v>851</v>
      </c>
      <c r="U129" s="82"/>
      <c r="V129" s="50"/>
      <c r="W129" s="50"/>
      <c r="X129" s="80"/>
      <c r="Y129" s="80"/>
      <c r="Z129" s="80"/>
      <c r="AA129" s="80"/>
      <c r="AB129" s="80"/>
      <c r="AC129" s="80"/>
      <c r="AD129" s="80"/>
    </row>
    <row x14ac:dyDescent="0.25" r="130" customHeight="1" ht="25.350000000000005">
      <c r="A130" s="69">
        <v>35</v>
      </c>
      <c r="B130" s="70" t="s">
        <v>853</v>
      </c>
      <c r="C130" s="71" t="s">
        <v>831</v>
      </c>
      <c r="D130" s="87">
        <v>3.7</v>
      </c>
      <c r="E130" s="73">
        <v>20000</v>
      </c>
      <c r="F130" s="74">
        <f>E130-G130</f>
      </c>
      <c r="G130" s="73"/>
      <c r="H130" s="75">
        <f>D130*2120.01</f>
      </c>
      <c r="I130" s="75">
        <f>F130*H130</f>
      </c>
      <c r="J130" s="75">
        <f>G130*H130</f>
      </c>
      <c r="K130" s="75"/>
      <c r="L130" s="87">
        <f>E130*D130</f>
      </c>
      <c r="M130" s="75">
        <v>2120.01</v>
      </c>
      <c r="N130" s="75">
        <f>L130*M130</f>
      </c>
      <c r="O130" s="75">
        <f>(I130+J130)-N130</f>
      </c>
      <c r="P130" s="75">
        <v>7777.19</v>
      </c>
      <c r="Q130" s="74">
        <v>4500209037</v>
      </c>
      <c r="R130" s="70" t="s">
        <v>1025</v>
      </c>
      <c r="S130" s="70" t="s">
        <v>1026</v>
      </c>
      <c r="T130" s="70" t="s">
        <v>851</v>
      </c>
      <c r="U130" s="82" t="s">
        <v>1027</v>
      </c>
      <c r="V130" s="50"/>
      <c r="W130" s="50"/>
      <c r="X130" s="80"/>
      <c r="Y130" s="80"/>
      <c r="Z130" s="80"/>
      <c r="AA130" s="80"/>
      <c r="AB130" s="80"/>
      <c r="AC130" s="80"/>
      <c r="AD130" s="80"/>
    </row>
    <row x14ac:dyDescent="0.25" r="131" customHeight="1" ht="25.350000000000005">
      <c r="A131" s="69">
        <v>36</v>
      </c>
      <c r="B131" s="70" t="s">
        <v>840</v>
      </c>
      <c r="C131" s="71" t="s">
        <v>831</v>
      </c>
      <c r="D131" s="87">
        <v>4.92</v>
      </c>
      <c r="E131" s="73">
        <v>16385</v>
      </c>
      <c r="F131" s="74">
        <f>E131-G131</f>
      </c>
      <c r="G131" s="73">
        <v>13339</v>
      </c>
      <c r="H131" s="75">
        <f>D131*2120.01</f>
      </c>
      <c r="I131" s="75">
        <f>F131*H131</f>
      </c>
      <c r="J131" s="75">
        <f>G131*H131</f>
      </c>
      <c r="K131" s="75"/>
      <c r="L131" s="87">
        <f>E131*D131</f>
      </c>
      <c r="M131" s="75">
        <v>2120.01</v>
      </c>
      <c r="N131" s="75">
        <f>L131*M131</f>
      </c>
      <c r="O131" s="75">
        <f>(I131+J131)-N131</f>
      </c>
      <c r="P131" s="75">
        <v>10430.45</v>
      </c>
      <c r="Q131" s="76" t="s">
        <v>1028</v>
      </c>
      <c r="R131" s="77" t="s">
        <v>842</v>
      </c>
      <c r="S131" s="70" t="s">
        <v>843</v>
      </c>
      <c r="T131" s="70" t="s">
        <v>844</v>
      </c>
      <c r="U131" s="98"/>
      <c r="V131" s="50"/>
      <c r="W131" s="50"/>
      <c r="X131" s="80"/>
      <c r="Y131" s="80"/>
      <c r="Z131" s="80"/>
      <c r="AA131" s="80"/>
      <c r="AB131" s="80"/>
      <c r="AC131" s="80"/>
      <c r="AD131" s="80"/>
    </row>
    <row x14ac:dyDescent="0.25" r="132" customHeight="1" ht="25.350000000000005">
      <c r="A132" s="69"/>
      <c r="B132" s="70" t="s">
        <v>1029</v>
      </c>
      <c r="C132" s="71" t="s">
        <v>831</v>
      </c>
      <c r="D132" s="87">
        <v>4.92</v>
      </c>
      <c r="E132" s="73">
        <v>4223</v>
      </c>
      <c r="F132" s="74">
        <f>E132-G132</f>
      </c>
      <c r="G132" s="73"/>
      <c r="H132" s="75">
        <f>D132*2120.01</f>
      </c>
      <c r="I132" s="75">
        <f>F132*H132</f>
      </c>
      <c r="J132" s="75">
        <f>G132*H132</f>
      </c>
      <c r="K132" s="75"/>
      <c r="L132" s="87">
        <f>E132*D132</f>
      </c>
      <c r="M132" s="75">
        <v>2120.01</v>
      </c>
      <c r="N132" s="75">
        <f>L132*M132</f>
      </c>
      <c r="O132" s="75">
        <f>(I132+J132)-N132</f>
      </c>
      <c r="P132" s="75">
        <v>10430.45</v>
      </c>
      <c r="Q132" s="76" t="s">
        <v>1028</v>
      </c>
      <c r="R132" s="77" t="s">
        <v>842</v>
      </c>
      <c r="S132" s="70" t="s">
        <v>843</v>
      </c>
      <c r="T132" s="70" t="s">
        <v>844</v>
      </c>
      <c r="U132" s="99"/>
      <c r="V132" s="50"/>
      <c r="W132" s="50"/>
      <c r="X132" s="80"/>
      <c r="Y132" s="80"/>
      <c r="Z132" s="80"/>
      <c r="AA132" s="80"/>
      <c r="AB132" s="80"/>
      <c r="AC132" s="80"/>
      <c r="AD132" s="80"/>
    </row>
    <row x14ac:dyDescent="0.25" r="133" customHeight="1" ht="45.75">
      <c r="A133" s="69">
        <v>37</v>
      </c>
      <c r="B133" s="70" t="s">
        <v>837</v>
      </c>
      <c r="C133" s="71" t="s">
        <v>831</v>
      </c>
      <c r="D133" s="87">
        <v>1.38</v>
      </c>
      <c r="E133" s="73">
        <v>22000</v>
      </c>
      <c r="F133" s="74">
        <f>E133-G133</f>
      </c>
      <c r="G133" s="73"/>
      <c r="H133" s="75">
        <f>D133*2120.01</f>
      </c>
      <c r="I133" s="75">
        <f>F133*H133</f>
      </c>
      <c r="J133" s="75">
        <f>G133*H133</f>
      </c>
      <c r="K133" s="75"/>
      <c r="L133" s="87">
        <f>E133*D133</f>
      </c>
      <c r="M133" s="75">
        <v>2120.01</v>
      </c>
      <c r="N133" s="75">
        <f>L133*M133</f>
      </c>
      <c r="O133" s="75">
        <f>(I133+J133)-N133</f>
      </c>
      <c r="P133" s="75">
        <v>3262.32</v>
      </c>
      <c r="Q133" s="88" t="s">
        <v>1030</v>
      </c>
      <c r="R133" s="70" t="s">
        <v>842</v>
      </c>
      <c r="S133" s="70" t="s">
        <v>843</v>
      </c>
      <c r="T133" s="70" t="s">
        <v>835</v>
      </c>
      <c r="U133" s="82"/>
      <c r="V133" s="50"/>
      <c r="W133" s="50"/>
      <c r="X133" s="80"/>
      <c r="Y133" s="80"/>
      <c r="Z133" s="80"/>
      <c r="AA133" s="80"/>
      <c r="AB133" s="80"/>
      <c r="AC133" s="80"/>
      <c r="AD133" s="80"/>
    </row>
    <row x14ac:dyDescent="0.25" r="134" customHeight="1" ht="46.20000000000001">
      <c r="A134" s="69">
        <v>38</v>
      </c>
      <c r="B134" s="82" t="s">
        <v>948</v>
      </c>
      <c r="C134" s="71" t="s">
        <v>831</v>
      </c>
      <c r="D134" s="87">
        <v>4.9</v>
      </c>
      <c r="E134" s="73">
        <v>20711</v>
      </c>
      <c r="F134" s="74">
        <f>E134-G134</f>
      </c>
      <c r="G134" s="73"/>
      <c r="H134" s="75">
        <f>D134*2120.01</f>
      </c>
      <c r="I134" s="75">
        <f>F134*H134</f>
      </c>
      <c r="J134" s="75">
        <f>G134*H134</f>
      </c>
      <c r="K134" s="75"/>
      <c r="L134" s="87">
        <f>E134*D134</f>
      </c>
      <c r="M134" s="75">
        <v>2120.01</v>
      </c>
      <c r="N134" s="75">
        <f>L134*M134</f>
      </c>
      <c r="O134" s="75">
        <f>(I134+J134)-N134</f>
      </c>
      <c r="P134" s="75">
        <v>10424.88</v>
      </c>
      <c r="Q134" s="88" t="s">
        <v>1031</v>
      </c>
      <c r="R134" s="70" t="s">
        <v>842</v>
      </c>
      <c r="S134" s="70" t="s">
        <v>843</v>
      </c>
      <c r="T134" s="70" t="s">
        <v>844</v>
      </c>
      <c r="U134" s="82"/>
      <c r="V134" s="50"/>
      <c r="W134" s="50"/>
      <c r="X134" s="80"/>
      <c r="Y134" s="80"/>
      <c r="Z134" s="80"/>
      <c r="AA134" s="80"/>
      <c r="AB134" s="80"/>
      <c r="AC134" s="80"/>
      <c r="AD134" s="80"/>
    </row>
    <row x14ac:dyDescent="0.25" r="135" customHeight="1" ht="25.350000000000005">
      <c r="A135" s="69">
        <v>39</v>
      </c>
      <c r="B135" s="70" t="s">
        <v>1032</v>
      </c>
      <c r="C135" s="71" t="s">
        <v>1033</v>
      </c>
      <c r="D135" s="87">
        <v>2.47</v>
      </c>
      <c r="E135" s="73">
        <v>19735</v>
      </c>
      <c r="F135" s="74">
        <f>E135-G135</f>
      </c>
      <c r="G135" s="73"/>
      <c r="H135" s="75">
        <f>D135*2120.01</f>
      </c>
      <c r="I135" s="75">
        <f>F135*H135</f>
      </c>
      <c r="J135" s="75">
        <f>G135*H135</f>
      </c>
      <c r="K135" s="75"/>
      <c r="L135" s="87">
        <f>E135*D135</f>
      </c>
      <c r="M135" s="75">
        <v>2120.01</v>
      </c>
      <c r="N135" s="75">
        <f>L135*M135</f>
      </c>
      <c r="O135" s="75">
        <f>(I135+J135)-N135</f>
      </c>
      <c r="P135" s="87">
        <v>5236.43</v>
      </c>
      <c r="Q135" s="88" t="s">
        <v>1034</v>
      </c>
      <c r="R135" s="70" t="s">
        <v>974</v>
      </c>
      <c r="S135" s="70" t="s">
        <v>937</v>
      </c>
      <c r="T135" s="70" t="s">
        <v>880</v>
      </c>
      <c r="U135" s="82"/>
      <c r="V135" s="50"/>
      <c r="W135" s="50"/>
      <c r="X135" s="80"/>
      <c r="Y135" s="80"/>
      <c r="Z135" s="80"/>
      <c r="AA135" s="80"/>
      <c r="AB135" s="80"/>
      <c r="AC135" s="80"/>
      <c r="AD135" s="80"/>
    </row>
    <row x14ac:dyDescent="0.25" r="136" customHeight="1" ht="32.25">
      <c r="A136" s="100">
        <v>40</v>
      </c>
      <c r="B136" s="70" t="s">
        <v>837</v>
      </c>
      <c r="C136" s="71" t="s">
        <v>1033</v>
      </c>
      <c r="D136" s="87">
        <v>1.56</v>
      </c>
      <c r="E136" s="73">
        <v>66000</v>
      </c>
      <c r="F136" s="74">
        <f>E136-G136</f>
      </c>
      <c r="G136" s="73"/>
      <c r="H136" s="75">
        <f>D136*2120.01</f>
      </c>
      <c r="I136" s="75">
        <f>F136*H136</f>
      </c>
      <c r="J136" s="75">
        <f>G136*H136</f>
      </c>
      <c r="K136" s="75"/>
      <c r="L136" s="73">
        <f>E136*D136</f>
      </c>
      <c r="M136" s="75">
        <v>2120.01</v>
      </c>
      <c r="N136" s="75">
        <f>L136*M136</f>
      </c>
      <c r="O136" s="75">
        <f>(I136+J136)-N136</f>
      </c>
      <c r="P136" s="75">
        <v>3262.32</v>
      </c>
      <c r="Q136" s="76" t="s">
        <v>1035</v>
      </c>
      <c r="R136" s="70" t="s">
        <v>842</v>
      </c>
      <c r="S136" s="70" t="s">
        <v>834</v>
      </c>
      <c r="T136" s="70" t="s">
        <v>835</v>
      </c>
      <c r="U136" s="82"/>
      <c r="V136" s="50"/>
      <c r="W136" s="50"/>
      <c r="X136" s="80"/>
      <c r="Y136" s="80"/>
      <c r="Z136" s="80"/>
      <c r="AA136" s="80"/>
      <c r="AB136" s="80"/>
      <c r="AC136" s="80"/>
      <c r="AD136" s="80"/>
    </row>
    <row x14ac:dyDescent="0.25" r="137" customHeight="1" ht="25.350000000000005">
      <c r="A137" s="101"/>
      <c r="B137" s="70" t="s">
        <v>838</v>
      </c>
      <c r="C137" s="94" t="s">
        <v>1033</v>
      </c>
      <c r="D137" s="75">
        <v>1.56</v>
      </c>
      <c r="E137" s="74">
        <v>22000</v>
      </c>
      <c r="F137" s="74">
        <f>E137-G137</f>
      </c>
      <c r="G137" s="74"/>
      <c r="H137" s="75">
        <f>D137*2120.01</f>
      </c>
      <c r="I137" s="75">
        <f>F137*H137</f>
      </c>
      <c r="J137" s="75">
        <f>G137*H137</f>
      </c>
      <c r="K137" s="75"/>
      <c r="L137" s="74">
        <f>E137*D137</f>
      </c>
      <c r="M137" s="75">
        <v>2120.01</v>
      </c>
      <c r="N137" s="75">
        <f>L137*M137</f>
      </c>
      <c r="O137" s="75">
        <f>(I137+J137)-N137</f>
      </c>
      <c r="P137" s="75">
        <v>3286.02</v>
      </c>
      <c r="Q137" s="76" t="s">
        <v>1035</v>
      </c>
      <c r="R137" s="77" t="s">
        <v>842</v>
      </c>
      <c r="S137" s="77" t="s">
        <v>834</v>
      </c>
      <c r="T137" s="77" t="s">
        <v>835</v>
      </c>
      <c r="U137" s="83"/>
      <c r="V137" s="50"/>
      <c r="W137" s="50"/>
      <c r="X137" s="80"/>
      <c r="Y137" s="80"/>
      <c r="Z137" s="80"/>
      <c r="AA137" s="80"/>
      <c r="AB137" s="80"/>
      <c r="AC137" s="80"/>
      <c r="AD137" s="80"/>
    </row>
    <row x14ac:dyDescent="0.25" r="138" customHeight="1" ht="33">
      <c r="A138" s="102"/>
      <c r="B138" s="93" t="s">
        <v>1036</v>
      </c>
      <c r="C138" s="65"/>
      <c r="D138" s="103"/>
      <c r="E138" s="103"/>
      <c r="F138" s="103"/>
      <c r="G138" s="103"/>
      <c r="H138" s="104"/>
      <c r="I138" s="104">
        <f>SUM(I6:I137)</f>
      </c>
      <c r="J138" s="104">
        <f>SUM(J6:J137)</f>
      </c>
      <c r="K138" s="104">
        <f>SUM(K6:K137)</f>
      </c>
      <c r="L138" s="103">
        <f>SUM(L6:L137)</f>
      </c>
      <c r="M138" s="103"/>
      <c r="N138" s="104">
        <f>SUM(N6:N137)</f>
      </c>
      <c r="O138" s="104">
        <f>SUM(O6:O137)</f>
      </c>
      <c r="P138" s="103"/>
      <c r="Q138" s="103"/>
      <c r="R138" s="105"/>
      <c r="S138" s="105"/>
      <c r="T138" s="105"/>
      <c r="U138" s="106"/>
      <c r="V138" s="80"/>
      <c r="W138" s="80"/>
      <c r="X138" s="80"/>
      <c r="Y138" s="80"/>
      <c r="Z138" s="80"/>
      <c r="AA138" s="80"/>
      <c r="AB138" s="80"/>
      <c r="AC138" s="80"/>
      <c r="AD138" s="80"/>
    </row>
    <row x14ac:dyDescent="0.25" r="139" customHeight="1" ht="25.350000000000005">
      <c r="A139" s="4"/>
      <c r="B139" s="80"/>
      <c r="C139" s="107"/>
      <c r="D139" s="108"/>
      <c r="E139" s="92"/>
      <c r="F139" s="92"/>
      <c r="G139" s="92"/>
      <c r="H139" s="108"/>
      <c r="I139" s="108"/>
      <c r="J139" s="108"/>
      <c r="K139" s="109">
        <f>I138+J138+K138</f>
      </c>
      <c r="L139" s="92"/>
      <c r="M139" s="108"/>
      <c r="N139" s="109">
        <v>30603.06</v>
      </c>
      <c r="O139" s="108"/>
      <c r="P139" s="108" t="s">
        <v>1037</v>
      </c>
      <c r="Q139" s="92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</row>
    <row x14ac:dyDescent="0.25" r="140" customHeight="1" ht="25.350000000000005">
      <c r="A140" s="4"/>
      <c r="B140" s="80"/>
      <c r="C140" s="107"/>
      <c r="D140" s="108"/>
      <c r="E140" s="92"/>
      <c r="F140" s="92"/>
      <c r="G140" s="92"/>
      <c r="H140" s="108"/>
      <c r="I140" s="108"/>
      <c r="J140" s="108"/>
      <c r="K140" s="109">
        <f>K139-N138</f>
      </c>
      <c r="L140" s="92"/>
      <c r="M140" s="108"/>
      <c r="N140" s="110">
        <f>N138+N139</f>
      </c>
      <c r="O140" s="110"/>
      <c r="P140" s="108" t="s">
        <v>1038</v>
      </c>
      <c r="Q140" s="92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</row>
    <row x14ac:dyDescent="0.25" r="141" customHeight="1" ht="25.350000000000005">
      <c r="A141" s="4"/>
      <c r="B141" s="80"/>
      <c r="C141" s="107"/>
      <c r="D141" s="108"/>
      <c r="E141" s="92"/>
      <c r="F141" s="92"/>
      <c r="G141" s="92"/>
      <c r="H141" s="108"/>
      <c r="I141" s="108"/>
      <c r="J141" s="108"/>
      <c r="K141" s="108"/>
      <c r="L141" s="92"/>
      <c r="M141" s="108"/>
      <c r="N141" s="108"/>
      <c r="O141" s="108"/>
      <c r="P141" s="108"/>
      <c r="Q141" s="92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</row>
    <row x14ac:dyDescent="0.25" r="142" customHeight="1" ht="25.350000000000005">
      <c r="A142" s="4"/>
      <c r="B142" s="80" t="s">
        <v>1039</v>
      </c>
      <c r="C142" s="107"/>
      <c r="D142" s="108"/>
      <c r="E142" s="92"/>
      <c r="F142" s="92"/>
      <c r="G142" s="92"/>
      <c r="H142" s="108"/>
      <c r="I142" s="108"/>
      <c r="J142" s="108"/>
      <c r="K142" s="108"/>
      <c r="L142" s="92"/>
      <c r="M142" s="108"/>
      <c r="N142" s="108"/>
      <c r="O142" s="108"/>
      <c r="P142" s="108"/>
      <c r="Q142" s="92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</row>
    <row x14ac:dyDescent="0.25" r="143" customHeight="1" ht="25.350000000000005">
      <c r="A143" s="4"/>
      <c r="B143" s="80"/>
      <c r="C143" s="107"/>
      <c r="D143" s="108"/>
      <c r="E143" s="92"/>
      <c r="F143" s="92"/>
      <c r="G143" s="92"/>
      <c r="H143" s="108"/>
      <c r="I143" s="108"/>
      <c r="J143" s="108"/>
      <c r="K143" s="108"/>
      <c r="L143" s="92"/>
      <c r="M143" s="108"/>
      <c r="N143" s="108"/>
      <c r="O143" s="108"/>
      <c r="P143" s="108"/>
      <c r="Q143" s="92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</row>
    <row x14ac:dyDescent="0.25" r="144" customHeight="1" ht="25.350000000000005">
      <c r="A144" s="4"/>
      <c r="B144" s="80"/>
      <c r="C144" s="107"/>
      <c r="D144" s="108"/>
      <c r="E144" s="92"/>
      <c r="F144" s="92"/>
      <c r="G144" s="92"/>
      <c r="H144" s="108"/>
      <c r="I144" s="108"/>
      <c r="J144" s="108"/>
      <c r="K144" s="108"/>
      <c r="L144" s="92"/>
      <c r="M144" s="108"/>
      <c r="N144" s="108"/>
      <c r="O144" s="108"/>
      <c r="P144" s="108"/>
      <c r="Q144" s="92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</row>
    <row x14ac:dyDescent="0.25" r="145" customHeight="1" ht="25.350000000000005">
      <c r="A145" s="4"/>
      <c r="B145" s="80"/>
      <c r="C145" s="107"/>
      <c r="D145" s="108"/>
      <c r="E145" s="92"/>
      <c r="F145" s="92"/>
      <c r="G145" s="92"/>
      <c r="H145" s="108"/>
      <c r="I145" s="108"/>
      <c r="J145" s="108"/>
      <c r="K145" s="108"/>
      <c r="L145" s="92"/>
      <c r="M145" s="108"/>
      <c r="N145" s="108"/>
      <c r="O145" s="108"/>
      <c r="P145" s="108"/>
      <c r="Q145" s="92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</row>
    <row x14ac:dyDescent="0.25" r="146" customHeight="1" ht="25.350000000000005">
      <c r="A146" s="4"/>
      <c r="B146" s="80"/>
      <c r="C146" s="107"/>
      <c r="D146" s="108"/>
      <c r="E146" s="92"/>
      <c r="F146" s="92"/>
      <c r="G146" s="92"/>
      <c r="H146" s="108"/>
      <c r="I146" s="108"/>
      <c r="J146" s="108"/>
      <c r="K146" s="108"/>
      <c r="L146" s="92"/>
      <c r="M146" s="108"/>
      <c r="N146" s="108"/>
      <c r="O146" s="108"/>
      <c r="P146" s="108"/>
      <c r="Q146" s="92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</row>
    <row x14ac:dyDescent="0.25" r="147" customHeight="1" ht="25.350000000000005">
      <c r="A147" s="4"/>
      <c r="B147" s="80"/>
      <c r="C147" s="107"/>
      <c r="D147" s="108"/>
      <c r="E147" s="92"/>
      <c r="F147" s="92"/>
      <c r="G147" s="92"/>
      <c r="H147" s="108"/>
      <c r="I147" s="108"/>
      <c r="J147" s="108"/>
      <c r="K147" s="108"/>
      <c r="L147" s="92"/>
      <c r="M147" s="108"/>
      <c r="N147" s="108"/>
      <c r="O147" s="108"/>
      <c r="P147" s="108"/>
      <c r="Q147" s="92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</row>
    <row x14ac:dyDescent="0.25" r="148" customHeight="1" ht="25.350000000000005">
      <c r="A148" s="4"/>
      <c r="B148" s="80"/>
      <c r="C148" s="107"/>
      <c r="D148" s="108"/>
      <c r="E148" s="92"/>
      <c r="F148" s="92"/>
      <c r="G148" s="92"/>
      <c r="H148" s="108"/>
      <c r="I148" s="108"/>
      <c r="J148" s="108"/>
      <c r="K148" s="108"/>
      <c r="L148" s="92"/>
      <c r="M148" s="108"/>
      <c r="N148" s="108"/>
      <c r="O148" s="108"/>
      <c r="P148" s="108"/>
      <c r="Q148" s="92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80"/>
      <c r="AD148" s="80"/>
    </row>
    <row x14ac:dyDescent="0.25" r="149" customHeight="1" ht="25.350000000000005">
      <c r="A149" s="4"/>
      <c r="B149" s="80"/>
      <c r="C149" s="107"/>
      <c r="D149" s="108"/>
      <c r="E149" s="92"/>
      <c r="F149" s="92"/>
      <c r="G149" s="92"/>
      <c r="H149" s="108"/>
      <c r="I149" s="108"/>
      <c r="J149" s="108"/>
      <c r="K149" s="108"/>
      <c r="L149" s="92"/>
      <c r="M149" s="108"/>
      <c r="N149" s="108"/>
      <c r="O149" s="108"/>
      <c r="P149" s="108"/>
      <c r="Q149" s="92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80"/>
      <c r="AD149" s="80"/>
    </row>
    <row x14ac:dyDescent="0.25" r="150" customHeight="1" ht="25.350000000000005">
      <c r="A150" s="92"/>
      <c r="B150" s="80"/>
      <c r="C150" s="107"/>
      <c r="D150" s="108"/>
      <c r="E150" s="92"/>
      <c r="F150" s="92"/>
      <c r="G150" s="92"/>
      <c r="H150" s="108"/>
      <c r="I150" s="108"/>
      <c r="J150" s="108"/>
      <c r="K150" s="108"/>
      <c r="L150" s="92"/>
      <c r="M150" s="108"/>
      <c r="N150" s="108"/>
      <c r="O150" s="108"/>
      <c r="P150" s="108"/>
      <c r="Q150" s="92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</row>
    <row x14ac:dyDescent="0.25" r="151" customHeight="1" ht="25.350000000000005">
      <c r="A151" s="92"/>
      <c r="B151" s="80"/>
      <c r="C151" s="107"/>
      <c r="D151" s="108"/>
      <c r="E151" s="92"/>
      <c r="F151" s="92"/>
      <c r="G151" s="92"/>
      <c r="H151" s="108"/>
      <c r="I151" s="108"/>
      <c r="J151" s="108"/>
      <c r="K151" s="108"/>
      <c r="L151" s="92"/>
      <c r="M151" s="108"/>
      <c r="N151" s="108"/>
      <c r="O151" s="108"/>
      <c r="P151" s="108"/>
      <c r="Q151" s="92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</row>
    <row x14ac:dyDescent="0.25" r="152" customHeight="1" ht="25.350000000000005">
      <c r="A152" s="92"/>
      <c r="B152" s="80"/>
      <c r="C152" s="107"/>
      <c r="D152" s="108"/>
      <c r="E152" s="92"/>
      <c r="F152" s="92"/>
      <c r="G152" s="92"/>
      <c r="H152" s="108"/>
      <c r="I152" s="108"/>
      <c r="J152" s="108"/>
      <c r="K152" s="108"/>
      <c r="L152" s="92"/>
      <c r="M152" s="108"/>
      <c r="N152" s="108"/>
      <c r="O152" s="108"/>
      <c r="P152" s="108"/>
      <c r="Q152" s="92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</row>
    <row x14ac:dyDescent="0.25" r="153" customHeight="1" ht="25.350000000000005">
      <c r="A153" s="92"/>
      <c r="B153" s="80"/>
      <c r="C153" s="107"/>
      <c r="D153" s="108"/>
      <c r="E153" s="92"/>
      <c r="F153" s="92"/>
      <c r="G153" s="92"/>
      <c r="H153" s="108"/>
      <c r="I153" s="108"/>
      <c r="J153" s="108"/>
      <c r="K153" s="108"/>
      <c r="L153" s="92"/>
      <c r="M153" s="108"/>
      <c r="N153" s="108"/>
      <c r="O153" s="108"/>
      <c r="P153" s="108"/>
      <c r="Q153" s="92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</row>
    <row x14ac:dyDescent="0.25" r="154" customHeight="1" ht="25.350000000000005">
      <c r="A154" s="92"/>
      <c r="B154" s="80"/>
      <c r="C154" s="107"/>
      <c r="D154" s="108"/>
      <c r="E154" s="92"/>
      <c r="F154" s="92"/>
      <c r="G154" s="92"/>
      <c r="H154" s="108"/>
      <c r="I154" s="108"/>
      <c r="J154" s="108"/>
      <c r="K154" s="108"/>
      <c r="L154" s="92"/>
      <c r="M154" s="108"/>
      <c r="N154" s="108"/>
      <c r="O154" s="108"/>
      <c r="P154" s="108"/>
      <c r="Q154" s="92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</row>
    <row x14ac:dyDescent="0.25" r="155" customHeight="1" ht="25.350000000000005">
      <c r="A155" s="92"/>
      <c r="B155" s="80"/>
      <c r="C155" s="107"/>
      <c r="D155" s="108"/>
      <c r="E155" s="92"/>
      <c r="F155" s="92"/>
      <c r="G155" s="92"/>
      <c r="H155" s="108"/>
      <c r="I155" s="108"/>
      <c r="J155" s="108"/>
      <c r="K155" s="108"/>
      <c r="L155" s="92"/>
      <c r="M155" s="108"/>
      <c r="N155" s="108"/>
      <c r="O155" s="108"/>
      <c r="P155" s="108"/>
      <c r="Q155" s="92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80"/>
      <c r="AD155" s="80"/>
    </row>
    <row x14ac:dyDescent="0.25" r="156" customHeight="1" ht="25.350000000000005">
      <c r="A156" s="92"/>
      <c r="B156" s="80"/>
      <c r="C156" s="107"/>
      <c r="D156" s="108"/>
      <c r="E156" s="92"/>
      <c r="F156" s="92"/>
      <c r="G156" s="92"/>
      <c r="H156" s="108"/>
      <c r="I156" s="108"/>
      <c r="J156" s="108"/>
      <c r="K156" s="108"/>
      <c r="L156" s="92"/>
      <c r="M156" s="108"/>
      <c r="N156" s="108"/>
      <c r="O156" s="108"/>
      <c r="P156" s="108"/>
      <c r="Q156" s="92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</row>
    <row x14ac:dyDescent="0.25" r="157" customHeight="1" ht="25.350000000000005">
      <c r="A157" s="92"/>
      <c r="B157" s="80"/>
      <c r="C157" s="107"/>
      <c r="D157" s="108"/>
      <c r="E157" s="92"/>
      <c r="F157" s="92"/>
      <c r="G157" s="92"/>
      <c r="H157" s="108"/>
      <c r="I157" s="108"/>
      <c r="J157" s="108"/>
      <c r="K157" s="108"/>
      <c r="L157" s="92"/>
      <c r="M157" s="108"/>
      <c r="N157" s="108"/>
      <c r="O157" s="108"/>
      <c r="P157" s="108"/>
      <c r="Q157" s="92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</row>
    <row x14ac:dyDescent="0.25" r="158" customHeight="1" ht="25.350000000000005">
      <c r="A158" s="92"/>
      <c r="B158" s="80"/>
      <c r="C158" s="107"/>
      <c r="D158" s="108"/>
      <c r="E158" s="92"/>
      <c r="F158" s="92"/>
      <c r="G158" s="92"/>
      <c r="H158" s="108"/>
      <c r="I158" s="108"/>
      <c r="J158" s="108"/>
      <c r="K158" s="108"/>
      <c r="L158" s="92"/>
      <c r="M158" s="108"/>
      <c r="N158" s="108"/>
      <c r="O158" s="108"/>
      <c r="P158" s="108"/>
      <c r="Q158" s="92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80"/>
      <c r="AD158" s="80"/>
    </row>
    <row x14ac:dyDescent="0.25" r="159" customHeight="1" ht="25.350000000000005">
      <c r="A159" s="92"/>
      <c r="B159" s="80"/>
      <c r="C159" s="107"/>
      <c r="D159" s="108"/>
      <c r="E159" s="92"/>
      <c r="F159" s="92"/>
      <c r="G159" s="92"/>
      <c r="H159" s="108"/>
      <c r="I159" s="108"/>
      <c r="J159" s="108"/>
      <c r="K159" s="108"/>
      <c r="L159" s="92"/>
      <c r="M159" s="108"/>
      <c r="N159" s="108"/>
      <c r="O159" s="108"/>
      <c r="P159" s="108"/>
      <c r="Q159" s="92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80"/>
      <c r="AD159" s="80"/>
    </row>
    <row x14ac:dyDescent="0.25" r="160" customHeight="1" ht="25.350000000000005">
      <c r="A160" s="92"/>
      <c r="B160" s="80"/>
      <c r="C160" s="107"/>
      <c r="D160" s="108"/>
      <c r="E160" s="92"/>
      <c r="F160" s="92"/>
      <c r="G160" s="92"/>
      <c r="H160" s="108"/>
      <c r="I160" s="108"/>
      <c r="J160" s="108"/>
      <c r="K160" s="108"/>
      <c r="L160" s="92"/>
      <c r="M160" s="108"/>
      <c r="N160" s="108"/>
      <c r="O160" s="108"/>
      <c r="P160" s="108"/>
      <c r="Q160" s="92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80"/>
      <c r="AD160" s="80"/>
    </row>
    <row x14ac:dyDescent="0.25" r="161" customHeight="1" ht="25.350000000000005">
      <c r="A161" s="92"/>
      <c r="B161" s="80"/>
      <c r="C161" s="107"/>
      <c r="D161" s="108"/>
      <c r="E161" s="92"/>
      <c r="F161" s="92"/>
      <c r="G161" s="92"/>
      <c r="H161" s="108"/>
      <c r="I161" s="108"/>
      <c r="J161" s="108"/>
      <c r="K161" s="108"/>
      <c r="L161" s="92"/>
      <c r="M161" s="108"/>
      <c r="N161" s="108"/>
      <c r="O161" s="108"/>
      <c r="P161" s="108"/>
      <c r="Q161" s="92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80"/>
      <c r="AD161" s="80"/>
    </row>
    <row x14ac:dyDescent="0.25" r="162" customHeight="1" ht="25.350000000000005">
      <c r="A162" s="92"/>
      <c r="B162" s="80"/>
      <c r="C162" s="107"/>
      <c r="D162" s="108"/>
      <c r="E162" s="92"/>
      <c r="F162" s="92"/>
      <c r="G162" s="92"/>
      <c r="H162" s="108"/>
      <c r="I162" s="108"/>
      <c r="J162" s="108"/>
      <c r="K162" s="108"/>
      <c r="L162" s="92"/>
      <c r="M162" s="108"/>
      <c r="N162" s="108"/>
      <c r="O162" s="108"/>
      <c r="P162" s="108"/>
      <c r="Q162" s="92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</row>
    <row x14ac:dyDescent="0.25" r="163" customHeight="1" ht="25.350000000000005">
      <c r="A163" s="92"/>
      <c r="B163" s="80"/>
      <c r="C163" s="107"/>
      <c r="D163" s="108"/>
      <c r="E163" s="92"/>
      <c r="F163" s="92"/>
      <c r="G163" s="92"/>
      <c r="H163" s="108"/>
      <c r="I163" s="108"/>
      <c r="J163" s="108"/>
      <c r="K163" s="108"/>
      <c r="L163" s="92"/>
      <c r="M163" s="108"/>
      <c r="N163" s="108"/>
      <c r="O163" s="108"/>
      <c r="P163" s="108"/>
      <c r="Q163" s="92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</row>
    <row x14ac:dyDescent="0.25" r="164" customHeight="1" ht="25.350000000000005">
      <c r="A164" s="92"/>
      <c r="B164" s="80"/>
      <c r="C164" s="107"/>
      <c r="D164" s="108"/>
      <c r="E164" s="92"/>
      <c r="F164" s="92"/>
      <c r="G164" s="92"/>
      <c r="H164" s="108"/>
      <c r="I164" s="108"/>
      <c r="J164" s="108"/>
      <c r="K164" s="108"/>
      <c r="L164" s="92"/>
      <c r="M164" s="108"/>
      <c r="N164" s="108"/>
      <c r="O164" s="108"/>
      <c r="P164" s="108"/>
      <c r="Q164" s="92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</row>
    <row x14ac:dyDescent="0.25" r="165" customHeight="1" ht="25.350000000000005">
      <c r="A165" s="92"/>
      <c r="B165" s="80"/>
      <c r="C165" s="107"/>
      <c r="D165" s="108"/>
      <c r="E165" s="92"/>
      <c r="F165" s="92"/>
      <c r="G165" s="92"/>
      <c r="H165" s="108"/>
      <c r="I165" s="108"/>
      <c r="J165" s="108"/>
      <c r="K165" s="108"/>
      <c r="L165" s="92"/>
      <c r="M165" s="108"/>
      <c r="N165" s="108"/>
      <c r="O165" s="108"/>
      <c r="P165" s="108"/>
      <c r="Q165" s="92"/>
      <c r="R165" s="80"/>
      <c r="S165" s="80"/>
      <c r="T165" s="80"/>
      <c r="U165" s="80"/>
      <c r="V165" s="80"/>
      <c r="W165" s="80"/>
      <c r="X165" s="47"/>
      <c r="Y165" s="47"/>
      <c r="Z165" s="47"/>
      <c r="AA165" s="47"/>
      <c r="AB165" s="47"/>
      <c r="AC165" s="47"/>
      <c r="AD165" s="47"/>
    </row>
    <row x14ac:dyDescent="0.25" r="166" customHeight="1" ht="18.75">
      <c r="A166" s="92"/>
      <c r="B166" s="80"/>
      <c r="C166" s="107"/>
      <c r="D166" s="108"/>
      <c r="E166" s="92"/>
      <c r="F166" s="92"/>
      <c r="G166" s="92"/>
      <c r="H166" s="108"/>
      <c r="I166" s="108"/>
      <c r="J166" s="108"/>
      <c r="K166" s="108"/>
      <c r="L166" s="92"/>
      <c r="M166" s="108"/>
      <c r="N166" s="108"/>
      <c r="O166" s="108"/>
      <c r="P166" s="108"/>
      <c r="Q166" s="92"/>
      <c r="R166" s="80"/>
      <c r="S166" s="80"/>
      <c r="T166" s="80"/>
      <c r="U166" s="80"/>
      <c r="V166" s="80"/>
      <c r="W166" s="80"/>
      <c r="X166" s="47"/>
      <c r="Y166" s="47"/>
      <c r="Z166" s="47"/>
      <c r="AA166" s="47"/>
      <c r="AB166" s="47"/>
      <c r="AC166" s="47"/>
      <c r="AD166" s="47"/>
    </row>
    <row x14ac:dyDescent="0.25" r="167" customHeight="1" ht="18.75">
      <c r="A167" s="92"/>
      <c r="B167" s="80"/>
      <c r="C167" s="107"/>
      <c r="D167" s="108"/>
      <c r="E167" s="92"/>
      <c r="F167" s="92"/>
      <c r="G167" s="92"/>
      <c r="H167" s="108"/>
      <c r="I167" s="108"/>
      <c r="J167" s="108"/>
      <c r="K167" s="108"/>
      <c r="L167" s="92"/>
      <c r="M167" s="108"/>
      <c r="N167" s="108"/>
      <c r="O167" s="108"/>
      <c r="P167" s="108"/>
      <c r="Q167" s="92"/>
      <c r="R167" s="80"/>
      <c r="S167" s="80"/>
      <c r="T167" s="80"/>
      <c r="U167" s="80"/>
      <c r="V167" s="80"/>
      <c r="W167" s="80"/>
      <c r="X167" s="47"/>
      <c r="Y167" s="47"/>
      <c r="Z167" s="47"/>
      <c r="AA167" s="47"/>
      <c r="AB167" s="47"/>
      <c r="AC167" s="47"/>
      <c r="AD167" s="47"/>
    </row>
    <row x14ac:dyDescent="0.25" r="168" customHeight="1" ht="18.75">
      <c r="A168" s="92"/>
      <c r="B168" s="80"/>
      <c r="C168" s="107"/>
      <c r="D168" s="108"/>
      <c r="E168" s="92"/>
      <c r="F168" s="92"/>
      <c r="G168" s="92"/>
      <c r="H168" s="108"/>
      <c r="I168" s="108"/>
      <c r="J168" s="108"/>
      <c r="K168" s="108"/>
      <c r="L168" s="92"/>
      <c r="M168" s="108"/>
      <c r="N168" s="108"/>
      <c r="O168" s="108"/>
      <c r="P168" s="108"/>
      <c r="Q168" s="92"/>
      <c r="R168" s="80"/>
      <c r="S168" s="80"/>
      <c r="T168" s="80"/>
      <c r="U168" s="80"/>
      <c r="V168" s="80"/>
      <c r="W168" s="80"/>
      <c r="X168" s="47"/>
      <c r="Y168" s="47"/>
      <c r="Z168" s="47"/>
      <c r="AA168" s="47"/>
      <c r="AB168" s="47"/>
      <c r="AC168" s="47"/>
      <c r="AD168" s="47"/>
    </row>
    <row x14ac:dyDescent="0.25" r="169" customHeight="1" ht="18.75">
      <c r="A169" s="92"/>
      <c r="B169" s="80"/>
      <c r="C169" s="107"/>
      <c r="D169" s="108"/>
      <c r="E169" s="92"/>
      <c r="F169" s="92"/>
      <c r="G169" s="92"/>
      <c r="H169" s="108"/>
      <c r="I169" s="108"/>
      <c r="J169" s="108"/>
      <c r="K169" s="108"/>
      <c r="L169" s="92"/>
      <c r="M169" s="108"/>
      <c r="N169" s="108"/>
      <c r="O169" s="108"/>
      <c r="P169" s="108"/>
      <c r="Q169" s="92"/>
      <c r="R169" s="80"/>
      <c r="S169" s="80"/>
      <c r="T169" s="80"/>
      <c r="U169" s="80"/>
      <c r="V169" s="80"/>
      <c r="W169" s="80"/>
      <c r="X169" s="47"/>
      <c r="Y169" s="47"/>
      <c r="Z169" s="47"/>
      <c r="AA169" s="47"/>
      <c r="AB169" s="47"/>
      <c r="AC169" s="47"/>
      <c r="AD169" s="47"/>
    </row>
    <row x14ac:dyDescent="0.25" r="170" customHeight="1" ht="18.75">
      <c r="A170" s="92"/>
      <c r="B170" s="80"/>
      <c r="C170" s="107"/>
      <c r="D170" s="108"/>
      <c r="E170" s="92"/>
      <c r="F170" s="92"/>
      <c r="G170" s="92"/>
      <c r="H170" s="108"/>
      <c r="I170" s="108"/>
      <c r="J170" s="108"/>
      <c r="K170" s="108"/>
      <c r="L170" s="92"/>
      <c r="M170" s="108"/>
      <c r="N170" s="108"/>
      <c r="O170" s="108"/>
      <c r="P170" s="108"/>
      <c r="Q170" s="92"/>
      <c r="R170" s="80"/>
      <c r="S170" s="80"/>
      <c r="T170" s="80"/>
      <c r="U170" s="80"/>
      <c r="V170" s="80"/>
      <c r="W170" s="80"/>
      <c r="X170" s="47"/>
      <c r="Y170" s="47"/>
      <c r="Z170" s="47"/>
      <c r="AA170" s="47"/>
      <c r="AB170" s="47"/>
      <c r="AC170" s="47"/>
      <c r="AD170" s="47"/>
    </row>
    <row x14ac:dyDescent="0.25" r="171" customHeight="1" ht="18.75">
      <c r="A171" s="92"/>
      <c r="B171" s="80"/>
      <c r="C171" s="107"/>
      <c r="D171" s="108"/>
      <c r="E171" s="92"/>
      <c r="F171" s="92"/>
      <c r="G171" s="92"/>
      <c r="H171" s="108"/>
      <c r="I171" s="108"/>
      <c r="J171" s="108"/>
      <c r="K171" s="108"/>
      <c r="L171" s="92"/>
      <c r="M171" s="108"/>
      <c r="N171" s="108"/>
      <c r="O171" s="108"/>
      <c r="P171" s="108"/>
      <c r="Q171" s="92"/>
      <c r="R171" s="80"/>
      <c r="S171" s="80"/>
      <c r="T171" s="80"/>
      <c r="U171" s="80"/>
      <c r="V171" s="80"/>
      <c r="W171" s="80"/>
      <c r="X171" s="47"/>
      <c r="Y171" s="47"/>
      <c r="Z171" s="47"/>
      <c r="AA171" s="47"/>
      <c r="AB171" s="47"/>
      <c r="AC171" s="47"/>
      <c r="AD171" s="47"/>
    </row>
    <row x14ac:dyDescent="0.25" r="172" customHeight="1" ht="18.75">
      <c r="A172" s="92"/>
      <c r="B172" s="80"/>
      <c r="C172" s="107"/>
      <c r="D172" s="108"/>
      <c r="E172" s="92"/>
      <c r="F172" s="92"/>
      <c r="G172" s="92"/>
      <c r="H172" s="108"/>
      <c r="I172" s="108"/>
      <c r="J172" s="108"/>
      <c r="K172" s="108"/>
      <c r="L172" s="92"/>
      <c r="M172" s="108"/>
      <c r="N172" s="108"/>
      <c r="O172" s="108"/>
      <c r="P172" s="108"/>
      <c r="Q172" s="92"/>
      <c r="R172" s="80"/>
      <c r="S172" s="80"/>
      <c r="T172" s="80"/>
      <c r="U172" s="80"/>
      <c r="V172" s="80"/>
      <c r="W172" s="80"/>
      <c r="X172" s="47"/>
      <c r="Y172" s="47"/>
      <c r="Z172" s="47"/>
      <c r="AA172" s="47"/>
      <c r="AB172" s="47"/>
      <c r="AC172" s="47"/>
      <c r="AD172" s="47"/>
    </row>
    <row x14ac:dyDescent="0.25" r="173" customHeight="1" ht="18.75">
      <c r="A173" s="92"/>
      <c r="B173" s="80"/>
      <c r="C173" s="107"/>
      <c r="D173" s="108"/>
      <c r="E173" s="92"/>
      <c r="F173" s="92"/>
      <c r="G173" s="92"/>
      <c r="H173" s="108"/>
      <c r="I173" s="108"/>
      <c r="J173" s="108"/>
      <c r="K173" s="108"/>
      <c r="L173" s="92"/>
      <c r="M173" s="108"/>
      <c r="N173" s="108"/>
      <c r="O173" s="108"/>
      <c r="P173" s="108"/>
      <c r="Q173" s="92"/>
      <c r="R173" s="80"/>
      <c r="S173" s="80"/>
      <c r="T173" s="80"/>
      <c r="U173" s="80"/>
      <c r="V173" s="80"/>
      <c r="W173" s="80"/>
      <c r="X173" s="47"/>
      <c r="Y173" s="47"/>
      <c r="Z173" s="47"/>
      <c r="AA173" s="47"/>
      <c r="AB173" s="47"/>
      <c r="AC173" s="47"/>
      <c r="AD173" s="47"/>
    </row>
    <row x14ac:dyDescent="0.25" r="174" customHeight="1" ht="18.75">
      <c r="A174" s="92"/>
      <c r="B174" s="80"/>
      <c r="C174" s="107"/>
      <c r="D174" s="108"/>
      <c r="E174" s="92"/>
      <c r="F174" s="92"/>
      <c r="G174" s="92"/>
      <c r="H174" s="108"/>
      <c r="I174" s="108"/>
      <c r="J174" s="108"/>
      <c r="K174" s="108"/>
      <c r="L174" s="92"/>
      <c r="M174" s="108"/>
      <c r="N174" s="108"/>
      <c r="O174" s="108"/>
      <c r="P174" s="108"/>
      <c r="Q174" s="92"/>
      <c r="R174" s="80"/>
      <c r="S174" s="80"/>
      <c r="T174" s="80"/>
      <c r="U174" s="80"/>
      <c r="V174" s="80"/>
      <c r="W174" s="80"/>
      <c r="X174" s="47"/>
      <c r="Y174" s="47"/>
      <c r="Z174" s="47"/>
      <c r="AA174" s="47"/>
      <c r="AB174" s="47"/>
      <c r="AC174" s="47"/>
      <c r="AD174" s="47"/>
    </row>
    <row x14ac:dyDescent="0.25" r="175" customHeight="1" ht="18.75">
      <c r="A175" s="92"/>
      <c r="B175" s="80"/>
      <c r="C175" s="107"/>
      <c r="D175" s="108"/>
      <c r="E175" s="92"/>
      <c r="F175" s="92"/>
      <c r="G175" s="92"/>
      <c r="H175" s="108"/>
      <c r="I175" s="108"/>
      <c r="J175" s="108"/>
      <c r="K175" s="108"/>
      <c r="L175" s="92"/>
      <c r="M175" s="108"/>
      <c r="N175" s="108"/>
      <c r="O175" s="108"/>
      <c r="P175" s="108"/>
      <c r="Q175" s="92"/>
      <c r="R175" s="80"/>
      <c r="S175" s="80"/>
      <c r="T175" s="80"/>
      <c r="U175" s="80"/>
      <c r="V175" s="80"/>
      <c r="W175" s="80"/>
      <c r="X175" s="47"/>
      <c r="Y175" s="47"/>
      <c r="Z175" s="47"/>
      <c r="AA175" s="47"/>
      <c r="AB175" s="47"/>
      <c r="AC175" s="47"/>
      <c r="AD175" s="47"/>
    </row>
    <row x14ac:dyDescent="0.25" r="176" customHeight="1" ht="18.75">
      <c r="A176" s="92"/>
      <c r="B176" s="80"/>
      <c r="C176" s="107"/>
      <c r="D176" s="108"/>
      <c r="E176" s="92"/>
      <c r="F176" s="92"/>
      <c r="G176" s="92"/>
      <c r="H176" s="108"/>
      <c r="I176" s="108"/>
      <c r="J176" s="108"/>
      <c r="K176" s="108"/>
      <c r="L176" s="92"/>
      <c r="M176" s="108"/>
      <c r="N176" s="108"/>
      <c r="O176" s="108"/>
      <c r="P176" s="108"/>
      <c r="Q176" s="92"/>
      <c r="R176" s="80"/>
      <c r="S176" s="80"/>
      <c r="T176" s="80"/>
      <c r="U176" s="80"/>
      <c r="V176" s="80"/>
      <c r="W176" s="80"/>
      <c r="X176" s="47"/>
      <c r="Y176" s="47"/>
      <c r="Z176" s="47"/>
      <c r="AA176" s="47"/>
      <c r="AB176" s="47"/>
      <c r="AC176" s="47"/>
      <c r="AD176" s="47"/>
    </row>
    <row x14ac:dyDescent="0.25" r="177" customHeight="1" ht="18.75">
      <c r="A177" s="92"/>
      <c r="B177" s="80"/>
      <c r="C177" s="107"/>
      <c r="D177" s="108"/>
      <c r="E177" s="92"/>
      <c r="F177" s="92"/>
      <c r="G177" s="92"/>
      <c r="H177" s="108"/>
      <c r="I177" s="108"/>
      <c r="J177" s="108"/>
      <c r="K177" s="108"/>
      <c r="L177" s="92"/>
      <c r="M177" s="108"/>
      <c r="N177" s="108"/>
      <c r="O177" s="108"/>
      <c r="P177" s="108"/>
      <c r="Q177" s="92"/>
      <c r="R177" s="80"/>
      <c r="S177" s="80"/>
      <c r="T177" s="80"/>
      <c r="U177" s="80"/>
      <c r="V177" s="80"/>
      <c r="W177" s="80"/>
      <c r="X177" s="47"/>
      <c r="Y177" s="47"/>
      <c r="Z177" s="47"/>
      <c r="AA177" s="47"/>
      <c r="AB177" s="47"/>
      <c r="AC177" s="47"/>
      <c r="AD177" s="47"/>
    </row>
  </sheetData>
  <mergeCells count="26">
    <mergeCell ref="A2:J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U6:U7"/>
    <mergeCell ref="U21:U22"/>
    <mergeCell ref="U131:U132"/>
    <mergeCell ref="A136:A1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35"/>
  <sheetViews>
    <sheetView workbookViewId="0"/>
  </sheetViews>
  <sheetFormatPr defaultRowHeight="15" x14ac:dyDescent="0.25"/>
  <cols>
    <col min="1" max="1" style="48" width="9.147857142857141" customWidth="1" bestFit="1"/>
    <col min="2" max="2" style="48" width="13.719285714285713" customWidth="1" bestFit="1"/>
    <col min="3" max="3" style="49" width="10.290714285714287" customWidth="1" bestFit="1"/>
    <col min="4" max="4" style="48" width="20.290714285714284" customWidth="1" bestFit="1"/>
    <col min="5" max="5" style="48" width="57.14785714285715" customWidth="1" bestFit="1"/>
    <col min="6" max="6" style="48" width="7.147857142857143" customWidth="1" bestFit="1"/>
    <col min="7" max="7" style="49" width="18.719285714285714" customWidth="1" bestFit="1"/>
    <col min="8" max="8" style="49" width="15.576428571428572" customWidth="1" bestFit="1"/>
    <col min="9" max="9" style="49" width="14.147857142857141" customWidth="1" bestFit="1"/>
    <col min="10" max="10" style="49" width="14.147857142857141" customWidth="1" bestFit="1"/>
    <col min="11" max="11" style="49" width="14.147857142857141" customWidth="1" bestFit="1"/>
    <col min="12" max="12" style="49" width="14.147857142857141" customWidth="1" bestFit="1"/>
    <col min="13" max="13" style="49" width="14.147857142857141" customWidth="1" bestFit="1"/>
    <col min="14" max="14" style="49" width="14.147857142857141" customWidth="1" bestFit="1"/>
    <col min="15" max="15" style="49" width="14.147857142857141" customWidth="1" bestFit="1"/>
    <col min="16" max="16" style="49" width="14.147857142857141" customWidth="1" bestFit="1"/>
    <col min="17" max="17" style="49" width="14.147857142857141" customWidth="1" bestFit="1"/>
    <col min="18" max="18" style="49" width="14.147857142857141" customWidth="1" bestFit="1"/>
  </cols>
  <sheetData>
    <row x14ac:dyDescent="0.25" r="1" customHeight="1" ht="25.5">
      <c r="A1" s="1" t="s">
        <v>0</v>
      </c>
      <c r="B1" s="2"/>
      <c r="C1" s="3"/>
      <c r="D1" s="2"/>
      <c r="E1" s="2"/>
      <c r="F1" s="2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</row>
    <row x14ac:dyDescent="0.25" r="2" customHeight="1" ht="18.75">
      <c r="A2" s="5" t="s">
        <v>1</v>
      </c>
      <c r="B2" s="5" t="s">
        <v>2</v>
      </c>
      <c r="C2" s="6" t="s">
        <v>3</v>
      </c>
      <c r="D2" s="7" t="s">
        <v>4</v>
      </c>
      <c r="E2" s="5" t="s">
        <v>5</v>
      </c>
      <c r="F2" s="5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</row>
    <row x14ac:dyDescent="0.25" r="3" customHeight="1" ht="24">
      <c r="A3" s="9" t="s">
        <v>19</v>
      </c>
      <c r="B3" s="9" t="s">
        <v>20</v>
      </c>
      <c r="C3" s="10">
        <v>200193</v>
      </c>
      <c r="D3" s="9" t="s">
        <v>21</v>
      </c>
      <c r="E3" s="9" t="s">
        <v>22</v>
      </c>
      <c r="F3" s="11" t="s">
        <v>9</v>
      </c>
      <c r="G3" s="12">
        <v>13191483</v>
      </c>
      <c r="H3" s="13"/>
      <c r="I3" s="12">
        <v>13191483</v>
      </c>
      <c r="J3" s="14"/>
      <c r="K3" s="15"/>
      <c r="L3" s="15"/>
      <c r="M3" s="15"/>
      <c r="N3" s="15"/>
      <c r="O3" s="15"/>
      <c r="P3" s="15"/>
      <c r="Q3" s="15"/>
      <c r="R3" s="15"/>
    </row>
    <row x14ac:dyDescent="0.25" r="4" customHeight="1" ht="24">
      <c r="A4" s="9" t="s">
        <v>19</v>
      </c>
      <c r="B4" s="9" t="s">
        <v>20</v>
      </c>
      <c r="C4" s="10">
        <v>200123</v>
      </c>
      <c r="D4" s="9" t="s">
        <v>23</v>
      </c>
      <c r="E4" s="9" t="s">
        <v>24</v>
      </c>
      <c r="F4" s="11" t="s">
        <v>9</v>
      </c>
      <c r="G4" s="12">
        <v>500000</v>
      </c>
      <c r="H4" s="13"/>
      <c r="I4" s="12">
        <v>500000</v>
      </c>
      <c r="J4" s="14"/>
      <c r="K4" s="15"/>
      <c r="L4" s="15"/>
      <c r="M4" s="15"/>
      <c r="N4" s="15"/>
      <c r="O4" s="15"/>
      <c r="P4" s="15"/>
      <c r="Q4" s="15"/>
      <c r="R4" s="15"/>
    </row>
    <row x14ac:dyDescent="0.25" r="5" customHeight="1" ht="24">
      <c r="A5" s="9" t="s">
        <v>19</v>
      </c>
      <c r="B5" s="9" t="s">
        <v>25</v>
      </c>
      <c r="C5" s="10"/>
      <c r="D5" s="9" t="s">
        <v>26</v>
      </c>
      <c r="E5" s="9" t="s">
        <v>27</v>
      </c>
      <c r="F5" s="11" t="s">
        <v>8</v>
      </c>
      <c r="G5" s="12">
        <v>19998500</v>
      </c>
      <c r="H5" s="12">
        <v>19998500</v>
      </c>
      <c r="I5" s="14"/>
      <c r="J5" s="14"/>
      <c r="K5" s="15"/>
      <c r="L5" s="15"/>
      <c r="M5" s="15"/>
      <c r="N5" s="15"/>
      <c r="O5" s="15"/>
      <c r="P5" s="15"/>
      <c r="Q5" s="15"/>
      <c r="R5" s="15"/>
    </row>
    <row x14ac:dyDescent="0.25" r="6" customHeight="1" ht="24">
      <c r="A6" s="9" t="s">
        <v>19</v>
      </c>
      <c r="B6" s="9" t="s">
        <v>28</v>
      </c>
      <c r="C6" s="10">
        <v>849266</v>
      </c>
      <c r="D6" s="9" t="s">
        <v>26</v>
      </c>
      <c r="E6" s="9" t="s">
        <v>29</v>
      </c>
      <c r="F6" s="11" t="s">
        <v>8</v>
      </c>
      <c r="G6" s="12">
        <v>30000000</v>
      </c>
      <c r="H6" s="12">
        <v>30000000</v>
      </c>
      <c r="I6" s="14"/>
      <c r="J6" s="14"/>
      <c r="K6" s="15"/>
      <c r="L6" s="15"/>
      <c r="M6" s="15"/>
      <c r="N6" s="15"/>
      <c r="O6" s="15"/>
      <c r="P6" s="15"/>
      <c r="Q6" s="15"/>
      <c r="R6" s="15"/>
    </row>
    <row x14ac:dyDescent="0.25" r="7" customHeight="1" ht="19.5">
      <c r="A7" s="9" t="s">
        <v>19</v>
      </c>
      <c r="B7" s="9" t="s">
        <v>25</v>
      </c>
      <c r="C7" s="10"/>
      <c r="D7" s="9" t="s">
        <v>30</v>
      </c>
      <c r="E7" s="9" t="s">
        <v>31</v>
      </c>
      <c r="F7" s="11" t="s">
        <v>9</v>
      </c>
      <c r="G7" s="12">
        <v>451888200</v>
      </c>
      <c r="H7" s="13"/>
      <c r="I7" s="12">
        <v>451888200</v>
      </c>
      <c r="J7" s="14"/>
      <c r="K7" s="15"/>
      <c r="L7" s="15"/>
      <c r="M7" s="15"/>
      <c r="N7" s="15"/>
      <c r="O7" s="15"/>
      <c r="P7" s="15"/>
      <c r="Q7" s="15"/>
      <c r="R7" s="15"/>
    </row>
    <row x14ac:dyDescent="0.25" r="8" customHeight="1" ht="19.5">
      <c r="A8" s="9" t="s">
        <v>19</v>
      </c>
      <c r="B8" s="9" t="s">
        <v>25</v>
      </c>
      <c r="C8" s="10"/>
      <c r="D8" s="9" t="s">
        <v>30</v>
      </c>
      <c r="E8" s="9" t="s">
        <v>32</v>
      </c>
      <c r="F8" s="11" t="s">
        <v>9</v>
      </c>
      <c r="G8" s="12">
        <v>383765400</v>
      </c>
      <c r="H8" s="13"/>
      <c r="I8" s="12">
        <v>383765400</v>
      </c>
      <c r="J8" s="14"/>
      <c r="K8" s="15"/>
      <c r="L8" s="15"/>
      <c r="M8" s="15"/>
      <c r="N8" s="15"/>
      <c r="O8" s="15"/>
      <c r="P8" s="15"/>
      <c r="Q8" s="15"/>
      <c r="R8" s="15"/>
    </row>
    <row x14ac:dyDescent="0.25" r="9" customHeight="1" ht="19.5">
      <c r="A9" s="9" t="s">
        <v>19</v>
      </c>
      <c r="B9" s="16" t="s">
        <v>25</v>
      </c>
      <c r="C9" s="10"/>
      <c r="D9" s="9" t="s">
        <v>30</v>
      </c>
      <c r="E9" s="9" t="s">
        <v>33</v>
      </c>
      <c r="F9" s="11" t="s">
        <v>9</v>
      </c>
      <c r="G9" s="12">
        <v>300218400</v>
      </c>
      <c r="H9" s="13"/>
      <c r="I9" s="12">
        <v>300218400</v>
      </c>
      <c r="J9" s="14"/>
      <c r="K9" s="15"/>
      <c r="L9" s="15"/>
      <c r="M9" s="15"/>
      <c r="N9" s="15"/>
      <c r="O9" s="15"/>
      <c r="P9" s="15"/>
      <c r="Q9" s="15"/>
      <c r="R9" s="15"/>
    </row>
    <row x14ac:dyDescent="0.25" r="10" customHeight="1" ht="19.5">
      <c r="A10" s="9" t="s">
        <v>34</v>
      </c>
      <c r="B10" s="9" t="s">
        <v>25</v>
      </c>
      <c r="C10" s="10"/>
      <c r="D10" s="9" t="s">
        <v>30</v>
      </c>
      <c r="E10" s="9" t="s">
        <v>35</v>
      </c>
      <c r="F10" s="11" t="s">
        <v>9</v>
      </c>
      <c r="G10" s="12">
        <v>484128000</v>
      </c>
      <c r="H10" s="13"/>
      <c r="I10" s="12">
        <v>484128000</v>
      </c>
      <c r="J10" s="14"/>
      <c r="K10" s="15"/>
      <c r="L10" s="15"/>
      <c r="M10" s="15"/>
      <c r="N10" s="15"/>
      <c r="O10" s="15"/>
      <c r="P10" s="15"/>
      <c r="Q10" s="15"/>
      <c r="R10" s="15"/>
    </row>
    <row x14ac:dyDescent="0.25" r="11" customHeight="1" ht="24">
      <c r="A11" s="9" t="s">
        <v>36</v>
      </c>
      <c r="B11" s="9" t="s">
        <v>28</v>
      </c>
      <c r="C11" s="10">
        <v>849233</v>
      </c>
      <c r="D11" s="9" t="s">
        <v>26</v>
      </c>
      <c r="E11" s="9" t="s">
        <v>37</v>
      </c>
      <c r="F11" s="11" t="s">
        <v>8</v>
      </c>
      <c r="G11" s="12">
        <v>20000000</v>
      </c>
      <c r="H11" s="12">
        <v>20000000</v>
      </c>
      <c r="I11" s="14"/>
      <c r="J11" s="14"/>
      <c r="K11" s="15"/>
      <c r="L11" s="15"/>
      <c r="M11" s="15"/>
      <c r="N11" s="15"/>
      <c r="O11" s="15"/>
      <c r="P11" s="15"/>
      <c r="Q11" s="15"/>
      <c r="R11" s="15"/>
    </row>
    <row x14ac:dyDescent="0.25" r="12" customHeight="1" ht="24">
      <c r="A12" s="9" t="s">
        <v>36</v>
      </c>
      <c r="B12" s="9" t="s">
        <v>20</v>
      </c>
      <c r="C12" s="10">
        <v>200124</v>
      </c>
      <c r="D12" s="9" t="s">
        <v>38</v>
      </c>
      <c r="E12" s="9" t="s">
        <v>39</v>
      </c>
      <c r="F12" s="11" t="s">
        <v>8</v>
      </c>
      <c r="G12" s="12">
        <v>740000</v>
      </c>
      <c r="H12" s="12">
        <v>740000</v>
      </c>
      <c r="I12" s="14"/>
      <c r="J12" s="14"/>
      <c r="K12" s="15"/>
      <c r="L12" s="15"/>
      <c r="M12" s="15"/>
      <c r="N12" s="15"/>
      <c r="O12" s="15"/>
      <c r="P12" s="15"/>
      <c r="Q12" s="15"/>
      <c r="R12" s="15"/>
    </row>
    <row x14ac:dyDescent="0.25" r="13" customHeight="1" ht="24">
      <c r="A13" s="9" t="s">
        <v>36</v>
      </c>
      <c r="B13" s="9" t="s">
        <v>40</v>
      </c>
      <c r="C13" s="10">
        <v>505969</v>
      </c>
      <c r="D13" s="9" t="s">
        <v>26</v>
      </c>
      <c r="E13" s="9" t="s">
        <v>41</v>
      </c>
      <c r="F13" s="11" t="s">
        <v>8</v>
      </c>
      <c r="G13" s="12">
        <v>30000000</v>
      </c>
      <c r="H13" s="12">
        <v>30000000</v>
      </c>
      <c r="I13" s="14"/>
      <c r="J13" s="14"/>
      <c r="K13" s="15"/>
      <c r="L13" s="15"/>
      <c r="M13" s="15"/>
      <c r="N13" s="15"/>
      <c r="O13" s="15"/>
      <c r="P13" s="15"/>
      <c r="Q13" s="15"/>
      <c r="R13" s="15"/>
    </row>
    <row x14ac:dyDescent="0.25" r="14" customHeight="1" ht="24">
      <c r="A14" s="9" t="s">
        <v>36</v>
      </c>
      <c r="B14" s="9" t="s">
        <v>42</v>
      </c>
      <c r="C14" s="10"/>
      <c r="D14" s="9" t="s">
        <v>43</v>
      </c>
      <c r="E14" s="17" t="s">
        <v>44</v>
      </c>
      <c r="F14" s="18" t="s">
        <v>17</v>
      </c>
      <c r="G14" s="12">
        <v>30000000</v>
      </c>
      <c r="H14" s="13"/>
      <c r="I14" s="14"/>
      <c r="J14" s="14"/>
      <c r="K14" s="15"/>
      <c r="L14" s="15"/>
      <c r="M14" s="15"/>
      <c r="N14" s="15"/>
      <c r="O14" s="15"/>
      <c r="P14" s="15"/>
      <c r="Q14" s="12">
        <v>30000000</v>
      </c>
      <c r="R14" s="15"/>
    </row>
    <row x14ac:dyDescent="0.25" r="15" customHeight="1" ht="24.75">
      <c r="A15" s="9" t="s">
        <v>36</v>
      </c>
      <c r="B15" s="16" t="s">
        <v>25</v>
      </c>
      <c r="C15" s="10"/>
      <c r="D15" s="9" t="s">
        <v>30</v>
      </c>
      <c r="E15" s="19" t="s">
        <v>45</v>
      </c>
      <c r="F15" s="20" t="s">
        <v>13</v>
      </c>
      <c r="G15" s="12">
        <v>96000000</v>
      </c>
      <c r="H15" s="13"/>
      <c r="I15" s="14"/>
      <c r="J15" s="14"/>
      <c r="K15" s="15"/>
      <c r="L15" s="15"/>
      <c r="M15" s="12">
        <v>96000000</v>
      </c>
      <c r="N15" s="15"/>
      <c r="O15" s="15"/>
      <c r="P15" s="15"/>
      <c r="Q15" s="15"/>
      <c r="R15" s="15"/>
    </row>
    <row x14ac:dyDescent="0.25" r="16" customHeight="1" ht="23.25">
      <c r="A16" s="9" t="s">
        <v>36</v>
      </c>
      <c r="B16" s="9" t="s">
        <v>25</v>
      </c>
      <c r="C16" s="10"/>
      <c r="D16" s="9" t="s">
        <v>26</v>
      </c>
      <c r="E16" s="21" t="s">
        <v>46</v>
      </c>
      <c r="F16" s="22" t="s">
        <v>8</v>
      </c>
      <c r="G16" s="12">
        <v>151500</v>
      </c>
      <c r="H16" s="12">
        <v>151500</v>
      </c>
      <c r="I16" s="14"/>
      <c r="J16" s="14"/>
      <c r="K16" s="15"/>
      <c r="L16" s="15"/>
      <c r="M16" s="15"/>
      <c r="N16" s="15"/>
      <c r="O16" s="15"/>
      <c r="P16" s="15"/>
      <c r="Q16" s="15"/>
      <c r="R16" s="15"/>
    </row>
    <row x14ac:dyDescent="0.25" r="17" customHeight="1" ht="24">
      <c r="A17" s="16" t="s">
        <v>47</v>
      </c>
      <c r="B17" s="9" t="s">
        <v>25</v>
      </c>
      <c r="C17" s="10"/>
      <c r="D17" s="9" t="s">
        <v>26</v>
      </c>
      <c r="E17" s="9" t="s">
        <v>48</v>
      </c>
      <c r="F17" s="11" t="s">
        <v>8</v>
      </c>
      <c r="G17" s="12">
        <v>19191500</v>
      </c>
      <c r="H17" s="12">
        <v>19191500</v>
      </c>
      <c r="I17" s="14"/>
      <c r="J17" s="14"/>
      <c r="K17" s="15"/>
      <c r="L17" s="15"/>
      <c r="M17" s="15"/>
      <c r="N17" s="15"/>
      <c r="O17" s="15"/>
      <c r="P17" s="15"/>
      <c r="Q17" s="15"/>
      <c r="R17" s="15"/>
    </row>
    <row x14ac:dyDescent="0.25" r="18" customHeight="1" ht="24">
      <c r="A18" s="16" t="s">
        <v>47</v>
      </c>
      <c r="B18" s="9" t="s">
        <v>25</v>
      </c>
      <c r="C18" s="10"/>
      <c r="D18" s="9" t="s">
        <v>26</v>
      </c>
      <c r="E18" s="9" t="s">
        <v>49</v>
      </c>
      <c r="F18" s="11" t="s">
        <v>10</v>
      </c>
      <c r="G18" s="12">
        <v>18725500</v>
      </c>
      <c r="H18" s="13"/>
      <c r="I18" s="14"/>
      <c r="J18" s="12">
        <v>18725500</v>
      </c>
      <c r="K18" s="15"/>
      <c r="L18" s="15"/>
      <c r="M18" s="15"/>
      <c r="N18" s="15"/>
      <c r="O18" s="15"/>
      <c r="P18" s="15"/>
      <c r="Q18" s="15"/>
      <c r="R18" s="15"/>
    </row>
    <row x14ac:dyDescent="0.25" r="19" customHeight="1" ht="24">
      <c r="A19" s="16" t="s">
        <v>47</v>
      </c>
      <c r="B19" s="9" t="s">
        <v>25</v>
      </c>
      <c r="C19" s="10"/>
      <c r="D19" s="9" t="s">
        <v>26</v>
      </c>
      <c r="E19" s="9" t="s">
        <v>50</v>
      </c>
      <c r="F19" s="11" t="s">
        <v>10</v>
      </c>
      <c r="G19" s="12">
        <v>7329800</v>
      </c>
      <c r="H19" s="13"/>
      <c r="I19" s="14"/>
      <c r="J19" s="12">
        <v>7329800</v>
      </c>
      <c r="K19" s="15"/>
      <c r="L19" s="15"/>
      <c r="M19" s="15"/>
      <c r="N19" s="15"/>
      <c r="O19" s="15"/>
      <c r="P19" s="15"/>
      <c r="Q19" s="15"/>
      <c r="R19" s="15"/>
    </row>
    <row x14ac:dyDescent="0.25" r="20" customHeight="1" ht="19.5">
      <c r="A20" s="9" t="s">
        <v>47</v>
      </c>
      <c r="B20" s="9" t="s">
        <v>51</v>
      </c>
      <c r="C20" s="10" t="s">
        <v>52</v>
      </c>
      <c r="D20" s="9" t="s">
        <v>21</v>
      </c>
      <c r="E20" s="9" t="s">
        <v>53</v>
      </c>
      <c r="F20" s="11" t="s">
        <v>9</v>
      </c>
      <c r="G20" s="12">
        <v>2481043</v>
      </c>
      <c r="H20" s="13"/>
      <c r="I20" s="12">
        <v>2481043</v>
      </c>
      <c r="J20" s="13"/>
      <c r="K20" s="15"/>
      <c r="L20" s="15"/>
      <c r="M20" s="15"/>
      <c r="N20" s="15"/>
      <c r="O20" s="15"/>
      <c r="P20" s="15"/>
      <c r="Q20" s="15"/>
      <c r="R20" s="15"/>
    </row>
    <row x14ac:dyDescent="0.25" r="21" customHeight="1" ht="24">
      <c r="A21" s="9" t="s">
        <v>47</v>
      </c>
      <c r="B21" s="9" t="s">
        <v>51</v>
      </c>
      <c r="C21" s="10" t="s">
        <v>52</v>
      </c>
      <c r="D21" s="9" t="s">
        <v>21</v>
      </c>
      <c r="E21" s="9" t="s">
        <v>54</v>
      </c>
      <c r="F21" s="11" t="s">
        <v>8</v>
      </c>
      <c r="G21" s="12">
        <v>5295875</v>
      </c>
      <c r="H21" s="12">
        <v>5295875</v>
      </c>
      <c r="I21" s="14"/>
      <c r="J21" s="13"/>
      <c r="K21" s="15"/>
      <c r="L21" s="15"/>
      <c r="M21" s="15"/>
      <c r="N21" s="15"/>
      <c r="O21" s="15"/>
      <c r="P21" s="15"/>
      <c r="Q21" s="15"/>
      <c r="R21" s="15"/>
    </row>
    <row x14ac:dyDescent="0.25" r="22" customHeight="1" ht="19.5">
      <c r="A22" s="9" t="s">
        <v>47</v>
      </c>
      <c r="B22" s="9" t="s">
        <v>51</v>
      </c>
      <c r="C22" s="10">
        <v>849267</v>
      </c>
      <c r="D22" s="9" t="s">
        <v>23</v>
      </c>
      <c r="E22" s="9" t="s">
        <v>55</v>
      </c>
      <c r="F22" s="11" t="s">
        <v>9</v>
      </c>
      <c r="G22" s="12">
        <v>100000</v>
      </c>
      <c r="H22" s="13"/>
      <c r="I22" s="12">
        <v>100000</v>
      </c>
      <c r="J22" s="13"/>
      <c r="K22" s="15"/>
      <c r="L22" s="15"/>
      <c r="M22" s="15"/>
      <c r="N22" s="15"/>
      <c r="O22" s="15"/>
      <c r="P22" s="15"/>
      <c r="Q22" s="15"/>
      <c r="R22" s="15"/>
    </row>
    <row x14ac:dyDescent="0.25" r="23" customHeight="1" ht="24">
      <c r="A23" s="9" t="s">
        <v>47</v>
      </c>
      <c r="B23" s="9" t="s">
        <v>51</v>
      </c>
      <c r="C23" s="10">
        <v>849267</v>
      </c>
      <c r="D23" s="9" t="s">
        <v>23</v>
      </c>
      <c r="E23" s="9" t="s">
        <v>56</v>
      </c>
      <c r="F23" s="11" t="s">
        <v>8</v>
      </c>
      <c r="G23" s="12">
        <v>400000</v>
      </c>
      <c r="H23" s="12">
        <v>400000</v>
      </c>
      <c r="I23" s="14"/>
      <c r="J23" s="13"/>
      <c r="K23" s="15"/>
      <c r="L23" s="15"/>
      <c r="M23" s="15"/>
      <c r="N23" s="15"/>
      <c r="O23" s="15"/>
      <c r="P23" s="15"/>
      <c r="Q23" s="15"/>
      <c r="R23" s="15"/>
    </row>
    <row x14ac:dyDescent="0.25" r="24" customHeight="1" ht="24">
      <c r="A24" s="9" t="s">
        <v>47</v>
      </c>
      <c r="B24" s="9" t="s">
        <v>20</v>
      </c>
      <c r="C24" s="10">
        <v>200127</v>
      </c>
      <c r="D24" s="9" t="s">
        <v>57</v>
      </c>
      <c r="E24" s="9" t="s">
        <v>58</v>
      </c>
      <c r="F24" s="11" t="s">
        <v>8</v>
      </c>
      <c r="G24" s="12">
        <v>572750</v>
      </c>
      <c r="H24" s="12">
        <v>572750</v>
      </c>
      <c r="I24" s="14"/>
      <c r="J24" s="13"/>
      <c r="K24" s="15"/>
      <c r="L24" s="15"/>
      <c r="M24" s="15"/>
      <c r="N24" s="15"/>
      <c r="O24" s="15"/>
      <c r="P24" s="15"/>
      <c r="Q24" s="15"/>
      <c r="R24" s="15"/>
    </row>
    <row x14ac:dyDescent="0.25" r="25" customHeight="1" ht="19.5">
      <c r="A25" s="9" t="s">
        <v>47</v>
      </c>
      <c r="B25" s="9" t="s">
        <v>20</v>
      </c>
      <c r="C25" s="10">
        <v>200127</v>
      </c>
      <c r="D25" s="9" t="s">
        <v>59</v>
      </c>
      <c r="E25" s="9" t="s">
        <v>60</v>
      </c>
      <c r="F25" s="11" t="s">
        <v>10</v>
      </c>
      <c r="G25" s="12">
        <v>85000</v>
      </c>
      <c r="H25" s="13"/>
      <c r="I25" s="14"/>
      <c r="J25" s="12">
        <v>85000</v>
      </c>
      <c r="K25" s="15"/>
      <c r="L25" s="15"/>
      <c r="M25" s="15"/>
      <c r="N25" s="15"/>
      <c r="O25" s="15"/>
      <c r="P25" s="15"/>
      <c r="Q25" s="15"/>
      <c r="R25" s="15"/>
    </row>
    <row x14ac:dyDescent="0.25" r="26" customHeight="1" ht="24">
      <c r="A26" s="9" t="s">
        <v>47</v>
      </c>
      <c r="B26" s="9" t="s">
        <v>20</v>
      </c>
      <c r="C26" s="10">
        <v>200125</v>
      </c>
      <c r="D26" s="23" t="s">
        <v>61</v>
      </c>
      <c r="E26" s="9" t="s">
        <v>62</v>
      </c>
      <c r="F26" s="11" t="s">
        <v>9</v>
      </c>
      <c r="G26" s="12">
        <v>51300</v>
      </c>
      <c r="H26" s="13"/>
      <c r="I26" s="12">
        <v>51300</v>
      </c>
      <c r="J26" s="13"/>
      <c r="K26" s="15"/>
      <c r="L26" s="15"/>
      <c r="M26" s="15"/>
      <c r="N26" s="15"/>
      <c r="O26" s="15"/>
      <c r="P26" s="15"/>
      <c r="Q26" s="15"/>
      <c r="R26" s="15"/>
    </row>
    <row x14ac:dyDescent="0.25" r="27" customHeight="1" ht="20.1">
      <c r="A27" s="9" t="s">
        <v>47</v>
      </c>
      <c r="B27" s="9" t="s">
        <v>20</v>
      </c>
      <c r="C27" s="10">
        <v>200125</v>
      </c>
      <c r="D27" s="9" t="s">
        <v>63</v>
      </c>
      <c r="E27" s="9" t="s">
        <v>64</v>
      </c>
      <c r="F27" s="11" t="s">
        <v>8</v>
      </c>
      <c r="G27" s="12">
        <v>813650</v>
      </c>
      <c r="H27" s="12">
        <v>813650</v>
      </c>
      <c r="I27" s="14"/>
      <c r="J27" s="13"/>
      <c r="K27" s="15"/>
      <c r="L27" s="15"/>
      <c r="M27" s="15"/>
      <c r="N27" s="15"/>
      <c r="O27" s="15"/>
      <c r="P27" s="15"/>
      <c r="Q27" s="15"/>
      <c r="R27" s="15"/>
    </row>
    <row x14ac:dyDescent="0.25" r="28" customHeight="1" ht="20.1">
      <c r="A28" s="9" t="s">
        <v>47</v>
      </c>
      <c r="B28" s="9" t="s">
        <v>20</v>
      </c>
      <c r="C28" s="10">
        <v>200125</v>
      </c>
      <c r="D28" s="9" t="s">
        <v>59</v>
      </c>
      <c r="E28" s="9" t="s">
        <v>65</v>
      </c>
      <c r="F28" s="11" t="s">
        <v>10</v>
      </c>
      <c r="G28" s="12">
        <v>1721250</v>
      </c>
      <c r="H28" s="13"/>
      <c r="I28" s="14"/>
      <c r="J28" s="12">
        <v>1721250</v>
      </c>
      <c r="K28" s="15"/>
      <c r="L28" s="15"/>
      <c r="M28" s="15"/>
      <c r="N28" s="15"/>
      <c r="O28" s="15"/>
      <c r="P28" s="15"/>
      <c r="Q28" s="15"/>
      <c r="R28" s="15"/>
    </row>
    <row x14ac:dyDescent="0.25" r="29" customHeight="1" ht="20.1">
      <c r="A29" s="9" t="s">
        <v>47</v>
      </c>
      <c r="B29" s="9" t="s">
        <v>20</v>
      </c>
      <c r="C29" s="10">
        <v>200125</v>
      </c>
      <c r="D29" s="9" t="s">
        <v>43</v>
      </c>
      <c r="E29" s="9" t="s">
        <v>66</v>
      </c>
      <c r="F29" s="11" t="s">
        <v>17</v>
      </c>
      <c r="G29" s="12">
        <v>12000</v>
      </c>
      <c r="H29" s="13"/>
      <c r="I29" s="14"/>
      <c r="J29" s="13"/>
      <c r="K29" s="15"/>
      <c r="L29" s="15"/>
      <c r="M29" s="15"/>
      <c r="N29" s="15"/>
      <c r="O29" s="15"/>
      <c r="P29" s="15"/>
      <c r="Q29" s="12">
        <v>12000</v>
      </c>
      <c r="R29" s="15"/>
    </row>
    <row x14ac:dyDescent="0.25" r="30" customHeight="1" ht="20.1">
      <c r="A30" s="9" t="s">
        <v>47</v>
      </c>
      <c r="B30" s="9" t="s">
        <v>20</v>
      </c>
      <c r="C30" s="10">
        <v>200125</v>
      </c>
      <c r="D30" s="9" t="s">
        <v>67</v>
      </c>
      <c r="E30" s="9" t="s">
        <v>64</v>
      </c>
      <c r="F30" s="11" t="s">
        <v>13</v>
      </c>
      <c r="G30" s="12">
        <v>103200</v>
      </c>
      <c r="H30" s="13"/>
      <c r="I30" s="14"/>
      <c r="J30" s="13"/>
      <c r="K30" s="15"/>
      <c r="L30" s="15"/>
      <c r="M30" s="12">
        <v>103200</v>
      </c>
      <c r="N30" s="15"/>
      <c r="O30" s="15"/>
      <c r="P30" s="15"/>
      <c r="Q30" s="15"/>
      <c r="R30" s="15"/>
    </row>
    <row x14ac:dyDescent="0.25" r="31" customHeight="1" ht="20.1">
      <c r="A31" s="9" t="s">
        <v>47</v>
      </c>
      <c r="B31" s="9" t="s">
        <v>42</v>
      </c>
      <c r="C31" s="10"/>
      <c r="D31" s="9" t="s">
        <v>43</v>
      </c>
      <c r="E31" s="9" t="s">
        <v>68</v>
      </c>
      <c r="F31" s="11" t="s">
        <v>17</v>
      </c>
      <c r="G31" s="12">
        <v>3500000</v>
      </c>
      <c r="H31" s="13"/>
      <c r="I31" s="14"/>
      <c r="J31" s="13"/>
      <c r="K31" s="15"/>
      <c r="L31" s="15"/>
      <c r="M31" s="15"/>
      <c r="N31" s="15"/>
      <c r="O31" s="15"/>
      <c r="P31" s="15"/>
      <c r="Q31" s="12">
        <v>3500000</v>
      </c>
      <c r="R31" s="15"/>
    </row>
    <row x14ac:dyDescent="0.25" r="32" customHeight="1" ht="20.1">
      <c r="A32" s="9" t="s">
        <v>69</v>
      </c>
      <c r="B32" s="9" t="s">
        <v>51</v>
      </c>
      <c r="C32" s="10" t="s">
        <v>70</v>
      </c>
      <c r="D32" s="24" t="s">
        <v>71</v>
      </c>
      <c r="E32" s="9" t="s">
        <v>72</v>
      </c>
      <c r="F32" s="11" t="s">
        <v>10</v>
      </c>
      <c r="G32" s="12">
        <v>3186310</v>
      </c>
      <c r="H32" s="13"/>
      <c r="I32" s="14"/>
      <c r="J32" s="12">
        <v>3186310</v>
      </c>
      <c r="K32" s="15"/>
      <c r="L32" s="15"/>
      <c r="M32" s="15"/>
      <c r="N32" s="15"/>
      <c r="O32" s="15"/>
      <c r="P32" s="15"/>
      <c r="Q32" s="15"/>
      <c r="R32" s="15"/>
    </row>
    <row x14ac:dyDescent="0.25" r="33" customHeight="1" ht="20.1">
      <c r="A33" s="9" t="s">
        <v>69</v>
      </c>
      <c r="B33" s="9" t="s">
        <v>20</v>
      </c>
      <c r="C33" s="10">
        <v>200130</v>
      </c>
      <c r="D33" s="9" t="s">
        <v>73</v>
      </c>
      <c r="E33" s="9" t="s">
        <v>74</v>
      </c>
      <c r="F33" s="11" t="s">
        <v>10</v>
      </c>
      <c r="G33" s="12">
        <v>9530250</v>
      </c>
      <c r="H33" s="13"/>
      <c r="I33" s="14"/>
      <c r="J33" s="12">
        <v>9530250</v>
      </c>
      <c r="K33" s="15"/>
      <c r="L33" s="15"/>
      <c r="M33" s="15"/>
      <c r="N33" s="15"/>
      <c r="O33" s="15"/>
      <c r="P33" s="15"/>
      <c r="Q33" s="15"/>
      <c r="R33" s="15"/>
    </row>
    <row x14ac:dyDescent="0.25" r="34" customHeight="1" ht="20.1">
      <c r="A34" s="9" t="s">
        <v>69</v>
      </c>
      <c r="B34" s="9" t="s">
        <v>20</v>
      </c>
      <c r="C34" s="10">
        <v>200130</v>
      </c>
      <c r="D34" s="9" t="s">
        <v>75</v>
      </c>
      <c r="E34" s="9" t="s">
        <v>76</v>
      </c>
      <c r="F34" s="11" t="s">
        <v>8</v>
      </c>
      <c r="G34" s="12">
        <v>9661200</v>
      </c>
      <c r="H34" s="12">
        <v>9661200</v>
      </c>
      <c r="I34" s="14"/>
      <c r="J34" s="13"/>
      <c r="K34" s="15"/>
      <c r="L34" s="15"/>
      <c r="M34" s="15"/>
      <c r="N34" s="15"/>
      <c r="O34" s="15"/>
      <c r="P34" s="15"/>
      <c r="Q34" s="15"/>
      <c r="R34" s="15"/>
    </row>
    <row x14ac:dyDescent="0.25" r="35" customHeight="1" ht="20.1">
      <c r="A35" s="9" t="s">
        <v>69</v>
      </c>
      <c r="B35" s="9" t="s">
        <v>20</v>
      </c>
      <c r="C35" s="10">
        <v>200131</v>
      </c>
      <c r="D35" s="23" t="s">
        <v>77</v>
      </c>
      <c r="E35" s="9" t="s">
        <v>78</v>
      </c>
      <c r="F35" s="11" t="s">
        <v>10</v>
      </c>
      <c r="G35" s="12">
        <v>6488000</v>
      </c>
      <c r="H35" s="13"/>
      <c r="I35" s="14"/>
      <c r="J35" s="12">
        <v>6488000</v>
      </c>
      <c r="K35" s="15"/>
      <c r="L35" s="15"/>
      <c r="M35" s="15"/>
      <c r="N35" s="15"/>
      <c r="O35" s="15"/>
      <c r="P35" s="15"/>
      <c r="Q35" s="15"/>
      <c r="R35" s="15"/>
    </row>
    <row x14ac:dyDescent="0.25" r="36" customHeight="1" ht="20.1">
      <c r="A36" s="9" t="s">
        <v>69</v>
      </c>
      <c r="B36" s="9" t="s">
        <v>25</v>
      </c>
      <c r="C36" s="10"/>
      <c r="D36" s="9" t="s">
        <v>26</v>
      </c>
      <c r="E36" s="9" t="s">
        <v>79</v>
      </c>
      <c r="F36" s="11" t="s">
        <v>8</v>
      </c>
      <c r="G36" s="12">
        <v>12600000</v>
      </c>
      <c r="H36" s="12">
        <v>12600000</v>
      </c>
      <c r="I36" s="14"/>
      <c r="J36" s="13"/>
      <c r="K36" s="15"/>
      <c r="L36" s="15"/>
      <c r="M36" s="15"/>
      <c r="N36" s="15"/>
      <c r="O36" s="15"/>
      <c r="P36" s="15"/>
      <c r="Q36" s="15"/>
      <c r="R36" s="15"/>
    </row>
    <row x14ac:dyDescent="0.25" r="37" customHeight="1" ht="20.1">
      <c r="A37" s="9" t="s">
        <v>69</v>
      </c>
      <c r="B37" s="9" t="s">
        <v>51</v>
      </c>
      <c r="C37" s="10" t="s">
        <v>80</v>
      </c>
      <c r="D37" s="9" t="s">
        <v>21</v>
      </c>
      <c r="E37" s="9" t="s">
        <v>81</v>
      </c>
      <c r="F37" s="11" t="s">
        <v>8</v>
      </c>
      <c r="G37" s="12">
        <v>5377955</v>
      </c>
      <c r="H37" s="12">
        <v>5377955</v>
      </c>
      <c r="I37" s="14"/>
      <c r="J37" s="13"/>
      <c r="K37" s="15"/>
      <c r="L37" s="15"/>
      <c r="M37" s="15"/>
      <c r="N37" s="15"/>
      <c r="O37" s="15"/>
      <c r="P37" s="15"/>
      <c r="Q37" s="15"/>
      <c r="R37" s="15"/>
    </row>
    <row x14ac:dyDescent="0.25" r="38" customHeight="1" ht="20.1">
      <c r="A38" s="9" t="s">
        <v>69</v>
      </c>
      <c r="B38" s="9" t="s">
        <v>28</v>
      </c>
      <c r="C38" s="10">
        <v>849268</v>
      </c>
      <c r="D38" s="9" t="s">
        <v>23</v>
      </c>
      <c r="E38" s="9" t="s">
        <v>82</v>
      </c>
      <c r="F38" s="11" t="s">
        <v>8</v>
      </c>
      <c r="G38" s="12">
        <v>400000</v>
      </c>
      <c r="H38" s="12">
        <v>400000</v>
      </c>
      <c r="I38" s="14"/>
      <c r="J38" s="13"/>
      <c r="K38" s="15"/>
      <c r="L38" s="15"/>
      <c r="M38" s="15"/>
      <c r="N38" s="15"/>
      <c r="O38" s="15"/>
      <c r="P38" s="15"/>
      <c r="Q38" s="15"/>
      <c r="R38" s="15"/>
    </row>
    <row x14ac:dyDescent="0.25" r="39" customHeight="1" ht="20.1">
      <c r="A39" s="9" t="s">
        <v>69</v>
      </c>
      <c r="B39" s="9" t="s">
        <v>51</v>
      </c>
      <c r="C39" s="10" t="s">
        <v>83</v>
      </c>
      <c r="D39" s="9" t="s">
        <v>21</v>
      </c>
      <c r="E39" s="9" t="s">
        <v>84</v>
      </c>
      <c r="F39" s="11" t="s">
        <v>8</v>
      </c>
      <c r="G39" s="12">
        <v>10700000</v>
      </c>
      <c r="H39" s="12">
        <v>10700000</v>
      </c>
      <c r="I39" s="14"/>
      <c r="J39" s="13"/>
      <c r="K39" s="15"/>
      <c r="L39" s="15"/>
      <c r="M39" s="15"/>
      <c r="N39" s="15"/>
      <c r="O39" s="15"/>
      <c r="P39" s="15"/>
      <c r="Q39" s="15"/>
      <c r="R39" s="15"/>
    </row>
    <row x14ac:dyDescent="0.25" r="40" customHeight="1" ht="20.1">
      <c r="A40" s="9" t="s">
        <v>69</v>
      </c>
      <c r="B40" s="9" t="s">
        <v>28</v>
      </c>
      <c r="C40" s="10">
        <v>849234</v>
      </c>
      <c r="D40" s="9" t="s">
        <v>23</v>
      </c>
      <c r="E40" s="9" t="s">
        <v>85</v>
      </c>
      <c r="F40" s="11" t="s">
        <v>8</v>
      </c>
      <c r="G40" s="12">
        <v>100000</v>
      </c>
      <c r="H40" s="12">
        <v>100000</v>
      </c>
      <c r="I40" s="14"/>
      <c r="J40" s="13"/>
      <c r="K40" s="15"/>
      <c r="L40" s="15"/>
      <c r="M40" s="15"/>
      <c r="N40" s="15"/>
      <c r="O40" s="15"/>
      <c r="P40" s="15"/>
      <c r="Q40" s="15"/>
      <c r="R40" s="15"/>
    </row>
    <row x14ac:dyDescent="0.25" r="41" customHeight="1" ht="20.1">
      <c r="A41" s="9" t="s">
        <v>69</v>
      </c>
      <c r="B41" s="9" t="s">
        <v>20</v>
      </c>
      <c r="C41" s="10">
        <v>200132</v>
      </c>
      <c r="D41" s="9" t="s">
        <v>86</v>
      </c>
      <c r="E41" s="9" t="s">
        <v>87</v>
      </c>
      <c r="F41" s="11" t="s">
        <v>8</v>
      </c>
      <c r="G41" s="12">
        <v>3089780</v>
      </c>
      <c r="H41" s="12">
        <v>3089780</v>
      </c>
      <c r="I41" s="14"/>
      <c r="J41" s="13"/>
      <c r="K41" s="15"/>
      <c r="L41" s="15"/>
      <c r="M41" s="15"/>
      <c r="N41" s="15"/>
      <c r="O41" s="15"/>
      <c r="P41" s="15"/>
      <c r="Q41" s="15"/>
      <c r="R41" s="15"/>
    </row>
    <row x14ac:dyDescent="0.25" r="42" customHeight="1" ht="20.1">
      <c r="A42" s="9" t="s">
        <v>69</v>
      </c>
      <c r="B42" s="9" t="s">
        <v>20</v>
      </c>
      <c r="C42" s="10">
        <v>200129</v>
      </c>
      <c r="D42" s="9" t="s">
        <v>75</v>
      </c>
      <c r="E42" s="9" t="s">
        <v>88</v>
      </c>
      <c r="F42" s="11" t="s">
        <v>8</v>
      </c>
      <c r="G42" s="12">
        <v>6950000</v>
      </c>
      <c r="H42" s="12">
        <v>6950000</v>
      </c>
      <c r="I42" s="14"/>
      <c r="J42" s="13"/>
      <c r="K42" s="15"/>
      <c r="L42" s="15"/>
      <c r="M42" s="15"/>
      <c r="N42" s="15"/>
      <c r="O42" s="15"/>
      <c r="P42" s="15"/>
      <c r="Q42" s="15"/>
      <c r="R42" s="15"/>
    </row>
    <row x14ac:dyDescent="0.25" r="43" customHeight="1" ht="20.1">
      <c r="A43" s="9" t="s">
        <v>69</v>
      </c>
      <c r="B43" s="9" t="s">
        <v>25</v>
      </c>
      <c r="C43" s="10"/>
      <c r="D43" s="9" t="s">
        <v>30</v>
      </c>
      <c r="E43" s="9" t="s">
        <v>89</v>
      </c>
      <c r="F43" s="11" t="s">
        <v>9</v>
      </c>
      <c r="G43" s="12">
        <v>110000000</v>
      </c>
      <c r="H43" s="13"/>
      <c r="I43" s="12">
        <v>110000000</v>
      </c>
      <c r="J43" s="13"/>
      <c r="K43" s="15"/>
      <c r="L43" s="15"/>
      <c r="M43" s="15"/>
      <c r="N43" s="15"/>
      <c r="O43" s="15"/>
      <c r="P43" s="15"/>
      <c r="Q43" s="15"/>
      <c r="R43" s="15"/>
    </row>
    <row x14ac:dyDescent="0.25" r="44" customHeight="1" ht="20.1">
      <c r="A44" s="9" t="s">
        <v>90</v>
      </c>
      <c r="B44" s="9" t="s">
        <v>91</v>
      </c>
      <c r="C44" s="10" t="s">
        <v>92</v>
      </c>
      <c r="D44" s="9" t="s">
        <v>93</v>
      </c>
      <c r="E44" s="9" t="s">
        <v>94</v>
      </c>
      <c r="F44" s="11" t="s">
        <v>12</v>
      </c>
      <c r="G44" s="12">
        <v>6586675</v>
      </c>
      <c r="H44" s="13"/>
      <c r="I44" s="14"/>
      <c r="J44" s="13"/>
      <c r="K44" s="15"/>
      <c r="L44" s="12">
        <v>6586675</v>
      </c>
      <c r="M44" s="15"/>
      <c r="N44" s="15"/>
      <c r="O44" s="15"/>
      <c r="P44" s="15"/>
      <c r="Q44" s="15"/>
      <c r="R44" s="15"/>
    </row>
    <row x14ac:dyDescent="0.25" r="45" customHeight="1" ht="20.1">
      <c r="A45" s="9" t="s">
        <v>90</v>
      </c>
      <c r="B45" s="9" t="s">
        <v>25</v>
      </c>
      <c r="C45" s="10"/>
      <c r="D45" s="9" t="s">
        <v>26</v>
      </c>
      <c r="E45" s="9" t="s">
        <v>95</v>
      </c>
      <c r="F45" s="11" t="s">
        <v>8</v>
      </c>
      <c r="G45" s="12">
        <v>12000000</v>
      </c>
      <c r="H45" s="12">
        <v>12000000</v>
      </c>
      <c r="I45" s="14"/>
      <c r="J45" s="13"/>
      <c r="K45" s="15"/>
      <c r="L45" s="15"/>
      <c r="M45" s="15"/>
      <c r="N45" s="15"/>
      <c r="O45" s="15"/>
      <c r="P45" s="15"/>
      <c r="Q45" s="15"/>
      <c r="R45" s="15"/>
    </row>
    <row x14ac:dyDescent="0.25" r="46" customHeight="1" ht="20.1">
      <c r="A46" s="9" t="s">
        <v>90</v>
      </c>
      <c r="B46" s="9" t="s">
        <v>28</v>
      </c>
      <c r="C46" s="10">
        <v>849235</v>
      </c>
      <c r="D46" s="9" t="s">
        <v>96</v>
      </c>
      <c r="E46" s="9" t="s">
        <v>97</v>
      </c>
      <c r="F46" s="11" t="s">
        <v>8</v>
      </c>
      <c r="G46" s="12">
        <v>1200000</v>
      </c>
      <c r="H46" s="12">
        <v>1200000</v>
      </c>
      <c r="I46" s="14"/>
      <c r="J46" s="13"/>
      <c r="K46" s="15"/>
      <c r="L46" s="15"/>
      <c r="M46" s="15"/>
      <c r="N46" s="15"/>
      <c r="O46" s="15"/>
      <c r="P46" s="15"/>
      <c r="Q46" s="15"/>
      <c r="R46" s="15"/>
    </row>
    <row x14ac:dyDescent="0.25" r="47" customHeight="1" ht="20.1">
      <c r="A47" s="9" t="s">
        <v>90</v>
      </c>
      <c r="B47" s="9" t="s">
        <v>40</v>
      </c>
      <c r="C47" s="10">
        <v>505971</v>
      </c>
      <c r="D47" s="9" t="s">
        <v>26</v>
      </c>
      <c r="E47" s="9" t="s">
        <v>98</v>
      </c>
      <c r="F47" s="11" t="s">
        <v>8</v>
      </c>
      <c r="G47" s="12">
        <v>38871950</v>
      </c>
      <c r="H47" s="12">
        <v>38871950</v>
      </c>
      <c r="I47" s="14"/>
      <c r="J47" s="13"/>
      <c r="K47" s="15"/>
      <c r="L47" s="15"/>
      <c r="M47" s="15"/>
      <c r="N47" s="15"/>
      <c r="O47" s="15"/>
      <c r="P47" s="15"/>
      <c r="Q47" s="15"/>
      <c r="R47" s="15"/>
    </row>
    <row x14ac:dyDescent="0.25" r="48" customHeight="1" ht="20.1">
      <c r="A48" s="9" t="s">
        <v>90</v>
      </c>
      <c r="B48" s="9" t="s">
        <v>40</v>
      </c>
      <c r="C48" s="10">
        <v>505970</v>
      </c>
      <c r="D48" s="9" t="s">
        <v>26</v>
      </c>
      <c r="E48" s="9" t="s">
        <v>99</v>
      </c>
      <c r="F48" s="11" t="s">
        <v>8</v>
      </c>
      <c r="G48" s="12">
        <v>20000000</v>
      </c>
      <c r="H48" s="12">
        <v>20000000</v>
      </c>
      <c r="I48" s="14"/>
      <c r="J48" s="13"/>
      <c r="K48" s="15"/>
      <c r="L48" s="15"/>
      <c r="M48" s="15"/>
      <c r="N48" s="15"/>
      <c r="O48" s="15"/>
      <c r="P48" s="15"/>
      <c r="Q48" s="15"/>
      <c r="R48" s="15"/>
    </row>
    <row x14ac:dyDescent="0.25" r="49" customHeight="1" ht="20.1">
      <c r="A49" s="9" t="s">
        <v>90</v>
      </c>
      <c r="B49" s="9" t="s">
        <v>100</v>
      </c>
      <c r="C49" s="10" t="s">
        <v>101</v>
      </c>
      <c r="D49" s="9" t="s">
        <v>30</v>
      </c>
      <c r="E49" s="9" t="s">
        <v>102</v>
      </c>
      <c r="F49" s="11" t="s">
        <v>9</v>
      </c>
      <c r="G49" s="12">
        <v>159754500</v>
      </c>
      <c r="H49" s="13"/>
      <c r="I49" s="12">
        <v>159754500</v>
      </c>
      <c r="J49" s="13"/>
      <c r="K49" s="15"/>
      <c r="L49" s="15"/>
      <c r="M49" s="15"/>
      <c r="N49" s="15"/>
      <c r="O49" s="15"/>
      <c r="P49" s="15"/>
      <c r="Q49" s="15"/>
      <c r="R49" s="15"/>
    </row>
    <row x14ac:dyDescent="0.25" r="50" customHeight="1" ht="20.1">
      <c r="A50" s="9" t="s">
        <v>90</v>
      </c>
      <c r="B50" s="9" t="s">
        <v>40</v>
      </c>
      <c r="C50" s="10">
        <v>505972</v>
      </c>
      <c r="D50" s="9" t="s">
        <v>26</v>
      </c>
      <c r="E50" s="9" t="s">
        <v>103</v>
      </c>
      <c r="F50" s="11" t="s">
        <v>8</v>
      </c>
      <c r="G50" s="12">
        <v>32687000</v>
      </c>
      <c r="H50" s="12">
        <v>32687000</v>
      </c>
      <c r="I50" s="14"/>
      <c r="J50" s="13"/>
      <c r="K50" s="15"/>
      <c r="L50" s="15"/>
      <c r="M50" s="15"/>
      <c r="N50" s="15"/>
      <c r="O50" s="15"/>
      <c r="P50" s="15"/>
      <c r="Q50" s="15"/>
      <c r="R50" s="15"/>
    </row>
    <row x14ac:dyDescent="0.25" r="51" customHeight="1" ht="20.1">
      <c r="A51" s="9" t="s">
        <v>90</v>
      </c>
      <c r="B51" s="9" t="s">
        <v>25</v>
      </c>
      <c r="C51" s="10"/>
      <c r="D51" s="9" t="s">
        <v>30</v>
      </c>
      <c r="E51" s="9" t="s">
        <v>104</v>
      </c>
      <c r="F51" s="11" t="s">
        <v>9</v>
      </c>
      <c r="G51" s="12">
        <v>34760000</v>
      </c>
      <c r="H51" s="13"/>
      <c r="I51" s="12">
        <v>34760000</v>
      </c>
      <c r="J51" s="13"/>
      <c r="K51" s="15"/>
      <c r="L51" s="15"/>
      <c r="M51" s="15"/>
      <c r="N51" s="15"/>
      <c r="O51" s="15"/>
      <c r="P51" s="15"/>
      <c r="Q51" s="15"/>
      <c r="R51" s="15"/>
    </row>
    <row x14ac:dyDescent="0.25" r="52" customHeight="1" ht="20.1">
      <c r="A52" s="9" t="s">
        <v>105</v>
      </c>
      <c r="B52" s="9" t="s">
        <v>25</v>
      </c>
      <c r="C52" s="10"/>
      <c r="D52" s="9" t="s">
        <v>26</v>
      </c>
      <c r="E52" s="9" t="s">
        <v>106</v>
      </c>
      <c r="F52" s="11" t="s">
        <v>8</v>
      </c>
      <c r="G52" s="12">
        <v>10050000</v>
      </c>
      <c r="H52" s="12">
        <v>10050000</v>
      </c>
      <c r="I52" s="14"/>
      <c r="J52" s="13"/>
      <c r="K52" s="15"/>
      <c r="L52" s="15"/>
      <c r="M52" s="15"/>
      <c r="N52" s="15"/>
      <c r="O52" s="15"/>
      <c r="P52" s="15"/>
      <c r="Q52" s="15"/>
      <c r="R52" s="15"/>
    </row>
    <row x14ac:dyDescent="0.25" r="53" customHeight="1" ht="20.1">
      <c r="A53" s="9" t="s">
        <v>105</v>
      </c>
      <c r="B53" s="9" t="s">
        <v>20</v>
      </c>
      <c r="C53" s="10">
        <v>200133</v>
      </c>
      <c r="D53" s="9" t="s">
        <v>59</v>
      </c>
      <c r="E53" s="9" t="s">
        <v>107</v>
      </c>
      <c r="F53" s="11" t="s">
        <v>10</v>
      </c>
      <c r="G53" s="12">
        <v>9800000</v>
      </c>
      <c r="H53" s="13"/>
      <c r="I53" s="14"/>
      <c r="J53" s="12">
        <v>9800000</v>
      </c>
      <c r="K53" s="15"/>
      <c r="L53" s="15"/>
      <c r="M53" s="15"/>
      <c r="N53" s="15"/>
      <c r="O53" s="15"/>
      <c r="P53" s="15"/>
      <c r="Q53" s="15"/>
      <c r="R53" s="15"/>
    </row>
    <row x14ac:dyDescent="0.25" r="54" customHeight="1" ht="20.1">
      <c r="A54" s="9" t="s">
        <v>105</v>
      </c>
      <c r="B54" s="9" t="s">
        <v>51</v>
      </c>
      <c r="C54" s="10" t="s">
        <v>108</v>
      </c>
      <c r="D54" s="9" t="s">
        <v>21</v>
      </c>
      <c r="E54" s="9" t="s">
        <v>109</v>
      </c>
      <c r="F54" s="11" t="s">
        <v>13</v>
      </c>
      <c r="G54" s="12">
        <v>6729741</v>
      </c>
      <c r="H54" s="13"/>
      <c r="I54" s="14"/>
      <c r="J54" s="13"/>
      <c r="K54" s="15"/>
      <c r="L54" s="15"/>
      <c r="M54" s="12">
        <v>6729741</v>
      </c>
      <c r="N54" s="15"/>
      <c r="O54" s="15"/>
      <c r="P54" s="15"/>
      <c r="Q54" s="15"/>
      <c r="R54" s="15"/>
    </row>
    <row x14ac:dyDescent="0.25" r="55" customHeight="1" ht="20.1">
      <c r="A55" s="9" t="s">
        <v>105</v>
      </c>
      <c r="B55" s="9" t="s">
        <v>28</v>
      </c>
      <c r="C55" s="10">
        <v>849236</v>
      </c>
      <c r="D55" s="9" t="s">
        <v>23</v>
      </c>
      <c r="E55" s="9" t="s">
        <v>110</v>
      </c>
      <c r="F55" s="11" t="s">
        <v>13</v>
      </c>
      <c r="G55" s="12">
        <v>300000</v>
      </c>
      <c r="H55" s="13"/>
      <c r="I55" s="14"/>
      <c r="J55" s="13"/>
      <c r="K55" s="15"/>
      <c r="L55" s="15"/>
      <c r="M55" s="12">
        <v>300000</v>
      </c>
      <c r="N55" s="15"/>
      <c r="O55" s="15"/>
      <c r="P55" s="15"/>
      <c r="Q55" s="15"/>
      <c r="R55" s="15"/>
    </row>
    <row x14ac:dyDescent="0.25" r="56" customHeight="1" ht="20.1">
      <c r="A56" s="9" t="s">
        <v>111</v>
      </c>
      <c r="B56" s="9" t="s">
        <v>51</v>
      </c>
      <c r="C56" s="10" t="s">
        <v>112</v>
      </c>
      <c r="D56" s="9" t="s">
        <v>113</v>
      </c>
      <c r="E56" s="9" t="s">
        <v>114</v>
      </c>
      <c r="F56" s="11" t="s">
        <v>10</v>
      </c>
      <c r="G56" s="12">
        <v>246810</v>
      </c>
      <c r="H56" s="13"/>
      <c r="I56" s="14"/>
      <c r="J56" s="12">
        <v>246810</v>
      </c>
      <c r="K56" s="15"/>
      <c r="L56" s="15"/>
      <c r="M56" s="15"/>
      <c r="N56" s="15"/>
      <c r="O56" s="15"/>
      <c r="P56" s="15"/>
      <c r="Q56" s="15"/>
      <c r="R56" s="15"/>
    </row>
    <row x14ac:dyDescent="0.25" r="57" customHeight="1" ht="20.1">
      <c r="A57" s="9" t="s">
        <v>111</v>
      </c>
      <c r="B57" s="9" t="s">
        <v>25</v>
      </c>
      <c r="C57" s="10"/>
      <c r="D57" s="9" t="s">
        <v>26</v>
      </c>
      <c r="E57" s="9" t="s">
        <v>115</v>
      </c>
      <c r="F57" s="11" t="s">
        <v>10</v>
      </c>
      <c r="G57" s="12">
        <v>29540000</v>
      </c>
      <c r="H57" s="13"/>
      <c r="I57" s="14"/>
      <c r="J57" s="12">
        <v>29540000</v>
      </c>
      <c r="K57" s="15"/>
      <c r="L57" s="15"/>
      <c r="M57" s="15"/>
      <c r="N57" s="15"/>
      <c r="O57" s="15"/>
      <c r="P57" s="15"/>
      <c r="Q57" s="15"/>
      <c r="R57" s="15"/>
    </row>
    <row x14ac:dyDescent="0.25" r="58" customHeight="1" ht="20.1">
      <c r="A58" s="9" t="s">
        <v>111</v>
      </c>
      <c r="B58" s="9" t="s">
        <v>25</v>
      </c>
      <c r="C58" s="10"/>
      <c r="D58" s="9" t="s">
        <v>26</v>
      </c>
      <c r="E58" s="9" t="s">
        <v>116</v>
      </c>
      <c r="F58" s="11" t="s">
        <v>8</v>
      </c>
      <c r="G58" s="12">
        <v>15881000</v>
      </c>
      <c r="H58" s="12">
        <v>15881000</v>
      </c>
      <c r="I58" s="14"/>
      <c r="J58" s="13"/>
      <c r="K58" s="15"/>
      <c r="L58" s="15"/>
      <c r="M58" s="15"/>
      <c r="N58" s="15"/>
      <c r="O58" s="15"/>
      <c r="P58" s="15"/>
      <c r="Q58" s="15"/>
      <c r="R58" s="15"/>
    </row>
    <row x14ac:dyDescent="0.25" r="59" customHeight="1" ht="20.1">
      <c r="A59" s="9" t="s">
        <v>111</v>
      </c>
      <c r="B59" s="9" t="s">
        <v>51</v>
      </c>
      <c r="C59" s="10" t="s">
        <v>117</v>
      </c>
      <c r="D59" s="9" t="s">
        <v>26</v>
      </c>
      <c r="E59" s="9" t="s">
        <v>118</v>
      </c>
      <c r="F59" s="11" t="s">
        <v>8</v>
      </c>
      <c r="G59" s="12">
        <v>180000000</v>
      </c>
      <c r="H59" s="12">
        <v>180000000</v>
      </c>
      <c r="I59" s="14"/>
      <c r="J59" s="13"/>
      <c r="K59" s="15"/>
      <c r="L59" s="15"/>
      <c r="M59" s="15"/>
      <c r="N59" s="15"/>
      <c r="O59" s="15"/>
      <c r="P59" s="15"/>
      <c r="Q59" s="15"/>
      <c r="R59" s="15"/>
    </row>
    <row x14ac:dyDescent="0.25" r="60" customHeight="1" ht="20.1">
      <c r="A60" s="9" t="s">
        <v>111</v>
      </c>
      <c r="B60" s="9" t="s">
        <v>25</v>
      </c>
      <c r="C60" s="10"/>
      <c r="D60" s="9" t="s">
        <v>26</v>
      </c>
      <c r="E60" s="9" t="s">
        <v>119</v>
      </c>
      <c r="F60" s="11" t="s">
        <v>8</v>
      </c>
      <c r="G60" s="12">
        <v>2502000</v>
      </c>
      <c r="H60" s="12">
        <v>2502000</v>
      </c>
      <c r="I60" s="14"/>
      <c r="J60" s="13"/>
      <c r="K60" s="15"/>
      <c r="L60" s="15"/>
      <c r="M60" s="15"/>
      <c r="N60" s="15"/>
      <c r="O60" s="15"/>
      <c r="P60" s="15"/>
      <c r="Q60" s="15"/>
      <c r="R60" s="15"/>
    </row>
    <row x14ac:dyDescent="0.25" r="61" customHeight="1" ht="20.1">
      <c r="A61" s="9" t="s">
        <v>111</v>
      </c>
      <c r="B61" s="9" t="s">
        <v>28</v>
      </c>
      <c r="C61" s="10">
        <v>849269</v>
      </c>
      <c r="D61" s="9" t="s">
        <v>26</v>
      </c>
      <c r="E61" s="9" t="s">
        <v>120</v>
      </c>
      <c r="F61" s="11" t="s">
        <v>8</v>
      </c>
      <c r="G61" s="12">
        <v>27932500</v>
      </c>
      <c r="H61" s="12">
        <v>27932500</v>
      </c>
      <c r="I61" s="14"/>
      <c r="J61" s="13"/>
      <c r="K61" s="15"/>
      <c r="L61" s="15"/>
      <c r="M61" s="15"/>
      <c r="N61" s="15"/>
      <c r="O61" s="15"/>
      <c r="P61" s="15"/>
      <c r="Q61" s="15"/>
      <c r="R61" s="15"/>
    </row>
    <row x14ac:dyDescent="0.25" r="62" customHeight="1" ht="20.1">
      <c r="A62" s="9" t="s">
        <v>111</v>
      </c>
      <c r="B62" s="9" t="s">
        <v>20</v>
      </c>
      <c r="C62" s="10">
        <v>200134</v>
      </c>
      <c r="D62" s="9" t="s">
        <v>30</v>
      </c>
      <c r="E62" s="9" t="s">
        <v>121</v>
      </c>
      <c r="F62" s="11" t="s">
        <v>8</v>
      </c>
      <c r="G62" s="12">
        <v>2000000</v>
      </c>
      <c r="H62" s="12">
        <v>2000000</v>
      </c>
      <c r="I62" s="14"/>
      <c r="J62" s="13"/>
      <c r="K62" s="15"/>
      <c r="L62" s="15"/>
      <c r="M62" s="15"/>
      <c r="N62" s="15"/>
      <c r="O62" s="15"/>
      <c r="P62" s="15"/>
      <c r="Q62" s="15"/>
      <c r="R62" s="15"/>
    </row>
    <row x14ac:dyDescent="0.25" r="63" customHeight="1" ht="20.1">
      <c r="A63" s="9" t="s">
        <v>122</v>
      </c>
      <c r="B63" s="9" t="s">
        <v>42</v>
      </c>
      <c r="C63" s="10">
        <v>200002</v>
      </c>
      <c r="D63" s="21" t="s">
        <v>123</v>
      </c>
      <c r="E63" s="21" t="s">
        <v>124</v>
      </c>
      <c r="F63" s="11" t="s">
        <v>15</v>
      </c>
      <c r="G63" s="12">
        <v>2860000</v>
      </c>
      <c r="H63" s="13"/>
      <c r="I63" s="14"/>
      <c r="J63" s="13"/>
      <c r="K63" s="15"/>
      <c r="L63" s="15"/>
      <c r="M63" s="15"/>
      <c r="N63" s="15"/>
      <c r="O63" s="12">
        <v>2860000</v>
      </c>
      <c r="P63" s="15"/>
      <c r="Q63" s="15"/>
      <c r="R63" s="15"/>
    </row>
    <row x14ac:dyDescent="0.25" r="64" customHeight="1" ht="20.1">
      <c r="A64" s="9" t="s">
        <v>122</v>
      </c>
      <c r="B64" s="9" t="s">
        <v>20</v>
      </c>
      <c r="C64" s="10">
        <v>200128</v>
      </c>
      <c r="D64" s="21" t="s">
        <v>125</v>
      </c>
      <c r="E64" s="21" t="s">
        <v>126</v>
      </c>
      <c r="F64" s="11" t="s">
        <v>8</v>
      </c>
      <c r="G64" s="12">
        <v>2131200</v>
      </c>
      <c r="H64" s="12">
        <v>2131200</v>
      </c>
      <c r="I64" s="14"/>
      <c r="J64" s="13"/>
      <c r="K64" s="15"/>
      <c r="L64" s="15"/>
      <c r="M64" s="15"/>
      <c r="N64" s="15"/>
      <c r="O64" s="15"/>
      <c r="P64" s="15"/>
      <c r="Q64" s="15"/>
      <c r="R64" s="15"/>
    </row>
    <row x14ac:dyDescent="0.25" r="65" customHeight="1" ht="20.1">
      <c r="A65" s="9" t="s">
        <v>122</v>
      </c>
      <c r="B65" s="9" t="s">
        <v>25</v>
      </c>
      <c r="C65" s="10"/>
      <c r="D65" s="9" t="s">
        <v>26</v>
      </c>
      <c r="E65" s="9" t="s">
        <v>127</v>
      </c>
      <c r="F65" s="11" t="s">
        <v>8</v>
      </c>
      <c r="G65" s="12">
        <v>25678000</v>
      </c>
      <c r="H65" s="12">
        <v>25678000</v>
      </c>
      <c r="I65" s="14"/>
      <c r="J65" s="13"/>
      <c r="K65" s="15"/>
      <c r="L65" s="15"/>
      <c r="M65" s="15"/>
      <c r="N65" s="15"/>
      <c r="O65" s="15"/>
      <c r="P65" s="15"/>
      <c r="Q65" s="15"/>
      <c r="R65" s="15"/>
    </row>
    <row x14ac:dyDescent="0.25" r="66" customHeight="1" ht="20.1">
      <c r="A66" s="9" t="s">
        <v>128</v>
      </c>
      <c r="B66" s="9" t="s">
        <v>28</v>
      </c>
      <c r="C66" s="10">
        <v>849238</v>
      </c>
      <c r="D66" s="9" t="s">
        <v>113</v>
      </c>
      <c r="E66" s="9" t="s">
        <v>129</v>
      </c>
      <c r="F66" s="11" t="s">
        <v>10</v>
      </c>
      <c r="G66" s="12">
        <v>8000000</v>
      </c>
      <c r="H66" s="13"/>
      <c r="I66" s="14"/>
      <c r="J66" s="12">
        <v>8000000</v>
      </c>
      <c r="K66" s="15"/>
      <c r="L66" s="15"/>
      <c r="M66" s="15"/>
      <c r="N66" s="15"/>
      <c r="O66" s="15"/>
      <c r="P66" s="15"/>
      <c r="Q66" s="15"/>
      <c r="R66" s="15"/>
    </row>
    <row x14ac:dyDescent="0.25" r="67" customHeight="1" ht="20.1">
      <c r="A67" s="9" t="s">
        <v>128</v>
      </c>
      <c r="B67" s="9" t="s">
        <v>25</v>
      </c>
      <c r="C67" s="10"/>
      <c r="D67" s="9" t="s">
        <v>26</v>
      </c>
      <c r="E67" s="9" t="s">
        <v>130</v>
      </c>
      <c r="F67" s="11" t="s">
        <v>8</v>
      </c>
      <c r="G67" s="12">
        <v>10100000</v>
      </c>
      <c r="H67" s="12">
        <v>10100000</v>
      </c>
      <c r="I67" s="14"/>
      <c r="J67" s="13"/>
      <c r="K67" s="15"/>
      <c r="L67" s="15"/>
      <c r="M67" s="15"/>
      <c r="N67" s="15"/>
      <c r="O67" s="15"/>
      <c r="P67" s="15"/>
      <c r="Q67" s="15"/>
      <c r="R67" s="15"/>
    </row>
    <row x14ac:dyDescent="0.25" r="68" customHeight="1" ht="20.1">
      <c r="A68" s="9" t="s">
        <v>128</v>
      </c>
      <c r="B68" s="9" t="s">
        <v>20</v>
      </c>
      <c r="C68" s="10">
        <v>200135</v>
      </c>
      <c r="D68" s="9" t="s">
        <v>73</v>
      </c>
      <c r="E68" s="9" t="s">
        <v>131</v>
      </c>
      <c r="F68" s="11" t="s">
        <v>10</v>
      </c>
      <c r="G68" s="12">
        <v>9988575</v>
      </c>
      <c r="H68" s="13"/>
      <c r="I68" s="14"/>
      <c r="J68" s="12">
        <v>9988575</v>
      </c>
      <c r="K68" s="15"/>
      <c r="L68" s="15"/>
      <c r="M68" s="15"/>
      <c r="N68" s="15"/>
      <c r="O68" s="15"/>
      <c r="P68" s="15"/>
      <c r="Q68" s="15"/>
      <c r="R68" s="15"/>
    </row>
    <row x14ac:dyDescent="0.25" r="69" customHeight="1" ht="20.1">
      <c r="A69" s="9" t="s">
        <v>128</v>
      </c>
      <c r="B69" s="9" t="s">
        <v>20</v>
      </c>
      <c r="C69" s="10">
        <v>200135</v>
      </c>
      <c r="D69" s="9" t="s">
        <v>75</v>
      </c>
      <c r="E69" s="9" t="s">
        <v>132</v>
      </c>
      <c r="F69" s="11" t="s">
        <v>8</v>
      </c>
      <c r="G69" s="12">
        <v>16918170</v>
      </c>
      <c r="H69" s="12">
        <v>16918170</v>
      </c>
      <c r="I69" s="14"/>
      <c r="J69" s="14"/>
      <c r="K69" s="15"/>
      <c r="L69" s="15"/>
      <c r="M69" s="15"/>
      <c r="N69" s="15"/>
      <c r="O69" s="15"/>
      <c r="P69" s="15"/>
      <c r="Q69" s="15"/>
      <c r="R69" s="15"/>
    </row>
    <row x14ac:dyDescent="0.25" r="70" customHeight="1" ht="20.1">
      <c r="A70" s="9" t="s">
        <v>128</v>
      </c>
      <c r="B70" s="9" t="s">
        <v>51</v>
      </c>
      <c r="C70" s="10" t="s">
        <v>133</v>
      </c>
      <c r="D70" s="9" t="s">
        <v>26</v>
      </c>
      <c r="E70" s="9" t="s">
        <v>118</v>
      </c>
      <c r="F70" s="11" t="s">
        <v>8</v>
      </c>
      <c r="G70" s="12">
        <v>67060000</v>
      </c>
      <c r="H70" s="12">
        <v>67060000</v>
      </c>
      <c r="I70" s="14"/>
      <c r="J70" s="14"/>
      <c r="K70" s="15"/>
      <c r="L70" s="15"/>
      <c r="M70" s="15"/>
      <c r="N70" s="15"/>
      <c r="O70" s="15"/>
      <c r="P70" s="15"/>
      <c r="Q70" s="15"/>
      <c r="R70" s="15"/>
    </row>
    <row x14ac:dyDescent="0.25" r="71" customHeight="1" ht="20.1">
      <c r="A71" s="9" t="s">
        <v>128</v>
      </c>
      <c r="B71" s="9" t="s">
        <v>134</v>
      </c>
      <c r="C71" s="10">
        <v>505973</v>
      </c>
      <c r="D71" s="9" t="s">
        <v>26</v>
      </c>
      <c r="E71" s="9" t="s">
        <v>135</v>
      </c>
      <c r="F71" s="11" t="s">
        <v>8</v>
      </c>
      <c r="G71" s="12">
        <v>30000000</v>
      </c>
      <c r="H71" s="12">
        <v>30000000</v>
      </c>
      <c r="I71" s="14"/>
      <c r="J71" s="14"/>
      <c r="K71" s="15"/>
      <c r="L71" s="15"/>
      <c r="M71" s="15"/>
      <c r="N71" s="15"/>
      <c r="O71" s="15"/>
      <c r="P71" s="15"/>
      <c r="Q71" s="15"/>
      <c r="R71" s="15"/>
    </row>
    <row x14ac:dyDescent="0.25" r="72" customHeight="1" ht="20.1">
      <c r="A72" s="9" t="s">
        <v>128</v>
      </c>
      <c r="B72" s="9" t="s">
        <v>25</v>
      </c>
      <c r="C72" s="10"/>
      <c r="D72" s="9" t="s">
        <v>26</v>
      </c>
      <c r="E72" s="9" t="s">
        <v>136</v>
      </c>
      <c r="F72" s="11" t="s">
        <v>8</v>
      </c>
      <c r="G72" s="12">
        <v>9779000</v>
      </c>
      <c r="H72" s="12">
        <v>9779000</v>
      </c>
      <c r="I72" s="14"/>
      <c r="J72" s="14"/>
      <c r="K72" s="15"/>
      <c r="L72" s="15"/>
      <c r="M72" s="15"/>
      <c r="N72" s="15"/>
      <c r="O72" s="15"/>
      <c r="P72" s="15"/>
      <c r="Q72" s="15"/>
      <c r="R72" s="15"/>
    </row>
    <row x14ac:dyDescent="0.25" r="73" customHeight="1" ht="20.1">
      <c r="A73" s="9" t="s">
        <v>128</v>
      </c>
      <c r="B73" s="9" t="s">
        <v>51</v>
      </c>
      <c r="C73" s="10" t="s">
        <v>137</v>
      </c>
      <c r="D73" s="9" t="s">
        <v>21</v>
      </c>
      <c r="E73" s="9" t="s">
        <v>138</v>
      </c>
      <c r="F73" s="11" t="s">
        <v>13</v>
      </c>
      <c r="G73" s="12">
        <v>8861768</v>
      </c>
      <c r="H73" s="13"/>
      <c r="I73" s="14"/>
      <c r="J73" s="14"/>
      <c r="K73" s="15"/>
      <c r="L73" s="15"/>
      <c r="M73" s="12">
        <v>8861768</v>
      </c>
      <c r="N73" s="15"/>
      <c r="O73" s="15"/>
      <c r="P73" s="15"/>
      <c r="Q73" s="15"/>
      <c r="R73" s="15"/>
    </row>
    <row x14ac:dyDescent="0.25" r="74" customHeight="1" ht="20.1">
      <c r="A74" s="9" t="s">
        <v>128</v>
      </c>
      <c r="B74" s="9" t="s">
        <v>51</v>
      </c>
      <c r="C74" s="10">
        <v>849237</v>
      </c>
      <c r="D74" s="9" t="s">
        <v>23</v>
      </c>
      <c r="E74" s="9" t="s">
        <v>139</v>
      </c>
      <c r="F74" s="11" t="s">
        <v>13</v>
      </c>
      <c r="G74" s="12">
        <v>100000</v>
      </c>
      <c r="H74" s="13"/>
      <c r="I74" s="14"/>
      <c r="J74" s="14"/>
      <c r="K74" s="15"/>
      <c r="L74" s="15"/>
      <c r="M74" s="12">
        <v>100000</v>
      </c>
      <c r="N74" s="15"/>
      <c r="O74" s="15"/>
      <c r="P74" s="15"/>
      <c r="Q74" s="15"/>
      <c r="R74" s="15"/>
    </row>
    <row x14ac:dyDescent="0.25" r="75" customHeight="1" ht="20.1">
      <c r="A75" s="9" t="s">
        <v>128</v>
      </c>
      <c r="B75" s="9" t="s">
        <v>51</v>
      </c>
      <c r="C75" s="10" t="s">
        <v>140</v>
      </c>
      <c r="D75" s="23" t="s">
        <v>141</v>
      </c>
      <c r="E75" s="9" t="s">
        <v>142</v>
      </c>
      <c r="F75" s="11" t="s">
        <v>13</v>
      </c>
      <c r="G75" s="12">
        <v>222090</v>
      </c>
      <c r="H75" s="13"/>
      <c r="I75" s="14"/>
      <c r="J75" s="14"/>
      <c r="K75" s="15"/>
      <c r="L75" s="15"/>
      <c r="M75" s="12">
        <v>222090</v>
      </c>
      <c r="N75" s="15"/>
      <c r="O75" s="15"/>
      <c r="P75" s="15"/>
      <c r="Q75" s="15"/>
      <c r="R75" s="15"/>
    </row>
    <row x14ac:dyDescent="0.25" r="76" customHeight="1" ht="20.1">
      <c r="A76" s="9" t="s">
        <v>128</v>
      </c>
      <c r="B76" s="9" t="s">
        <v>25</v>
      </c>
      <c r="C76" s="10"/>
      <c r="D76" s="9" t="s">
        <v>30</v>
      </c>
      <c r="E76" s="9" t="s">
        <v>45</v>
      </c>
      <c r="F76" s="11" t="s">
        <v>9</v>
      </c>
      <c r="G76" s="12">
        <v>30000000</v>
      </c>
      <c r="H76" s="13"/>
      <c r="I76" s="12">
        <v>30000000</v>
      </c>
      <c r="J76" s="14"/>
      <c r="K76" s="15"/>
      <c r="L76" s="15"/>
      <c r="M76" s="15"/>
      <c r="N76" s="15"/>
      <c r="O76" s="15"/>
      <c r="P76" s="15"/>
      <c r="Q76" s="15"/>
      <c r="R76" s="15"/>
    </row>
    <row x14ac:dyDescent="0.25" r="77" customHeight="1" ht="20.1">
      <c r="A77" s="9" t="s">
        <v>128</v>
      </c>
      <c r="B77" s="9" t="s">
        <v>25</v>
      </c>
      <c r="C77" s="10"/>
      <c r="D77" s="9" t="s">
        <v>30</v>
      </c>
      <c r="E77" s="9" t="s">
        <v>143</v>
      </c>
      <c r="F77" s="11" t="s">
        <v>9</v>
      </c>
      <c r="G77" s="12">
        <v>60000000</v>
      </c>
      <c r="H77" s="13"/>
      <c r="I77" s="12">
        <v>60000000</v>
      </c>
      <c r="J77" s="14"/>
      <c r="K77" s="15"/>
      <c r="L77" s="15"/>
      <c r="M77" s="15"/>
      <c r="N77" s="15"/>
      <c r="O77" s="15"/>
      <c r="P77" s="15"/>
      <c r="Q77" s="15"/>
      <c r="R77" s="15"/>
    </row>
    <row x14ac:dyDescent="0.25" r="78" customHeight="1" ht="20.1">
      <c r="A78" s="9" t="s">
        <v>128</v>
      </c>
      <c r="B78" s="9" t="s">
        <v>25</v>
      </c>
      <c r="C78" s="10"/>
      <c r="D78" s="9" t="s">
        <v>30</v>
      </c>
      <c r="E78" s="9" t="s">
        <v>45</v>
      </c>
      <c r="F78" s="11" t="s">
        <v>12</v>
      </c>
      <c r="G78" s="12">
        <v>10000000</v>
      </c>
      <c r="H78" s="13"/>
      <c r="I78" s="14"/>
      <c r="J78" s="14"/>
      <c r="K78" s="15"/>
      <c r="L78" s="12">
        <v>10000000</v>
      </c>
      <c r="M78" s="15"/>
      <c r="N78" s="15"/>
      <c r="O78" s="15"/>
      <c r="P78" s="15"/>
      <c r="Q78" s="15"/>
      <c r="R78" s="15"/>
    </row>
    <row x14ac:dyDescent="0.25" r="79" customHeight="1" ht="20.1">
      <c r="A79" s="9" t="s">
        <v>144</v>
      </c>
      <c r="B79" s="9" t="s">
        <v>25</v>
      </c>
      <c r="C79" s="10"/>
      <c r="D79" s="9" t="s">
        <v>26</v>
      </c>
      <c r="E79" s="9" t="s">
        <v>145</v>
      </c>
      <c r="F79" s="11" t="s">
        <v>8</v>
      </c>
      <c r="G79" s="12">
        <v>4983000</v>
      </c>
      <c r="H79" s="12">
        <v>4983000</v>
      </c>
      <c r="I79" s="14"/>
      <c r="J79" s="14"/>
      <c r="K79" s="15"/>
      <c r="L79" s="15"/>
      <c r="M79" s="15"/>
      <c r="N79" s="15"/>
      <c r="O79" s="15"/>
      <c r="P79" s="15"/>
      <c r="Q79" s="15"/>
      <c r="R79" s="15"/>
    </row>
    <row x14ac:dyDescent="0.25" r="80" customHeight="1" ht="20.1">
      <c r="A80" s="9" t="s">
        <v>144</v>
      </c>
      <c r="B80" s="9" t="s">
        <v>25</v>
      </c>
      <c r="C80" s="10"/>
      <c r="D80" s="9" t="s">
        <v>26</v>
      </c>
      <c r="E80" s="9" t="s">
        <v>146</v>
      </c>
      <c r="F80" s="11" t="s">
        <v>8</v>
      </c>
      <c r="G80" s="12">
        <v>22517000</v>
      </c>
      <c r="H80" s="12">
        <v>22517000</v>
      </c>
      <c r="I80" s="14"/>
      <c r="J80" s="14"/>
      <c r="K80" s="15"/>
      <c r="L80" s="15"/>
      <c r="M80" s="15"/>
      <c r="N80" s="15"/>
      <c r="O80" s="15"/>
      <c r="P80" s="15"/>
      <c r="Q80" s="15"/>
      <c r="R80" s="15"/>
    </row>
    <row x14ac:dyDescent="0.25" r="81" customHeight="1" ht="20.1">
      <c r="A81" s="9" t="s">
        <v>144</v>
      </c>
      <c r="B81" s="9" t="s">
        <v>40</v>
      </c>
      <c r="C81" s="10">
        <v>505974</v>
      </c>
      <c r="D81" s="9" t="s">
        <v>26</v>
      </c>
      <c r="E81" s="9" t="s">
        <v>147</v>
      </c>
      <c r="F81" s="11" t="s">
        <v>8</v>
      </c>
      <c r="G81" s="12">
        <v>15000000</v>
      </c>
      <c r="H81" s="12">
        <v>15000000</v>
      </c>
      <c r="I81" s="14"/>
      <c r="J81" s="14"/>
      <c r="K81" s="15"/>
      <c r="L81" s="15"/>
      <c r="M81" s="15"/>
      <c r="N81" s="15"/>
      <c r="O81" s="15"/>
      <c r="P81" s="15"/>
      <c r="Q81" s="15"/>
      <c r="R81" s="15"/>
    </row>
    <row x14ac:dyDescent="0.25" r="82" customHeight="1" ht="20.1">
      <c r="A82" s="9" t="s">
        <v>144</v>
      </c>
      <c r="B82" s="9" t="s">
        <v>20</v>
      </c>
      <c r="C82" s="10">
        <v>200136</v>
      </c>
      <c r="D82" s="9" t="s">
        <v>86</v>
      </c>
      <c r="E82" s="9" t="s">
        <v>148</v>
      </c>
      <c r="F82" s="11" t="s">
        <v>8</v>
      </c>
      <c r="G82" s="12">
        <v>2688975</v>
      </c>
      <c r="H82" s="12">
        <v>2688975</v>
      </c>
      <c r="I82" s="14"/>
      <c r="J82" s="14"/>
      <c r="K82" s="15"/>
      <c r="L82" s="15"/>
      <c r="M82" s="15"/>
      <c r="N82" s="15"/>
      <c r="O82" s="15"/>
      <c r="P82" s="15"/>
      <c r="Q82" s="15"/>
      <c r="R82" s="15"/>
    </row>
    <row x14ac:dyDescent="0.25" r="83" customHeight="1" ht="20.1">
      <c r="A83" s="9" t="s">
        <v>144</v>
      </c>
      <c r="B83" s="9" t="s">
        <v>91</v>
      </c>
      <c r="C83" s="10" t="s">
        <v>149</v>
      </c>
      <c r="D83" s="9" t="s">
        <v>38</v>
      </c>
      <c r="E83" s="9" t="s">
        <v>150</v>
      </c>
      <c r="F83" s="11" t="s">
        <v>12</v>
      </c>
      <c r="G83" s="12">
        <v>1452000</v>
      </c>
      <c r="H83" s="13"/>
      <c r="I83" s="14"/>
      <c r="J83" s="14"/>
      <c r="K83" s="15"/>
      <c r="L83" s="12">
        <v>1452000</v>
      </c>
      <c r="M83" s="15"/>
      <c r="N83" s="15"/>
      <c r="O83" s="15"/>
      <c r="P83" s="15"/>
      <c r="Q83" s="15"/>
      <c r="R83" s="15"/>
    </row>
    <row x14ac:dyDescent="0.25" r="84" customHeight="1" ht="20.1">
      <c r="A84" s="9" t="s">
        <v>144</v>
      </c>
      <c r="B84" s="9" t="s">
        <v>151</v>
      </c>
      <c r="C84" s="10" t="s">
        <v>152</v>
      </c>
      <c r="D84" s="9" t="s">
        <v>153</v>
      </c>
      <c r="E84" s="9" t="s">
        <v>154</v>
      </c>
      <c r="F84" s="11" t="s">
        <v>9</v>
      </c>
      <c r="G84" s="12">
        <v>500000</v>
      </c>
      <c r="H84" s="13"/>
      <c r="I84" s="12">
        <v>500000</v>
      </c>
      <c r="J84" s="14"/>
      <c r="K84" s="15"/>
      <c r="L84" s="15"/>
      <c r="M84" s="15"/>
      <c r="N84" s="15"/>
      <c r="O84" s="15"/>
      <c r="P84" s="15"/>
      <c r="Q84" s="15"/>
      <c r="R84" s="15"/>
    </row>
    <row x14ac:dyDescent="0.25" r="85" customHeight="1" ht="20.1">
      <c r="A85" s="9" t="s">
        <v>144</v>
      </c>
      <c r="B85" s="9" t="s">
        <v>151</v>
      </c>
      <c r="C85" s="10" t="s">
        <v>155</v>
      </c>
      <c r="D85" s="9" t="s">
        <v>156</v>
      </c>
      <c r="E85" s="9" t="s">
        <v>157</v>
      </c>
      <c r="F85" s="11" t="s">
        <v>9</v>
      </c>
      <c r="G85" s="12">
        <v>300000</v>
      </c>
      <c r="H85" s="13"/>
      <c r="I85" s="12">
        <v>300000</v>
      </c>
      <c r="J85" s="14"/>
      <c r="K85" s="15"/>
      <c r="L85" s="15"/>
      <c r="M85" s="15"/>
      <c r="N85" s="15"/>
      <c r="O85" s="15"/>
      <c r="P85" s="15"/>
      <c r="Q85" s="15"/>
      <c r="R85" s="15"/>
    </row>
    <row x14ac:dyDescent="0.25" r="86" customHeight="1" ht="20.1">
      <c r="A86" s="9" t="s">
        <v>144</v>
      </c>
      <c r="B86" s="9" t="s">
        <v>25</v>
      </c>
      <c r="C86" s="10"/>
      <c r="D86" s="9" t="s">
        <v>30</v>
      </c>
      <c r="E86" s="9" t="s">
        <v>45</v>
      </c>
      <c r="F86" s="11" t="s">
        <v>9</v>
      </c>
      <c r="G86" s="12">
        <v>90000000</v>
      </c>
      <c r="H86" s="13"/>
      <c r="I86" s="12">
        <v>90000000</v>
      </c>
      <c r="J86" s="14"/>
      <c r="K86" s="15"/>
      <c r="L86" s="15"/>
      <c r="M86" s="15"/>
      <c r="N86" s="15"/>
      <c r="O86" s="15"/>
      <c r="P86" s="15"/>
      <c r="Q86" s="15"/>
      <c r="R86" s="15"/>
    </row>
    <row x14ac:dyDescent="0.25" r="87" customHeight="1" ht="20.1">
      <c r="A87" s="9" t="s">
        <v>158</v>
      </c>
      <c r="B87" s="9" t="s">
        <v>20</v>
      </c>
      <c r="C87" s="10">
        <v>200137</v>
      </c>
      <c r="D87" s="9" t="s">
        <v>23</v>
      </c>
      <c r="E87" s="9" t="s">
        <v>159</v>
      </c>
      <c r="F87" s="11" t="s">
        <v>9</v>
      </c>
      <c r="G87" s="12">
        <v>80000</v>
      </c>
      <c r="H87" s="13"/>
      <c r="I87" s="12">
        <v>80000</v>
      </c>
      <c r="J87" s="14"/>
      <c r="K87" s="15"/>
      <c r="L87" s="15"/>
      <c r="M87" s="15"/>
      <c r="N87" s="15"/>
      <c r="O87" s="15"/>
      <c r="P87" s="15"/>
      <c r="Q87" s="15"/>
      <c r="R87" s="15"/>
    </row>
    <row x14ac:dyDescent="0.25" r="88" customHeight="1" ht="20.1">
      <c r="A88" s="9" t="s">
        <v>158</v>
      </c>
      <c r="B88" s="9" t="s">
        <v>25</v>
      </c>
      <c r="C88" s="10"/>
      <c r="D88" s="9" t="s">
        <v>26</v>
      </c>
      <c r="E88" s="9" t="s">
        <v>160</v>
      </c>
      <c r="F88" s="11" t="s">
        <v>8</v>
      </c>
      <c r="G88" s="12">
        <v>10060000</v>
      </c>
      <c r="H88" s="12">
        <v>10060000</v>
      </c>
      <c r="I88" s="14"/>
      <c r="J88" s="14"/>
      <c r="K88" s="15"/>
      <c r="L88" s="15"/>
      <c r="M88" s="15"/>
      <c r="N88" s="15"/>
      <c r="O88" s="15"/>
      <c r="P88" s="15"/>
      <c r="Q88" s="15"/>
      <c r="R88" s="15"/>
    </row>
    <row x14ac:dyDescent="0.25" r="89" customHeight="1" ht="20.1">
      <c r="A89" s="9" t="s">
        <v>158</v>
      </c>
      <c r="B89" s="9" t="s">
        <v>28</v>
      </c>
      <c r="C89" s="10" t="s">
        <v>161</v>
      </c>
      <c r="D89" s="9" t="s">
        <v>21</v>
      </c>
      <c r="E89" s="9" t="s">
        <v>162</v>
      </c>
      <c r="F89" s="11" t="s">
        <v>12</v>
      </c>
      <c r="G89" s="12">
        <v>8722459</v>
      </c>
      <c r="H89" s="13"/>
      <c r="I89" s="14"/>
      <c r="J89" s="14"/>
      <c r="K89" s="15"/>
      <c r="L89" s="12">
        <v>8722459</v>
      </c>
      <c r="M89" s="15"/>
      <c r="N89" s="15"/>
      <c r="O89" s="15"/>
      <c r="P89" s="15"/>
      <c r="Q89" s="15"/>
      <c r="R89" s="15"/>
    </row>
    <row x14ac:dyDescent="0.25" r="90" customHeight="1" ht="20.1">
      <c r="A90" s="9" t="s">
        <v>158</v>
      </c>
      <c r="B90" s="9" t="s">
        <v>28</v>
      </c>
      <c r="C90" s="10">
        <v>849270</v>
      </c>
      <c r="D90" s="9" t="s">
        <v>23</v>
      </c>
      <c r="E90" s="9" t="s">
        <v>163</v>
      </c>
      <c r="F90" s="11" t="s">
        <v>12</v>
      </c>
      <c r="G90" s="12">
        <v>200000</v>
      </c>
      <c r="H90" s="13"/>
      <c r="I90" s="14"/>
      <c r="J90" s="14"/>
      <c r="K90" s="15"/>
      <c r="L90" s="12">
        <v>200000</v>
      </c>
      <c r="M90" s="15"/>
      <c r="N90" s="15"/>
      <c r="O90" s="15"/>
      <c r="P90" s="15"/>
      <c r="Q90" s="15"/>
      <c r="R90" s="15"/>
    </row>
    <row x14ac:dyDescent="0.25" r="91" customHeight="1" ht="20.1">
      <c r="A91" s="9" t="s">
        <v>158</v>
      </c>
      <c r="B91" s="9" t="s">
        <v>51</v>
      </c>
      <c r="C91" s="10" t="s">
        <v>164</v>
      </c>
      <c r="D91" s="9" t="s">
        <v>43</v>
      </c>
      <c r="E91" s="9" t="s">
        <v>165</v>
      </c>
      <c r="F91" s="11" t="s">
        <v>17</v>
      </c>
      <c r="G91" s="12">
        <v>1233900</v>
      </c>
      <c r="H91" s="13"/>
      <c r="I91" s="14"/>
      <c r="J91" s="14"/>
      <c r="K91" s="15"/>
      <c r="L91" s="15"/>
      <c r="M91" s="15"/>
      <c r="N91" s="15"/>
      <c r="O91" s="15"/>
      <c r="P91" s="15"/>
      <c r="Q91" s="12">
        <v>1233900</v>
      </c>
      <c r="R91" s="15"/>
    </row>
    <row x14ac:dyDescent="0.25" r="92" customHeight="1" ht="20.1">
      <c r="A92" s="9" t="s">
        <v>158</v>
      </c>
      <c r="B92" s="9" t="s">
        <v>20</v>
      </c>
      <c r="C92" s="10">
        <v>200138</v>
      </c>
      <c r="D92" s="9" t="s">
        <v>75</v>
      </c>
      <c r="E92" s="9" t="s">
        <v>166</v>
      </c>
      <c r="F92" s="11" t="s">
        <v>8</v>
      </c>
      <c r="G92" s="12">
        <v>9459000</v>
      </c>
      <c r="H92" s="12">
        <v>9459000</v>
      </c>
      <c r="I92" s="14"/>
      <c r="J92" s="14"/>
      <c r="K92" s="15"/>
      <c r="L92" s="15"/>
      <c r="M92" s="15"/>
      <c r="N92" s="15"/>
      <c r="O92" s="15"/>
      <c r="P92" s="15"/>
      <c r="Q92" s="15"/>
      <c r="R92" s="15"/>
    </row>
    <row x14ac:dyDescent="0.25" r="93" customHeight="1" ht="20.1">
      <c r="A93" s="9" t="s">
        <v>158</v>
      </c>
      <c r="B93" s="9" t="s">
        <v>25</v>
      </c>
      <c r="C93" s="10"/>
      <c r="D93" s="9" t="s">
        <v>30</v>
      </c>
      <c r="E93" s="9" t="s">
        <v>167</v>
      </c>
      <c r="F93" s="11" t="s">
        <v>8</v>
      </c>
      <c r="G93" s="12">
        <v>66612480</v>
      </c>
      <c r="H93" s="12">
        <v>66612480</v>
      </c>
      <c r="I93" s="14"/>
      <c r="J93" s="14"/>
      <c r="K93" s="15"/>
      <c r="L93" s="15"/>
      <c r="M93" s="15"/>
      <c r="N93" s="15"/>
      <c r="O93" s="15"/>
      <c r="P93" s="15"/>
      <c r="Q93" s="15"/>
      <c r="R93" s="15"/>
    </row>
    <row x14ac:dyDescent="0.25" r="94" customHeight="1" ht="20.1">
      <c r="A94" s="9" t="s">
        <v>168</v>
      </c>
      <c r="B94" s="9" t="s">
        <v>40</v>
      </c>
      <c r="C94" s="10">
        <v>505975</v>
      </c>
      <c r="D94" s="9" t="s">
        <v>63</v>
      </c>
      <c r="E94" s="9" t="s">
        <v>169</v>
      </c>
      <c r="F94" s="11" t="s">
        <v>8</v>
      </c>
      <c r="G94" s="12">
        <v>12783960</v>
      </c>
      <c r="H94" s="12">
        <v>12783960</v>
      </c>
      <c r="I94" s="14"/>
      <c r="J94" s="14"/>
      <c r="K94" s="15"/>
      <c r="L94" s="15"/>
      <c r="M94" s="15"/>
      <c r="N94" s="15"/>
      <c r="O94" s="15"/>
      <c r="P94" s="15"/>
      <c r="Q94" s="15"/>
      <c r="R94" s="15"/>
    </row>
    <row x14ac:dyDescent="0.25" r="95" customHeight="1" ht="20.1">
      <c r="A95" s="9" t="s">
        <v>168</v>
      </c>
      <c r="B95" s="9" t="s">
        <v>25</v>
      </c>
      <c r="C95" s="10"/>
      <c r="D95" s="9" t="s">
        <v>26</v>
      </c>
      <c r="E95" s="9" t="s">
        <v>170</v>
      </c>
      <c r="F95" s="11" t="s">
        <v>8</v>
      </c>
      <c r="G95" s="12">
        <v>2959500</v>
      </c>
      <c r="H95" s="12">
        <v>2959500</v>
      </c>
      <c r="I95" s="14"/>
      <c r="J95" s="14"/>
      <c r="K95" s="15"/>
      <c r="L95" s="15"/>
      <c r="M95" s="15"/>
      <c r="N95" s="15"/>
      <c r="O95" s="15"/>
      <c r="P95" s="15"/>
      <c r="Q95" s="15"/>
      <c r="R95" s="15"/>
    </row>
    <row x14ac:dyDescent="0.25" r="96" customHeight="1" ht="20.1">
      <c r="A96" s="9" t="s">
        <v>168</v>
      </c>
      <c r="B96" s="9" t="s">
        <v>25</v>
      </c>
      <c r="C96" s="10"/>
      <c r="D96" s="9" t="s">
        <v>26</v>
      </c>
      <c r="E96" s="9" t="s">
        <v>171</v>
      </c>
      <c r="F96" s="11" t="s">
        <v>8</v>
      </c>
      <c r="G96" s="12">
        <v>809250</v>
      </c>
      <c r="H96" s="12">
        <v>809250</v>
      </c>
      <c r="I96" s="14"/>
      <c r="J96" s="14"/>
      <c r="K96" s="15"/>
      <c r="L96" s="15"/>
      <c r="M96" s="15"/>
      <c r="N96" s="15"/>
      <c r="O96" s="15"/>
      <c r="P96" s="15"/>
      <c r="Q96" s="15"/>
      <c r="R96" s="15"/>
    </row>
    <row x14ac:dyDescent="0.25" r="97" customHeight="1" ht="20.1">
      <c r="A97" s="9" t="s">
        <v>168</v>
      </c>
      <c r="B97" s="9" t="s">
        <v>51</v>
      </c>
      <c r="C97" s="10" t="s">
        <v>172</v>
      </c>
      <c r="D97" s="9" t="s">
        <v>21</v>
      </c>
      <c r="E97" s="9" t="s">
        <v>173</v>
      </c>
      <c r="F97" s="11" t="s">
        <v>9</v>
      </c>
      <c r="G97" s="12">
        <v>5259406</v>
      </c>
      <c r="H97" s="13"/>
      <c r="I97" s="12">
        <v>5259406</v>
      </c>
      <c r="J97" s="14"/>
      <c r="K97" s="15"/>
      <c r="L97" s="15"/>
      <c r="M97" s="15"/>
      <c r="N97" s="15"/>
      <c r="O97" s="15"/>
      <c r="P97" s="15"/>
      <c r="Q97" s="15"/>
      <c r="R97" s="15"/>
    </row>
    <row x14ac:dyDescent="0.25" r="98" customHeight="1" ht="20.1">
      <c r="A98" s="9" t="s">
        <v>168</v>
      </c>
      <c r="B98" s="9" t="s">
        <v>28</v>
      </c>
      <c r="C98" s="10">
        <v>849272</v>
      </c>
      <c r="D98" s="9" t="s">
        <v>23</v>
      </c>
      <c r="E98" s="9" t="s">
        <v>174</v>
      </c>
      <c r="F98" s="11" t="s">
        <v>9</v>
      </c>
      <c r="G98" s="12">
        <v>100000</v>
      </c>
      <c r="H98" s="13"/>
      <c r="I98" s="12">
        <v>100000</v>
      </c>
      <c r="J98" s="14"/>
      <c r="K98" s="15"/>
      <c r="L98" s="15"/>
      <c r="M98" s="15"/>
      <c r="N98" s="15"/>
      <c r="O98" s="15"/>
      <c r="P98" s="15"/>
      <c r="Q98" s="15"/>
      <c r="R98" s="15"/>
    </row>
    <row x14ac:dyDescent="0.25" r="99" customHeight="1" ht="20.1">
      <c r="A99" s="9" t="s">
        <v>168</v>
      </c>
      <c r="B99" s="9" t="s">
        <v>25</v>
      </c>
      <c r="C99" s="10"/>
      <c r="D99" s="9" t="s">
        <v>26</v>
      </c>
      <c r="E99" s="9" t="s">
        <v>175</v>
      </c>
      <c r="F99" s="11" t="s">
        <v>8</v>
      </c>
      <c r="G99" s="12">
        <v>11240750</v>
      </c>
      <c r="H99" s="12">
        <v>11240750</v>
      </c>
      <c r="I99" s="14"/>
      <c r="J99" s="14"/>
      <c r="K99" s="15"/>
      <c r="L99" s="15"/>
      <c r="M99" s="15"/>
      <c r="N99" s="15"/>
      <c r="O99" s="15"/>
      <c r="P99" s="15"/>
      <c r="Q99" s="15"/>
      <c r="R99" s="15"/>
    </row>
    <row x14ac:dyDescent="0.25" r="100" customHeight="1" ht="20.1">
      <c r="A100" s="9" t="s">
        <v>168</v>
      </c>
      <c r="B100" s="9" t="s">
        <v>25</v>
      </c>
      <c r="C100" s="10"/>
      <c r="D100" s="9" t="s">
        <v>26</v>
      </c>
      <c r="E100" s="9" t="s">
        <v>176</v>
      </c>
      <c r="F100" s="11" t="s">
        <v>10</v>
      </c>
      <c r="G100" s="12">
        <v>4270200</v>
      </c>
      <c r="H100" s="13"/>
      <c r="I100" s="14"/>
      <c r="J100" s="12">
        <v>4270200</v>
      </c>
      <c r="K100" s="15"/>
      <c r="L100" s="15"/>
      <c r="M100" s="15"/>
      <c r="N100" s="15"/>
      <c r="O100" s="15"/>
      <c r="P100" s="15"/>
      <c r="Q100" s="15"/>
      <c r="R100" s="15"/>
    </row>
    <row x14ac:dyDescent="0.25" r="101" customHeight="1" ht="20.1">
      <c r="A101" s="9" t="s">
        <v>168</v>
      </c>
      <c r="B101" s="9" t="s">
        <v>25</v>
      </c>
      <c r="C101" s="10"/>
      <c r="D101" s="9" t="s">
        <v>26</v>
      </c>
      <c r="E101" s="9" t="s">
        <v>177</v>
      </c>
      <c r="F101" s="11" t="s">
        <v>10</v>
      </c>
      <c r="G101" s="12">
        <v>27597300</v>
      </c>
      <c r="H101" s="13"/>
      <c r="I101" s="14"/>
      <c r="J101" s="12">
        <v>27597300</v>
      </c>
      <c r="K101" s="15"/>
      <c r="L101" s="15"/>
      <c r="M101" s="15"/>
      <c r="N101" s="15"/>
      <c r="O101" s="15"/>
      <c r="P101" s="15"/>
      <c r="Q101" s="15"/>
      <c r="R101" s="15"/>
    </row>
    <row x14ac:dyDescent="0.25" r="102" customHeight="1" ht="20.1">
      <c r="A102" s="9" t="s">
        <v>168</v>
      </c>
      <c r="B102" s="9" t="s">
        <v>91</v>
      </c>
      <c r="C102" s="10" t="s">
        <v>178</v>
      </c>
      <c r="D102" s="9" t="s">
        <v>93</v>
      </c>
      <c r="E102" s="9" t="s">
        <v>94</v>
      </c>
      <c r="F102" s="11" t="s">
        <v>12</v>
      </c>
      <c r="G102" s="12">
        <v>11227350</v>
      </c>
      <c r="H102" s="13"/>
      <c r="I102" s="14"/>
      <c r="J102" s="14"/>
      <c r="K102" s="15"/>
      <c r="L102" s="12">
        <v>11227350</v>
      </c>
      <c r="M102" s="15"/>
      <c r="N102" s="15"/>
      <c r="O102" s="15"/>
      <c r="P102" s="15"/>
      <c r="Q102" s="15"/>
      <c r="R102" s="15"/>
    </row>
    <row x14ac:dyDescent="0.25" r="103" customHeight="1" ht="20.1">
      <c r="A103" s="9" t="s">
        <v>179</v>
      </c>
      <c r="B103" s="9" t="s">
        <v>20</v>
      </c>
      <c r="C103" s="10">
        <v>200140</v>
      </c>
      <c r="D103" s="9" t="s">
        <v>113</v>
      </c>
      <c r="E103" s="9" t="s">
        <v>180</v>
      </c>
      <c r="F103" s="11" t="s">
        <v>10</v>
      </c>
      <c r="G103" s="12">
        <v>1034800</v>
      </c>
      <c r="H103" s="13"/>
      <c r="I103" s="14"/>
      <c r="J103" s="12">
        <v>1034800</v>
      </c>
      <c r="K103" s="15"/>
      <c r="L103" s="15"/>
      <c r="M103" s="15"/>
      <c r="N103" s="15"/>
      <c r="O103" s="15"/>
      <c r="P103" s="15"/>
      <c r="Q103" s="15"/>
      <c r="R103" s="15"/>
    </row>
    <row x14ac:dyDescent="0.25" r="104" customHeight="1" ht="20.1">
      <c r="A104" s="9" t="s">
        <v>179</v>
      </c>
      <c r="B104" s="9" t="s">
        <v>25</v>
      </c>
      <c r="C104" s="10"/>
      <c r="D104" s="9" t="s">
        <v>26</v>
      </c>
      <c r="E104" s="9" t="s">
        <v>181</v>
      </c>
      <c r="F104" s="11" t="s">
        <v>8</v>
      </c>
      <c r="G104" s="12">
        <v>15000000</v>
      </c>
      <c r="H104" s="12">
        <v>15000000</v>
      </c>
      <c r="I104" s="14"/>
      <c r="J104" s="14"/>
      <c r="K104" s="15"/>
      <c r="L104" s="15"/>
      <c r="M104" s="15"/>
      <c r="N104" s="15"/>
      <c r="O104" s="15"/>
      <c r="P104" s="15"/>
      <c r="Q104" s="15"/>
      <c r="R104" s="15"/>
    </row>
    <row x14ac:dyDescent="0.25" r="105" customHeight="1" ht="20.1">
      <c r="A105" s="9" t="s">
        <v>179</v>
      </c>
      <c r="B105" s="9" t="s">
        <v>51</v>
      </c>
      <c r="C105" s="10" t="s">
        <v>182</v>
      </c>
      <c r="D105" s="23" t="s">
        <v>183</v>
      </c>
      <c r="E105" s="9" t="s">
        <v>184</v>
      </c>
      <c r="F105" s="11" t="s">
        <v>9</v>
      </c>
      <c r="G105" s="12">
        <v>431450</v>
      </c>
      <c r="H105" s="13"/>
      <c r="I105" s="12">
        <v>431450</v>
      </c>
      <c r="J105" s="14"/>
      <c r="K105" s="15"/>
      <c r="L105" s="15"/>
      <c r="M105" s="15"/>
      <c r="N105" s="15"/>
      <c r="O105" s="15"/>
      <c r="P105" s="15"/>
      <c r="Q105" s="15"/>
      <c r="R105" s="15"/>
    </row>
    <row x14ac:dyDescent="0.25" r="106" customHeight="1" ht="20.1">
      <c r="A106" s="9" t="s">
        <v>179</v>
      </c>
      <c r="B106" s="9" t="s">
        <v>51</v>
      </c>
      <c r="C106" s="10" t="s">
        <v>185</v>
      </c>
      <c r="D106" s="23" t="s">
        <v>183</v>
      </c>
      <c r="E106" s="9" t="s">
        <v>186</v>
      </c>
      <c r="F106" s="11" t="s">
        <v>9</v>
      </c>
      <c r="G106" s="12">
        <v>1027261</v>
      </c>
      <c r="H106" s="13"/>
      <c r="I106" s="12">
        <v>1027261</v>
      </c>
      <c r="J106" s="14"/>
      <c r="K106" s="15"/>
      <c r="L106" s="15"/>
      <c r="M106" s="15"/>
      <c r="N106" s="15"/>
      <c r="O106" s="15"/>
      <c r="P106" s="15"/>
      <c r="Q106" s="15"/>
      <c r="R106" s="15"/>
    </row>
    <row x14ac:dyDescent="0.25" r="107" customHeight="1" ht="20.1">
      <c r="A107" s="9" t="s">
        <v>179</v>
      </c>
      <c r="B107" s="9" t="s">
        <v>187</v>
      </c>
      <c r="C107" s="10" t="s">
        <v>188</v>
      </c>
      <c r="D107" s="9" t="s">
        <v>23</v>
      </c>
      <c r="E107" s="9" t="s">
        <v>189</v>
      </c>
      <c r="F107" s="11" t="s">
        <v>14</v>
      </c>
      <c r="G107" s="12">
        <v>181000</v>
      </c>
      <c r="H107" s="13"/>
      <c r="I107" s="14"/>
      <c r="J107" s="14"/>
      <c r="K107" s="15"/>
      <c r="L107" s="15"/>
      <c r="M107" s="15"/>
      <c r="N107" s="12">
        <v>181000</v>
      </c>
      <c r="O107" s="15"/>
      <c r="P107" s="15"/>
      <c r="Q107" s="15"/>
      <c r="R107" s="15"/>
    </row>
    <row x14ac:dyDescent="0.25" r="108" customHeight="1" ht="20.1">
      <c r="A108" s="9" t="s">
        <v>179</v>
      </c>
      <c r="B108" s="9" t="s">
        <v>187</v>
      </c>
      <c r="C108" s="10" t="s">
        <v>190</v>
      </c>
      <c r="D108" s="25" t="s">
        <v>191</v>
      </c>
      <c r="E108" s="9" t="s">
        <v>192</v>
      </c>
      <c r="F108" s="11" t="s">
        <v>14</v>
      </c>
      <c r="G108" s="12">
        <v>118000</v>
      </c>
      <c r="H108" s="13"/>
      <c r="I108" s="14"/>
      <c r="J108" s="14"/>
      <c r="K108" s="15"/>
      <c r="L108" s="15"/>
      <c r="M108" s="15"/>
      <c r="N108" s="12">
        <v>118000</v>
      </c>
      <c r="O108" s="15"/>
      <c r="P108" s="15"/>
      <c r="Q108" s="15"/>
      <c r="R108" s="15"/>
    </row>
    <row x14ac:dyDescent="0.25" r="109" customHeight="1" ht="20.1">
      <c r="A109" s="9" t="s">
        <v>179</v>
      </c>
      <c r="B109" s="9" t="s">
        <v>40</v>
      </c>
      <c r="C109" s="10">
        <v>564226</v>
      </c>
      <c r="D109" s="9" t="s">
        <v>26</v>
      </c>
      <c r="E109" s="9" t="s">
        <v>193</v>
      </c>
      <c r="F109" s="11" t="s">
        <v>8</v>
      </c>
      <c r="G109" s="12">
        <v>65000000</v>
      </c>
      <c r="H109" s="12">
        <v>65000000</v>
      </c>
      <c r="I109" s="14"/>
      <c r="J109" s="14"/>
      <c r="K109" s="15"/>
      <c r="L109" s="15"/>
      <c r="M109" s="15"/>
      <c r="N109" s="15"/>
      <c r="O109" s="15"/>
      <c r="P109" s="15"/>
      <c r="Q109" s="15"/>
      <c r="R109" s="15"/>
    </row>
    <row x14ac:dyDescent="0.25" r="110" customHeight="1" ht="20.1">
      <c r="A110" s="9" t="s">
        <v>179</v>
      </c>
      <c r="B110" s="9" t="s">
        <v>20</v>
      </c>
      <c r="C110" s="10">
        <v>200141</v>
      </c>
      <c r="D110" s="9" t="s">
        <v>23</v>
      </c>
      <c r="E110" s="9" t="s">
        <v>194</v>
      </c>
      <c r="F110" s="11" t="s">
        <v>8</v>
      </c>
      <c r="G110" s="12">
        <v>754008</v>
      </c>
      <c r="H110" s="12">
        <v>754008</v>
      </c>
      <c r="I110" s="14"/>
      <c r="J110" s="14"/>
      <c r="K110" s="15"/>
      <c r="L110" s="15"/>
      <c r="M110" s="15"/>
      <c r="N110" s="15"/>
      <c r="O110" s="15"/>
      <c r="P110" s="15"/>
      <c r="Q110" s="15"/>
      <c r="R110" s="15"/>
    </row>
    <row x14ac:dyDescent="0.25" r="111" customHeight="1" ht="20.1">
      <c r="A111" s="9" t="s">
        <v>179</v>
      </c>
      <c r="B111" s="9" t="s">
        <v>20</v>
      </c>
      <c r="C111" s="10">
        <v>200141</v>
      </c>
      <c r="D111" s="9" t="s">
        <v>23</v>
      </c>
      <c r="E111" s="9" t="s">
        <v>195</v>
      </c>
      <c r="F111" s="11" t="s">
        <v>13</v>
      </c>
      <c r="G111" s="12">
        <v>82964</v>
      </c>
      <c r="H111" s="13"/>
      <c r="I111" s="14"/>
      <c r="J111" s="14"/>
      <c r="K111" s="15"/>
      <c r="L111" s="15"/>
      <c r="M111" s="12">
        <v>82964</v>
      </c>
      <c r="N111" s="15"/>
      <c r="O111" s="15"/>
      <c r="P111" s="15"/>
      <c r="Q111" s="15"/>
      <c r="R111" s="15"/>
    </row>
    <row x14ac:dyDescent="0.25" r="112" customHeight="1" ht="20.1">
      <c r="A112" s="9" t="s">
        <v>179</v>
      </c>
      <c r="B112" s="9" t="s">
        <v>20</v>
      </c>
      <c r="C112" s="10">
        <v>200141</v>
      </c>
      <c r="D112" s="9" t="s">
        <v>23</v>
      </c>
      <c r="E112" s="9" t="s">
        <v>195</v>
      </c>
      <c r="F112" s="11" t="s">
        <v>9</v>
      </c>
      <c r="G112" s="12">
        <v>1922926</v>
      </c>
      <c r="H112" s="13"/>
      <c r="I112" s="12">
        <v>1922926</v>
      </c>
      <c r="J112" s="14"/>
      <c r="K112" s="15"/>
      <c r="L112" s="15"/>
      <c r="M112" s="15"/>
      <c r="N112" s="15"/>
      <c r="O112" s="15"/>
      <c r="P112" s="15"/>
      <c r="Q112" s="15"/>
      <c r="R112" s="15"/>
    </row>
    <row x14ac:dyDescent="0.25" r="113" customHeight="1" ht="20.1">
      <c r="A113" s="9" t="s">
        <v>179</v>
      </c>
      <c r="B113" s="9" t="s">
        <v>20</v>
      </c>
      <c r="C113" s="10">
        <v>200141</v>
      </c>
      <c r="D113" s="9" t="s">
        <v>23</v>
      </c>
      <c r="E113" s="9" t="s">
        <v>196</v>
      </c>
      <c r="F113" s="11" t="s">
        <v>12</v>
      </c>
      <c r="G113" s="12">
        <v>408481</v>
      </c>
      <c r="H113" s="13"/>
      <c r="I113" s="14"/>
      <c r="J113" s="14"/>
      <c r="K113" s="15"/>
      <c r="L113" s="12">
        <v>408481</v>
      </c>
      <c r="M113" s="15"/>
      <c r="N113" s="15"/>
      <c r="O113" s="15"/>
      <c r="P113" s="15"/>
      <c r="Q113" s="15"/>
      <c r="R113" s="15"/>
    </row>
    <row x14ac:dyDescent="0.25" r="114" customHeight="1" ht="20.1">
      <c r="A114" s="9" t="s">
        <v>179</v>
      </c>
      <c r="B114" s="9" t="s">
        <v>20</v>
      </c>
      <c r="C114" s="10">
        <v>200142</v>
      </c>
      <c r="D114" s="25" t="s">
        <v>191</v>
      </c>
      <c r="E114" s="9" t="s">
        <v>197</v>
      </c>
      <c r="F114" s="11" t="s">
        <v>13</v>
      </c>
      <c r="G114" s="12">
        <v>206000</v>
      </c>
      <c r="H114" s="13"/>
      <c r="I114" s="14"/>
      <c r="J114" s="14"/>
      <c r="K114" s="15"/>
      <c r="L114" s="15"/>
      <c r="M114" s="12">
        <v>206000</v>
      </c>
      <c r="N114" s="15"/>
      <c r="O114" s="15"/>
      <c r="P114" s="15"/>
      <c r="Q114" s="15"/>
      <c r="R114" s="15"/>
    </row>
    <row x14ac:dyDescent="0.25" r="115" customHeight="1" ht="20.1">
      <c r="A115" s="9" t="s">
        <v>179</v>
      </c>
      <c r="B115" s="9" t="s">
        <v>20</v>
      </c>
      <c r="C115" s="10">
        <v>200142</v>
      </c>
      <c r="D115" s="25" t="s">
        <v>191</v>
      </c>
      <c r="E115" s="9" t="s">
        <v>197</v>
      </c>
      <c r="F115" s="11" t="s">
        <v>8</v>
      </c>
      <c r="G115" s="12">
        <v>1113000</v>
      </c>
      <c r="H115" s="12">
        <v>1113000</v>
      </c>
      <c r="I115" s="14"/>
      <c r="J115" s="14"/>
      <c r="K115" s="15"/>
      <c r="L115" s="15"/>
      <c r="M115" s="15"/>
      <c r="N115" s="15"/>
      <c r="O115" s="15"/>
      <c r="P115" s="15"/>
      <c r="Q115" s="15"/>
      <c r="R115" s="15"/>
    </row>
    <row x14ac:dyDescent="0.25" r="116" customHeight="1" ht="20.1">
      <c r="A116" s="9" t="s">
        <v>179</v>
      </c>
      <c r="B116" s="9" t="s">
        <v>20</v>
      </c>
      <c r="C116" s="10">
        <v>200142</v>
      </c>
      <c r="D116" s="25" t="s">
        <v>191</v>
      </c>
      <c r="E116" s="9" t="s">
        <v>197</v>
      </c>
      <c r="F116" s="11" t="s">
        <v>12</v>
      </c>
      <c r="G116" s="12">
        <v>730000</v>
      </c>
      <c r="H116" s="13"/>
      <c r="I116" s="14"/>
      <c r="J116" s="14"/>
      <c r="K116" s="15"/>
      <c r="L116" s="12">
        <v>730000</v>
      </c>
      <c r="M116" s="15"/>
      <c r="N116" s="15"/>
      <c r="O116" s="15"/>
      <c r="P116" s="15"/>
      <c r="Q116" s="15"/>
      <c r="R116" s="15"/>
    </row>
    <row x14ac:dyDescent="0.25" r="117" customHeight="1" ht="20.1">
      <c r="A117" s="9" t="s">
        <v>179</v>
      </c>
      <c r="B117" s="9" t="s">
        <v>20</v>
      </c>
      <c r="C117" s="10">
        <v>200142</v>
      </c>
      <c r="D117" s="25" t="s">
        <v>191</v>
      </c>
      <c r="E117" s="9" t="s">
        <v>197</v>
      </c>
      <c r="F117" s="11" t="s">
        <v>9</v>
      </c>
      <c r="G117" s="12">
        <v>3056000</v>
      </c>
      <c r="H117" s="13"/>
      <c r="I117" s="12">
        <v>3056000</v>
      </c>
      <c r="J117" s="14"/>
      <c r="K117" s="15"/>
      <c r="L117" s="15"/>
      <c r="M117" s="15"/>
      <c r="N117" s="15"/>
      <c r="O117" s="15"/>
      <c r="P117" s="15"/>
      <c r="Q117" s="15"/>
      <c r="R117" s="15"/>
    </row>
    <row x14ac:dyDescent="0.25" r="118" customHeight="1" ht="20.1">
      <c r="A118" s="9" t="s">
        <v>179</v>
      </c>
      <c r="B118" s="9" t="s">
        <v>20</v>
      </c>
      <c r="C118" s="10">
        <v>200139</v>
      </c>
      <c r="D118" s="9" t="s">
        <v>75</v>
      </c>
      <c r="E118" s="9" t="s">
        <v>198</v>
      </c>
      <c r="F118" s="11" t="s">
        <v>8</v>
      </c>
      <c r="G118" s="12">
        <v>10461450</v>
      </c>
      <c r="H118" s="12">
        <v>10461450</v>
      </c>
      <c r="I118" s="14"/>
      <c r="J118" s="14"/>
      <c r="K118" s="15"/>
      <c r="L118" s="15"/>
      <c r="M118" s="15"/>
      <c r="N118" s="15"/>
      <c r="O118" s="15"/>
      <c r="P118" s="15"/>
      <c r="Q118" s="15"/>
      <c r="R118" s="15"/>
    </row>
    <row x14ac:dyDescent="0.25" r="119" customHeight="1" ht="20.1">
      <c r="A119" s="9" t="s">
        <v>179</v>
      </c>
      <c r="B119" s="9" t="s">
        <v>42</v>
      </c>
      <c r="C119" s="10">
        <v>20000093</v>
      </c>
      <c r="D119" s="23" t="s">
        <v>199</v>
      </c>
      <c r="E119" s="9" t="s">
        <v>200</v>
      </c>
      <c r="F119" s="11" t="s">
        <v>8</v>
      </c>
      <c r="G119" s="12">
        <v>2157250</v>
      </c>
      <c r="H119" s="12">
        <v>2157250</v>
      </c>
      <c r="I119" s="14"/>
      <c r="J119" s="14"/>
      <c r="K119" s="15"/>
      <c r="L119" s="15"/>
      <c r="M119" s="15"/>
      <c r="N119" s="15"/>
      <c r="O119" s="15"/>
      <c r="P119" s="15"/>
      <c r="Q119" s="15"/>
      <c r="R119" s="15"/>
    </row>
    <row x14ac:dyDescent="0.25" r="120" customHeight="1" ht="20.1">
      <c r="A120" s="9" t="s">
        <v>179</v>
      </c>
      <c r="B120" s="9" t="s">
        <v>25</v>
      </c>
      <c r="C120" s="10"/>
      <c r="D120" s="9" t="s">
        <v>30</v>
      </c>
      <c r="E120" s="9" t="s">
        <v>143</v>
      </c>
      <c r="F120" s="11" t="s">
        <v>9</v>
      </c>
      <c r="G120" s="12">
        <v>80000000</v>
      </c>
      <c r="H120" s="13"/>
      <c r="I120" s="12">
        <v>80000000</v>
      </c>
      <c r="J120" s="14"/>
      <c r="K120" s="15"/>
      <c r="L120" s="15"/>
      <c r="M120" s="15"/>
      <c r="N120" s="15"/>
      <c r="O120" s="15"/>
      <c r="P120" s="15"/>
      <c r="Q120" s="15"/>
      <c r="R120" s="15"/>
    </row>
    <row x14ac:dyDescent="0.25" r="121" customHeight="1" ht="20.1">
      <c r="A121" s="9" t="s">
        <v>201</v>
      </c>
      <c r="B121" s="9" t="s">
        <v>25</v>
      </c>
      <c r="C121" s="10"/>
      <c r="D121" s="9" t="s">
        <v>30</v>
      </c>
      <c r="E121" s="9" t="s">
        <v>45</v>
      </c>
      <c r="F121" s="11" t="s">
        <v>9</v>
      </c>
      <c r="G121" s="12">
        <v>14000000</v>
      </c>
      <c r="H121" s="13"/>
      <c r="I121" s="12">
        <v>14000000</v>
      </c>
      <c r="J121" s="14"/>
      <c r="K121" s="15"/>
      <c r="L121" s="15"/>
      <c r="M121" s="15"/>
      <c r="N121" s="15"/>
      <c r="O121" s="15"/>
      <c r="P121" s="15"/>
      <c r="Q121" s="15"/>
      <c r="R121" s="15"/>
    </row>
    <row x14ac:dyDescent="0.25" r="122" customHeight="1" ht="20.1">
      <c r="A122" s="9" t="s">
        <v>201</v>
      </c>
      <c r="B122" s="9" t="s">
        <v>42</v>
      </c>
      <c r="C122" s="10">
        <v>200003</v>
      </c>
      <c r="D122" s="9" t="s">
        <v>43</v>
      </c>
      <c r="E122" s="9" t="s">
        <v>202</v>
      </c>
      <c r="F122" s="11" t="s">
        <v>17</v>
      </c>
      <c r="G122" s="12">
        <v>2679000</v>
      </c>
      <c r="H122" s="13"/>
      <c r="I122" s="14"/>
      <c r="J122" s="14"/>
      <c r="K122" s="15"/>
      <c r="L122" s="15"/>
      <c r="M122" s="15"/>
      <c r="N122" s="15"/>
      <c r="O122" s="15"/>
      <c r="P122" s="15"/>
      <c r="Q122" s="12">
        <v>2679000</v>
      </c>
      <c r="R122" s="15"/>
    </row>
    <row x14ac:dyDescent="0.25" r="123" customHeight="1" ht="20.1">
      <c r="A123" s="16" t="s">
        <v>201</v>
      </c>
      <c r="B123" s="16" t="s">
        <v>91</v>
      </c>
      <c r="C123" s="10" t="s">
        <v>203</v>
      </c>
      <c r="D123" s="9" t="s">
        <v>93</v>
      </c>
      <c r="E123" s="16" t="s">
        <v>204</v>
      </c>
      <c r="F123" s="11" t="s">
        <v>12</v>
      </c>
      <c r="G123" s="12">
        <v>340600</v>
      </c>
      <c r="H123" s="13"/>
      <c r="I123" s="14"/>
      <c r="J123" s="14"/>
      <c r="K123" s="15"/>
      <c r="L123" s="12">
        <v>340600</v>
      </c>
      <c r="M123" s="15"/>
      <c r="N123" s="15"/>
      <c r="O123" s="15"/>
      <c r="P123" s="15"/>
      <c r="Q123" s="15"/>
      <c r="R123" s="15"/>
    </row>
    <row x14ac:dyDescent="0.25" r="124" customHeight="1" ht="20.1">
      <c r="A124" s="9" t="s">
        <v>201</v>
      </c>
      <c r="B124" s="9" t="s">
        <v>91</v>
      </c>
      <c r="C124" s="26" t="s">
        <v>203</v>
      </c>
      <c r="D124" s="16" t="s">
        <v>43</v>
      </c>
      <c r="E124" s="9" t="s">
        <v>205</v>
      </c>
      <c r="F124" s="11" t="s">
        <v>17</v>
      </c>
      <c r="G124" s="12">
        <v>108000</v>
      </c>
      <c r="H124" s="13"/>
      <c r="I124" s="14"/>
      <c r="J124" s="14"/>
      <c r="K124" s="15"/>
      <c r="L124" s="15"/>
      <c r="M124" s="15"/>
      <c r="N124" s="15"/>
      <c r="O124" s="15"/>
      <c r="P124" s="15"/>
      <c r="Q124" s="12">
        <v>108000</v>
      </c>
      <c r="R124" s="15"/>
    </row>
    <row x14ac:dyDescent="0.25" r="125" customHeight="1" ht="20.1">
      <c r="A125" s="9" t="s">
        <v>201</v>
      </c>
      <c r="B125" s="9" t="s">
        <v>206</v>
      </c>
      <c r="C125" s="10" t="s">
        <v>207</v>
      </c>
      <c r="D125" s="9" t="s">
        <v>86</v>
      </c>
      <c r="E125" s="9" t="s">
        <v>208</v>
      </c>
      <c r="F125" s="11" t="s">
        <v>8</v>
      </c>
      <c r="G125" s="12">
        <v>4552300</v>
      </c>
      <c r="H125" s="12">
        <v>4552300</v>
      </c>
      <c r="I125" s="14"/>
      <c r="J125" s="14"/>
      <c r="K125" s="15"/>
      <c r="L125" s="15"/>
      <c r="M125" s="15"/>
      <c r="N125" s="15"/>
      <c r="O125" s="15"/>
      <c r="P125" s="15"/>
      <c r="Q125" s="15"/>
      <c r="R125" s="15"/>
    </row>
    <row x14ac:dyDescent="0.25" r="126" customHeight="1" ht="20.1">
      <c r="A126" s="9" t="s">
        <v>201</v>
      </c>
      <c r="B126" s="9" t="s">
        <v>40</v>
      </c>
      <c r="C126" s="10">
        <v>268702</v>
      </c>
      <c r="D126" s="9" t="s">
        <v>63</v>
      </c>
      <c r="E126" s="9" t="s">
        <v>209</v>
      </c>
      <c r="F126" s="11" t="s">
        <v>8</v>
      </c>
      <c r="G126" s="12">
        <v>78008500</v>
      </c>
      <c r="H126" s="12">
        <v>78008500</v>
      </c>
      <c r="I126" s="14"/>
      <c r="J126" s="14"/>
      <c r="K126" s="15"/>
      <c r="L126" s="15"/>
      <c r="M126" s="15"/>
      <c r="N126" s="15"/>
      <c r="O126" s="15"/>
      <c r="P126" s="15"/>
      <c r="Q126" s="15"/>
      <c r="R126" s="15"/>
    </row>
    <row x14ac:dyDescent="0.25" r="127" customHeight="1" ht="20.1">
      <c r="A127" s="9" t="s">
        <v>201</v>
      </c>
      <c r="B127" s="9" t="s">
        <v>100</v>
      </c>
      <c r="C127" s="10" t="s">
        <v>210</v>
      </c>
      <c r="D127" s="9" t="s">
        <v>30</v>
      </c>
      <c r="E127" s="9" t="s">
        <v>211</v>
      </c>
      <c r="F127" s="11" t="s">
        <v>9</v>
      </c>
      <c r="G127" s="12">
        <v>150000000</v>
      </c>
      <c r="H127" s="13"/>
      <c r="I127" s="12">
        <v>150000000</v>
      </c>
      <c r="J127" s="14"/>
      <c r="K127" s="15"/>
      <c r="L127" s="15"/>
      <c r="M127" s="15"/>
      <c r="N127" s="15"/>
      <c r="O127" s="15"/>
      <c r="P127" s="15"/>
      <c r="Q127" s="15"/>
      <c r="R127" s="15"/>
    </row>
    <row x14ac:dyDescent="0.25" r="128" customHeight="1" ht="20.1">
      <c r="A128" s="9" t="s">
        <v>201</v>
      </c>
      <c r="B128" s="9" t="s">
        <v>151</v>
      </c>
      <c r="C128" s="10" t="s">
        <v>212</v>
      </c>
      <c r="D128" s="9" t="s">
        <v>30</v>
      </c>
      <c r="E128" s="9" t="s">
        <v>213</v>
      </c>
      <c r="F128" s="11" t="s">
        <v>9</v>
      </c>
      <c r="G128" s="12">
        <v>100000000</v>
      </c>
      <c r="H128" s="13"/>
      <c r="I128" s="12">
        <v>100000000</v>
      </c>
      <c r="J128" s="14"/>
      <c r="K128" s="15"/>
      <c r="L128" s="15"/>
      <c r="M128" s="15"/>
      <c r="N128" s="15"/>
      <c r="O128" s="15"/>
      <c r="P128" s="15"/>
      <c r="Q128" s="15"/>
      <c r="R128" s="15"/>
    </row>
    <row x14ac:dyDescent="0.25" r="129" customHeight="1" ht="20.1">
      <c r="A129" s="9" t="s">
        <v>201</v>
      </c>
      <c r="B129" s="9" t="s">
        <v>214</v>
      </c>
      <c r="C129" s="10"/>
      <c r="D129" s="9" t="s">
        <v>30</v>
      </c>
      <c r="E129" s="9" t="s">
        <v>213</v>
      </c>
      <c r="F129" s="11" t="s">
        <v>9</v>
      </c>
      <c r="G129" s="12">
        <v>87245600</v>
      </c>
      <c r="H129" s="13"/>
      <c r="I129" s="12">
        <v>87245600</v>
      </c>
      <c r="J129" s="14"/>
      <c r="K129" s="15"/>
      <c r="L129" s="15"/>
      <c r="M129" s="15"/>
      <c r="N129" s="15"/>
      <c r="O129" s="15"/>
      <c r="P129" s="15"/>
      <c r="Q129" s="15"/>
      <c r="R129" s="15"/>
    </row>
    <row x14ac:dyDescent="0.25" r="130" customHeight="1" ht="20.1">
      <c r="A130" s="9" t="s">
        <v>201</v>
      </c>
      <c r="B130" s="9" t="s">
        <v>20</v>
      </c>
      <c r="C130" s="10">
        <v>200143</v>
      </c>
      <c r="D130" s="9" t="s">
        <v>215</v>
      </c>
      <c r="E130" s="9" t="s">
        <v>216</v>
      </c>
      <c r="F130" s="11" t="s">
        <v>9</v>
      </c>
      <c r="G130" s="12">
        <v>283000</v>
      </c>
      <c r="H130" s="13"/>
      <c r="I130" s="12">
        <v>283000</v>
      </c>
      <c r="J130" s="14"/>
      <c r="K130" s="15"/>
      <c r="L130" s="15"/>
      <c r="M130" s="15"/>
      <c r="N130" s="15"/>
      <c r="O130" s="15"/>
      <c r="P130" s="15"/>
      <c r="Q130" s="15"/>
      <c r="R130" s="15"/>
    </row>
    <row x14ac:dyDescent="0.25" r="131" customHeight="1" ht="20.1">
      <c r="A131" s="9" t="s">
        <v>201</v>
      </c>
      <c r="B131" s="9" t="s">
        <v>20</v>
      </c>
      <c r="C131" s="10">
        <v>200143</v>
      </c>
      <c r="D131" s="9" t="s">
        <v>156</v>
      </c>
      <c r="E131" s="9" t="s">
        <v>217</v>
      </c>
      <c r="F131" s="11" t="s">
        <v>9</v>
      </c>
      <c r="G131" s="12">
        <v>200000</v>
      </c>
      <c r="H131" s="27"/>
      <c r="I131" s="12">
        <v>200000</v>
      </c>
      <c r="J131" s="14"/>
      <c r="K131" s="15"/>
      <c r="L131" s="15"/>
      <c r="M131" s="15"/>
      <c r="N131" s="15"/>
      <c r="O131" s="15"/>
      <c r="P131" s="15"/>
      <c r="Q131" s="15"/>
      <c r="R131" s="15"/>
    </row>
    <row x14ac:dyDescent="0.25" r="132" customHeight="1" ht="20.1">
      <c r="A132" s="9" t="s">
        <v>218</v>
      </c>
      <c r="B132" s="9" t="s">
        <v>25</v>
      </c>
      <c r="C132" s="10"/>
      <c r="D132" s="9" t="s">
        <v>26</v>
      </c>
      <c r="E132" s="9" t="s">
        <v>219</v>
      </c>
      <c r="F132" s="11" t="s">
        <v>8</v>
      </c>
      <c r="G132" s="12">
        <v>19848000</v>
      </c>
      <c r="H132" s="12">
        <v>19848000</v>
      </c>
      <c r="I132" s="14"/>
      <c r="J132" s="14"/>
      <c r="K132" s="15"/>
      <c r="L132" s="15"/>
      <c r="M132" s="15"/>
      <c r="N132" s="15"/>
      <c r="O132" s="15"/>
      <c r="P132" s="15"/>
      <c r="Q132" s="15"/>
      <c r="R132" s="15"/>
    </row>
    <row x14ac:dyDescent="0.25" r="133" customHeight="1" ht="20.1">
      <c r="A133" s="9" t="s">
        <v>218</v>
      </c>
      <c r="B133" s="9" t="s">
        <v>25</v>
      </c>
      <c r="C133" s="10"/>
      <c r="D133" s="9" t="s">
        <v>26</v>
      </c>
      <c r="E133" s="9" t="s">
        <v>220</v>
      </c>
      <c r="F133" s="11" t="s">
        <v>8</v>
      </c>
      <c r="G133" s="12">
        <v>4245500</v>
      </c>
      <c r="H133" s="12">
        <v>4245500</v>
      </c>
      <c r="I133" s="14"/>
      <c r="J133" s="14"/>
      <c r="K133" s="15"/>
      <c r="L133" s="15"/>
      <c r="M133" s="15"/>
      <c r="N133" s="15"/>
      <c r="O133" s="15"/>
      <c r="P133" s="15"/>
      <c r="Q133" s="15"/>
      <c r="R133" s="15"/>
    </row>
    <row x14ac:dyDescent="0.25" r="134" customHeight="1" ht="20.1">
      <c r="A134" s="9" t="s">
        <v>218</v>
      </c>
      <c r="B134" s="9" t="s">
        <v>25</v>
      </c>
      <c r="C134" s="10"/>
      <c r="D134" s="9" t="s">
        <v>26</v>
      </c>
      <c r="E134" s="9" t="s">
        <v>221</v>
      </c>
      <c r="F134" s="11" t="s">
        <v>10</v>
      </c>
      <c r="G134" s="12">
        <v>13916700</v>
      </c>
      <c r="H134" s="13"/>
      <c r="I134" s="14"/>
      <c r="J134" s="12">
        <v>13916700</v>
      </c>
      <c r="K134" s="15"/>
      <c r="L134" s="15"/>
      <c r="M134" s="15"/>
      <c r="N134" s="15"/>
      <c r="O134" s="15"/>
      <c r="P134" s="15"/>
      <c r="Q134" s="15"/>
      <c r="R134" s="15"/>
    </row>
    <row x14ac:dyDescent="0.25" r="135" customHeight="1" ht="20.1">
      <c r="A135" s="9" t="s">
        <v>218</v>
      </c>
      <c r="B135" s="9" t="s">
        <v>25</v>
      </c>
      <c r="C135" s="10"/>
      <c r="D135" s="9" t="s">
        <v>26</v>
      </c>
      <c r="E135" s="9" t="s">
        <v>222</v>
      </c>
      <c r="F135" s="11" t="s">
        <v>10</v>
      </c>
      <c r="G135" s="12">
        <v>701800</v>
      </c>
      <c r="H135" s="13"/>
      <c r="I135" s="14"/>
      <c r="J135" s="12">
        <v>701800</v>
      </c>
      <c r="K135" s="15"/>
      <c r="L135" s="15"/>
      <c r="M135" s="15"/>
      <c r="N135" s="15"/>
      <c r="O135" s="15"/>
      <c r="P135" s="15"/>
      <c r="Q135" s="15"/>
      <c r="R135" s="15"/>
    </row>
    <row x14ac:dyDescent="0.25" r="136" customHeight="1" ht="20.1">
      <c r="A136" s="9" t="s">
        <v>223</v>
      </c>
      <c r="B136" s="9" t="s">
        <v>25</v>
      </c>
      <c r="C136" s="10"/>
      <c r="D136" s="9" t="s">
        <v>26</v>
      </c>
      <c r="E136" s="9" t="s">
        <v>224</v>
      </c>
      <c r="F136" s="11" t="s">
        <v>8</v>
      </c>
      <c r="G136" s="12">
        <v>3246250</v>
      </c>
      <c r="H136" s="12">
        <v>3246250</v>
      </c>
      <c r="I136" s="14"/>
      <c r="J136" s="14"/>
      <c r="K136" s="15"/>
      <c r="L136" s="15"/>
      <c r="M136" s="15"/>
      <c r="N136" s="15"/>
      <c r="O136" s="15"/>
      <c r="P136" s="15"/>
      <c r="Q136" s="15"/>
      <c r="R136" s="15"/>
    </row>
    <row x14ac:dyDescent="0.25" r="137" customHeight="1" ht="20.1">
      <c r="A137" s="9" t="s">
        <v>223</v>
      </c>
      <c r="B137" s="9" t="s">
        <v>28</v>
      </c>
      <c r="C137" s="10">
        <v>849273</v>
      </c>
      <c r="D137" s="9" t="s">
        <v>26</v>
      </c>
      <c r="E137" s="9" t="s">
        <v>225</v>
      </c>
      <c r="F137" s="11" t="s">
        <v>8</v>
      </c>
      <c r="G137" s="12">
        <v>138517500</v>
      </c>
      <c r="H137" s="12">
        <v>138517500</v>
      </c>
      <c r="I137" s="14"/>
      <c r="J137" s="14"/>
      <c r="K137" s="15"/>
      <c r="L137" s="15"/>
      <c r="M137" s="15"/>
      <c r="N137" s="15"/>
      <c r="O137" s="15"/>
      <c r="P137" s="15"/>
      <c r="Q137" s="15"/>
      <c r="R137" s="15"/>
    </row>
    <row x14ac:dyDescent="0.25" r="138" customHeight="1" ht="20.1">
      <c r="A138" s="9" t="s">
        <v>223</v>
      </c>
      <c r="B138" s="9" t="s">
        <v>28</v>
      </c>
      <c r="C138" s="10">
        <v>849240</v>
      </c>
      <c r="D138" s="28" t="s">
        <v>226</v>
      </c>
      <c r="E138" s="9" t="s">
        <v>227</v>
      </c>
      <c r="F138" s="11" t="s">
        <v>10</v>
      </c>
      <c r="G138" s="12">
        <v>50000000</v>
      </c>
      <c r="H138" s="13"/>
      <c r="I138" s="14"/>
      <c r="J138" s="12">
        <v>50000000</v>
      </c>
      <c r="K138" s="15"/>
      <c r="L138" s="15"/>
      <c r="M138" s="15"/>
      <c r="N138" s="15"/>
      <c r="O138" s="15"/>
      <c r="P138" s="15"/>
      <c r="Q138" s="15"/>
      <c r="R138" s="15"/>
    </row>
    <row x14ac:dyDescent="0.25" r="139" customHeight="1" ht="20.1">
      <c r="A139" s="9" t="s">
        <v>223</v>
      </c>
      <c r="B139" s="9" t="s">
        <v>28</v>
      </c>
      <c r="C139" s="10">
        <v>849275</v>
      </c>
      <c r="D139" s="9" t="s">
        <v>153</v>
      </c>
      <c r="E139" s="9" t="s">
        <v>228</v>
      </c>
      <c r="F139" s="11" t="s">
        <v>10</v>
      </c>
      <c r="G139" s="12">
        <v>1020000</v>
      </c>
      <c r="H139" s="13"/>
      <c r="I139" s="14"/>
      <c r="J139" s="12">
        <v>1020000</v>
      </c>
      <c r="K139" s="15"/>
      <c r="L139" s="15"/>
      <c r="M139" s="15"/>
      <c r="N139" s="15"/>
      <c r="O139" s="15"/>
      <c r="P139" s="15"/>
      <c r="Q139" s="15"/>
      <c r="R139" s="15"/>
    </row>
    <row x14ac:dyDescent="0.25" r="140" customHeight="1" ht="20.1">
      <c r="A140" s="9" t="s">
        <v>223</v>
      </c>
      <c r="B140" s="9" t="s">
        <v>28</v>
      </c>
      <c r="C140" s="10">
        <v>849274</v>
      </c>
      <c r="D140" s="9" t="s">
        <v>26</v>
      </c>
      <c r="E140" s="9" t="s">
        <v>229</v>
      </c>
      <c r="F140" s="11" t="s">
        <v>10</v>
      </c>
      <c r="G140" s="12">
        <v>9350000</v>
      </c>
      <c r="H140" s="13"/>
      <c r="I140" s="14"/>
      <c r="J140" s="12">
        <v>9350000</v>
      </c>
      <c r="K140" s="15"/>
      <c r="L140" s="15"/>
      <c r="M140" s="15"/>
      <c r="N140" s="15"/>
      <c r="O140" s="15"/>
      <c r="P140" s="15"/>
      <c r="Q140" s="15"/>
      <c r="R140" s="15"/>
    </row>
    <row x14ac:dyDescent="0.25" r="141" customHeight="1" ht="20.1">
      <c r="A141" s="9" t="s">
        <v>223</v>
      </c>
      <c r="B141" s="9" t="s">
        <v>28</v>
      </c>
      <c r="C141" s="10">
        <v>849273</v>
      </c>
      <c r="D141" s="9" t="s">
        <v>26</v>
      </c>
      <c r="E141" s="9" t="s">
        <v>229</v>
      </c>
      <c r="F141" s="11" t="s">
        <v>10</v>
      </c>
      <c r="G141" s="12">
        <v>17270000</v>
      </c>
      <c r="H141" s="13"/>
      <c r="I141" s="14"/>
      <c r="J141" s="12">
        <v>17270000</v>
      </c>
      <c r="K141" s="15"/>
      <c r="L141" s="15"/>
      <c r="M141" s="15"/>
      <c r="N141" s="15"/>
      <c r="O141" s="15"/>
      <c r="P141" s="15"/>
      <c r="Q141" s="15"/>
      <c r="R141" s="15"/>
    </row>
    <row x14ac:dyDescent="0.25" r="142" customHeight="1" ht="20.1">
      <c r="A142" s="9" t="s">
        <v>223</v>
      </c>
      <c r="B142" s="9" t="s">
        <v>25</v>
      </c>
      <c r="C142" s="10"/>
      <c r="D142" s="9" t="s">
        <v>26</v>
      </c>
      <c r="E142" s="9" t="s">
        <v>230</v>
      </c>
      <c r="F142" s="11" t="s">
        <v>8</v>
      </c>
      <c r="G142" s="12">
        <v>7753750</v>
      </c>
      <c r="H142" s="12">
        <v>7753750</v>
      </c>
      <c r="I142" s="14"/>
      <c r="J142" s="14"/>
      <c r="K142" s="15"/>
      <c r="L142" s="15"/>
      <c r="M142" s="15"/>
      <c r="N142" s="15"/>
      <c r="O142" s="15"/>
      <c r="P142" s="15"/>
      <c r="Q142" s="15"/>
      <c r="R142" s="15"/>
    </row>
    <row x14ac:dyDescent="0.25" r="143" customHeight="1" ht="20.1">
      <c r="A143" s="9" t="s">
        <v>223</v>
      </c>
      <c r="B143" s="9" t="s">
        <v>20</v>
      </c>
      <c r="C143" s="10">
        <v>200196</v>
      </c>
      <c r="D143" s="9" t="s">
        <v>21</v>
      </c>
      <c r="E143" s="9" t="s">
        <v>231</v>
      </c>
      <c r="F143" s="11" t="s">
        <v>9</v>
      </c>
      <c r="G143" s="12">
        <v>290110</v>
      </c>
      <c r="H143" s="13"/>
      <c r="I143" s="12">
        <v>290110</v>
      </c>
      <c r="J143" s="14"/>
      <c r="K143" s="15"/>
      <c r="L143" s="15"/>
      <c r="M143" s="15"/>
      <c r="N143" s="15"/>
      <c r="O143" s="15"/>
      <c r="P143" s="15"/>
      <c r="Q143" s="15"/>
      <c r="R143" s="15"/>
    </row>
    <row x14ac:dyDescent="0.25" r="144" customHeight="1" ht="20.1">
      <c r="A144" s="9" t="s">
        <v>223</v>
      </c>
      <c r="B144" s="9" t="s">
        <v>20</v>
      </c>
      <c r="C144" s="10">
        <v>200144</v>
      </c>
      <c r="D144" s="9" t="s">
        <v>23</v>
      </c>
      <c r="E144" s="9" t="s">
        <v>232</v>
      </c>
      <c r="F144" s="11" t="s">
        <v>9</v>
      </c>
      <c r="G144" s="12">
        <v>200000</v>
      </c>
      <c r="H144" s="13"/>
      <c r="I144" s="12">
        <v>200000</v>
      </c>
      <c r="J144" s="14"/>
      <c r="K144" s="15"/>
      <c r="L144" s="15"/>
      <c r="M144" s="15"/>
      <c r="N144" s="15"/>
      <c r="O144" s="15"/>
      <c r="P144" s="15"/>
      <c r="Q144" s="15"/>
      <c r="R144" s="15"/>
    </row>
    <row x14ac:dyDescent="0.25" r="145" customHeight="1" ht="20.1">
      <c r="A145" s="9" t="s">
        <v>223</v>
      </c>
      <c r="B145" s="9" t="s">
        <v>25</v>
      </c>
      <c r="C145" s="10"/>
      <c r="D145" s="9" t="s">
        <v>30</v>
      </c>
      <c r="E145" s="9" t="s">
        <v>45</v>
      </c>
      <c r="F145" s="11" t="s">
        <v>9</v>
      </c>
      <c r="G145" s="12">
        <v>55000000</v>
      </c>
      <c r="H145" s="13"/>
      <c r="I145" s="12">
        <v>55000000</v>
      </c>
      <c r="J145" s="14"/>
      <c r="K145" s="15"/>
      <c r="L145" s="15"/>
      <c r="M145" s="15"/>
      <c r="N145" s="15"/>
      <c r="O145" s="15"/>
      <c r="P145" s="15"/>
      <c r="Q145" s="15"/>
      <c r="R145" s="15"/>
    </row>
    <row x14ac:dyDescent="0.25" r="146" customHeight="1" ht="20.1">
      <c r="A146" s="9" t="s">
        <v>233</v>
      </c>
      <c r="B146" s="9" t="s">
        <v>20</v>
      </c>
      <c r="C146" s="10">
        <v>200201</v>
      </c>
      <c r="D146" s="9" t="s">
        <v>234</v>
      </c>
      <c r="E146" s="9" t="s">
        <v>235</v>
      </c>
      <c r="F146" s="11" t="s">
        <v>8</v>
      </c>
      <c r="G146" s="12">
        <v>70473770</v>
      </c>
      <c r="H146" s="12">
        <v>70473770</v>
      </c>
      <c r="I146" s="14"/>
      <c r="J146" s="14"/>
      <c r="K146" s="15"/>
      <c r="L146" s="15"/>
      <c r="M146" s="15"/>
      <c r="N146" s="15"/>
      <c r="O146" s="15"/>
      <c r="P146" s="15"/>
      <c r="Q146" s="15"/>
      <c r="R146" s="15"/>
    </row>
    <row x14ac:dyDescent="0.25" r="147" customHeight="1" ht="20.1">
      <c r="A147" s="9" t="s">
        <v>233</v>
      </c>
      <c r="B147" s="9" t="s">
        <v>28</v>
      </c>
      <c r="C147" s="10">
        <v>849243</v>
      </c>
      <c r="D147" s="9" t="s">
        <v>125</v>
      </c>
      <c r="E147" s="9" t="s">
        <v>236</v>
      </c>
      <c r="F147" s="11" t="s">
        <v>8</v>
      </c>
      <c r="G147" s="12">
        <v>2489800</v>
      </c>
      <c r="H147" s="12">
        <v>2489800</v>
      </c>
      <c r="I147" s="14"/>
      <c r="J147" s="14"/>
      <c r="K147" s="15"/>
      <c r="L147" s="15"/>
      <c r="M147" s="15"/>
      <c r="N147" s="15"/>
      <c r="O147" s="15"/>
      <c r="P147" s="15"/>
      <c r="Q147" s="15"/>
      <c r="R147" s="15"/>
    </row>
    <row x14ac:dyDescent="0.25" r="148" customHeight="1" ht="20.1">
      <c r="A148" s="9" t="s">
        <v>233</v>
      </c>
      <c r="B148" s="9" t="s">
        <v>91</v>
      </c>
      <c r="C148" s="10" t="s">
        <v>237</v>
      </c>
      <c r="D148" s="9" t="s">
        <v>93</v>
      </c>
      <c r="E148" s="9" t="s">
        <v>238</v>
      </c>
      <c r="F148" s="11" t="s">
        <v>12</v>
      </c>
      <c r="G148" s="12">
        <v>47500</v>
      </c>
      <c r="H148" s="13"/>
      <c r="I148" s="14"/>
      <c r="J148" s="14"/>
      <c r="K148" s="15"/>
      <c r="L148" s="12">
        <v>47500</v>
      </c>
      <c r="M148" s="15"/>
      <c r="N148" s="15"/>
      <c r="O148" s="15"/>
      <c r="P148" s="15"/>
      <c r="Q148" s="15"/>
      <c r="R148" s="15"/>
    </row>
    <row x14ac:dyDescent="0.25" r="149" customHeight="1" ht="20.1">
      <c r="A149" s="9" t="s">
        <v>233</v>
      </c>
      <c r="B149" s="9" t="s">
        <v>25</v>
      </c>
      <c r="C149" s="10"/>
      <c r="D149" s="9" t="s">
        <v>26</v>
      </c>
      <c r="E149" s="9" t="s">
        <v>239</v>
      </c>
      <c r="F149" s="11" t="s">
        <v>8</v>
      </c>
      <c r="G149" s="12">
        <v>10100000</v>
      </c>
      <c r="H149" s="12">
        <v>10100000</v>
      </c>
      <c r="I149" s="14"/>
      <c r="J149" s="14"/>
      <c r="K149" s="15"/>
      <c r="L149" s="15"/>
      <c r="M149" s="15"/>
      <c r="N149" s="15"/>
      <c r="O149" s="15"/>
      <c r="P149" s="15"/>
      <c r="Q149" s="15"/>
      <c r="R149" s="15"/>
    </row>
    <row x14ac:dyDescent="0.25" r="150" customHeight="1" ht="20.1">
      <c r="A150" s="9" t="s">
        <v>233</v>
      </c>
      <c r="B150" s="9" t="s">
        <v>42</v>
      </c>
      <c r="C150" s="10"/>
      <c r="D150" s="9" t="s">
        <v>43</v>
      </c>
      <c r="E150" s="9" t="s">
        <v>240</v>
      </c>
      <c r="F150" s="11" t="s">
        <v>17</v>
      </c>
      <c r="G150" s="12">
        <v>3338950</v>
      </c>
      <c r="H150" s="13"/>
      <c r="I150" s="14"/>
      <c r="J150" s="14"/>
      <c r="K150" s="15"/>
      <c r="L150" s="15"/>
      <c r="M150" s="15"/>
      <c r="N150" s="15"/>
      <c r="O150" s="15"/>
      <c r="P150" s="15"/>
      <c r="Q150" s="12">
        <v>3338950</v>
      </c>
      <c r="R150" s="15"/>
    </row>
    <row x14ac:dyDescent="0.25" r="151" customHeight="1" ht="20.1">
      <c r="A151" s="9" t="s">
        <v>233</v>
      </c>
      <c r="B151" s="9" t="s">
        <v>25</v>
      </c>
      <c r="C151" s="10"/>
      <c r="D151" s="9" t="s">
        <v>26</v>
      </c>
      <c r="E151" s="9" t="s">
        <v>241</v>
      </c>
      <c r="F151" s="11" t="s">
        <v>10</v>
      </c>
      <c r="G151" s="12">
        <v>13875500</v>
      </c>
      <c r="H151" s="13"/>
      <c r="I151" s="14"/>
      <c r="J151" s="12">
        <v>13875500</v>
      </c>
      <c r="K151" s="15"/>
      <c r="L151" s="15"/>
      <c r="M151" s="15"/>
      <c r="N151" s="15"/>
      <c r="O151" s="15"/>
      <c r="P151" s="15"/>
      <c r="Q151" s="15"/>
      <c r="R151" s="15"/>
    </row>
    <row x14ac:dyDescent="0.25" r="152" customHeight="1" ht="20.1">
      <c r="A152" s="9" t="s">
        <v>233</v>
      </c>
      <c r="B152" s="9" t="s">
        <v>51</v>
      </c>
      <c r="C152" s="10" t="s">
        <v>242</v>
      </c>
      <c r="D152" s="9" t="s">
        <v>21</v>
      </c>
      <c r="E152" s="9" t="s">
        <v>243</v>
      </c>
      <c r="F152" s="11" t="s">
        <v>8</v>
      </c>
      <c r="G152" s="12">
        <v>17153455</v>
      </c>
      <c r="H152" s="12">
        <v>17153455</v>
      </c>
      <c r="I152" s="14"/>
      <c r="J152" s="14"/>
      <c r="K152" s="15"/>
      <c r="L152" s="15"/>
      <c r="M152" s="15"/>
      <c r="N152" s="15"/>
      <c r="O152" s="15"/>
      <c r="P152" s="15"/>
      <c r="Q152" s="15"/>
      <c r="R152" s="15"/>
    </row>
    <row x14ac:dyDescent="0.25" r="153" customHeight="1" ht="20.1">
      <c r="A153" s="9" t="s">
        <v>233</v>
      </c>
      <c r="B153" s="9" t="s">
        <v>28</v>
      </c>
      <c r="C153" s="10">
        <v>849242</v>
      </c>
      <c r="D153" s="9" t="s">
        <v>23</v>
      </c>
      <c r="E153" s="9" t="s">
        <v>244</v>
      </c>
      <c r="F153" s="11" t="s">
        <v>8</v>
      </c>
      <c r="G153" s="12">
        <v>600000</v>
      </c>
      <c r="H153" s="12">
        <v>600000</v>
      </c>
      <c r="I153" s="14"/>
      <c r="J153" s="14"/>
      <c r="K153" s="15"/>
      <c r="L153" s="15"/>
      <c r="M153" s="15"/>
      <c r="N153" s="15"/>
      <c r="O153" s="15"/>
      <c r="P153" s="15"/>
      <c r="Q153" s="15"/>
      <c r="R153" s="15"/>
    </row>
    <row x14ac:dyDescent="0.25" r="154" customHeight="1" ht="20.1">
      <c r="A154" s="9" t="s">
        <v>233</v>
      </c>
      <c r="B154" s="9" t="s">
        <v>51</v>
      </c>
      <c r="C154" s="10" t="s">
        <v>245</v>
      </c>
      <c r="D154" s="9" t="s">
        <v>246</v>
      </c>
      <c r="E154" s="9" t="s">
        <v>247</v>
      </c>
      <c r="F154" s="11" t="s">
        <v>10</v>
      </c>
      <c r="G154" s="12">
        <v>9588700</v>
      </c>
      <c r="H154" s="13"/>
      <c r="I154" s="14"/>
      <c r="J154" s="12">
        <v>9588700</v>
      </c>
      <c r="K154" s="15"/>
      <c r="L154" s="15"/>
      <c r="M154" s="15"/>
      <c r="N154" s="15"/>
      <c r="O154" s="15"/>
      <c r="P154" s="15"/>
      <c r="Q154" s="15"/>
      <c r="R154" s="15"/>
    </row>
    <row x14ac:dyDescent="0.25" r="155" customHeight="1" ht="20.1">
      <c r="A155" s="9" t="s">
        <v>233</v>
      </c>
      <c r="B155" s="9" t="s">
        <v>20</v>
      </c>
      <c r="C155" s="10">
        <v>200197</v>
      </c>
      <c r="D155" s="9" t="s">
        <v>246</v>
      </c>
      <c r="E155" s="9" t="s">
        <v>247</v>
      </c>
      <c r="F155" s="11" t="s">
        <v>10</v>
      </c>
      <c r="G155" s="12">
        <v>18303000</v>
      </c>
      <c r="H155" s="13"/>
      <c r="I155" s="14"/>
      <c r="J155" s="12">
        <v>18303000</v>
      </c>
      <c r="K155" s="15"/>
      <c r="L155" s="15"/>
      <c r="M155" s="15"/>
      <c r="N155" s="15"/>
      <c r="O155" s="15"/>
      <c r="P155" s="15"/>
      <c r="Q155" s="15"/>
      <c r="R155" s="15"/>
    </row>
    <row x14ac:dyDescent="0.25" r="156" customHeight="1" ht="20.1">
      <c r="A156" s="9" t="s">
        <v>233</v>
      </c>
      <c r="B156" s="9" t="s">
        <v>40</v>
      </c>
      <c r="C156" s="10">
        <v>268703</v>
      </c>
      <c r="D156" s="9" t="s">
        <v>246</v>
      </c>
      <c r="E156" s="9" t="s">
        <v>247</v>
      </c>
      <c r="F156" s="11" t="s">
        <v>10</v>
      </c>
      <c r="G156" s="12">
        <v>22700000</v>
      </c>
      <c r="H156" s="13"/>
      <c r="I156" s="14"/>
      <c r="J156" s="12">
        <v>22700000</v>
      </c>
      <c r="K156" s="15"/>
      <c r="L156" s="15"/>
      <c r="M156" s="15"/>
      <c r="N156" s="15"/>
      <c r="O156" s="15"/>
      <c r="P156" s="15"/>
      <c r="Q156" s="15"/>
      <c r="R156" s="15"/>
    </row>
    <row x14ac:dyDescent="0.25" r="157" customHeight="1" ht="20.1">
      <c r="A157" s="9" t="s">
        <v>233</v>
      </c>
      <c r="B157" s="9" t="s">
        <v>20</v>
      </c>
      <c r="C157" s="10">
        <v>200202</v>
      </c>
      <c r="D157" s="9" t="s">
        <v>246</v>
      </c>
      <c r="E157" s="9" t="s">
        <v>247</v>
      </c>
      <c r="F157" s="11" t="s">
        <v>10</v>
      </c>
      <c r="G157" s="12">
        <v>41000000</v>
      </c>
      <c r="H157" s="13"/>
      <c r="I157" s="14"/>
      <c r="J157" s="12">
        <v>41000000</v>
      </c>
      <c r="K157" s="15"/>
      <c r="L157" s="15"/>
      <c r="M157" s="15"/>
      <c r="N157" s="15"/>
      <c r="O157" s="15"/>
      <c r="P157" s="15"/>
      <c r="Q157" s="15"/>
      <c r="R157" s="15"/>
    </row>
    <row x14ac:dyDescent="0.25" r="158" customHeight="1" ht="20.1">
      <c r="A158" s="9" t="s">
        <v>233</v>
      </c>
      <c r="B158" s="9" t="s">
        <v>20</v>
      </c>
      <c r="C158" s="10">
        <v>200081</v>
      </c>
      <c r="D158" s="9" t="s">
        <v>73</v>
      </c>
      <c r="E158" s="9" t="s">
        <v>248</v>
      </c>
      <c r="F158" s="11" t="s">
        <v>10</v>
      </c>
      <c r="G158" s="12">
        <v>10388700</v>
      </c>
      <c r="H158" s="13"/>
      <c r="I158" s="14"/>
      <c r="J158" s="12">
        <v>10388700</v>
      </c>
      <c r="K158" s="15"/>
      <c r="L158" s="15"/>
      <c r="M158" s="15"/>
      <c r="N158" s="15"/>
      <c r="O158" s="15"/>
      <c r="P158" s="15"/>
      <c r="Q158" s="15"/>
      <c r="R158" s="15"/>
    </row>
    <row x14ac:dyDescent="0.25" r="159" customHeight="1" ht="20.1">
      <c r="A159" s="9" t="s">
        <v>233</v>
      </c>
      <c r="B159" s="9" t="s">
        <v>28</v>
      </c>
      <c r="C159" s="10">
        <v>849244</v>
      </c>
      <c r="D159" s="9" t="s">
        <v>191</v>
      </c>
      <c r="E159" s="9" t="s">
        <v>249</v>
      </c>
      <c r="F159" s="11" t="s">
        <v>9</v>
      </c>
      <c r="G159" s="12">
        <v>10680250</v>
      </c>
      <c r="H159" s="13"/>
      <c r="I159" s="12">
        <v>10680250</v>
      </c>
      <c r="J159" s="14"/>
      <c r="K159" s="15"/>
      <c r="L159" s="15"/>
      <c r="M159" s="15"/>
      <c r="N159" s="15"/>
      <c r="O159" s="15"/>
      <c r="P159" s="15"/>
      <c r="Q159" s="15"/>
      <c r="R159" s="15"/>
    </row>
    <row x14ac:dyDescent="0.25" r="160" customHeight="1" ht="20.1">
      <c r="A160" s="9" t="s">
        <v>233</v>
      </c>
      <c r="B160" s="9" t="s">
        <v>28</v>
      </c>
      <c r="C160" s="10">
        <v>849244</v>
      </c>
      <c r="D160" s="9" t="s">
        <v>21</v>
      </c>
      <c r="E160" s="9" t="s">
        <v>250</v>
      </c>
      <c r="F160" s="11" t="s">
        <v>9</v>
      </c>
      <c r="G160" s="12">
        <v>4278812</v>
      </c>
      <c r="H160" s="27"/>
      <c r="I160" s="12">
        <v>4278812</v>
      </c>
      <c r="J160" s="14"/>
      <c r="K160" s="15"/>
      <c r="L160" s="15"/>
      <c r="M160" s="15"/>
      <c r="N160" s="15"/>
      <c r="O160" s="15"/>
      <c r="P160" s="15"/>
      <c r="Q160" s="15"/>
      <c r="R160" s="15"/>
    </row>
    <row x14ac:dyDescent="0.25" r="161" customHeight="1" ht="20.1">
      <c r="A161" s="9" t="s">
        <v>251</v>
      </c>
      <c r="B161" s="9" t="s">
        <v>40</v>
      </c>
      <c r="C161" s="10">
        <v>564227</v>
      </c>
      <c r="D161" s="9" t="s">
        <v>26</v>
      </c>
      <c r="E161" s="9" t="s">
        <v>252</v>
      </c>
      <c r="F161" s="11" t="s">
        <v>8</v>
      </c>
      <c r="G161" s="12">
        <v>20000000</v>
      </c>
      <c r="H161" s="12">
        <v>20000000</v>
      </c>
      <c r="I161" s="14"/>
      <c r="J161" s="14"/>
      <c r="K161" s="15"/>
      <c r="L161" s="15"/>
      <c r="M161" s="15"/>
      <c r="N161" s="15"/>
      <c r="O161" s="15"/>
      <c r="P161" s="15"/>
      <c r="Q161" s="15"/>
      <c r="R161" s="15"/>
    </row>
    <row x14ac:dyDescent="0.25" r="162" customHeight="1" ht="20.1">
      <c r="A162" s="9" t="s">
        <v>251</v>
      </c>
      <c r="B162" s="9" t="s">
        <v>51</v>
      </c>
      <c r="C162" s="10" t="s">
        <v>253</v>
      </c>
      <c r="D162" s="9" t="s">
        <v>21</v>
      </c>
      <c r="E162" s="9" t="s">
        <v>254</v>
      </c>
      <c r="F162" s="11" t="s">
        <v>12</v>
      </c>
      <c r="G162" s="12">
        <v>4127185</v>
      </c>
      <c r="H162" s="13"/>
      <c r="I162" s="14"/>
      <c r="J162" s="14"/>
      <c r="K162" s="15"/>
      <c r="L162" s="12">
        <v>4127185</v>
      </c>
      <c r="M162" s="15"/>
      <c r="N162" s="15"/>
      <c r="O162" s="15"/>
      <c r="P162" s="15"/>
      <c r="Q162" s="15"/>
      <c r="R162" s="15"/>
    </row>
    <row x14ac:dyDescent="0.25" r="163" customHeight="1" ht="20.1">
      <c r="A163" s="9" t="s">
        <v>251</v>
      </c>
      <c r="B163" s="9" t="s">
        <v>28</v>
      </c>
      <c r="C163" s="10">
        <v>849245</v>
      </c>
      <c r="D163" s="9" t="s">
        <v>23</v>
      </c>
      <c r="E163" s="9" t="s">
        <v>255</v>
      </c>
      <c r="F163" s="11" t="s">
        <v>12</v>
      </c>
      <c r="G163" s="12">
        <v>100000</v>
      </c>
      <c r="H163" s="13"/>
      <c r="I163" s="14"/>
      <c r="J163" s="14"/>
      <c r="K163" s="15"/>
      <c r="L163" s="12">
        <v>100000</v>
      </c>
      <c r="M163" s="15"/>
      <c r="N163" s="15"/>
      <c r="O163" s="15"/>
      <c r="P163" s="15"/>
      <c r="Q163" s="15"/>
      <c r="R163" s="15"/>
    </row>
    <row x14ac:dyDescent="0.25" r="164" customHeight="1" ht="20.1">
      <c r="A164" s="9" t="s">
        <v>251</v>
      </c>
      <c r="B164" s="9" t="s">
        <v>28</v>
      </c>
      <c r="C164" s="10">
        <v>849246</v>
      </c>
      <c r="D164" s="28" t="s">
        <v>226</v>
      </c>
      <c r="E164" s="9" t="s">
        <v>256</v>
      </c>
      <c r="F164" s="11" t="s">
        <v>10</v>
      </c>
      <c r="G164" s="12">
        <v>40000000</v>
      </c>
      <c r="H164" s="13"/>
      <c r="I164" s="14"/>
      <c r="J164" s="12">
        <v>40000000</v>
      </c>
      <c r="K164" s="15"/>
      <c r="L164" s="15"/>
      <c r="M164" s="15"/>
      <c r="N164" s="15"/>
      <c r="O164" s="15"/>
      <c r="P164" s="15"/>
      <c r="Q164" s="15"/>
      <c r="R164" s="15"/>
    </row>
    <row x14ac:dyDescent="0.25" r="165" customHeight="1" ht="20.1">
      <c r="A165" s="9" t="s">
        <v>251</v>
      </c>
      <c r="B165" s="9" t="s">
        <v>25</v>
      </c>
      <c r="C165" s="10"/>
      <c r="D165" s="9" t="s">
        <v>30</v>
      </c>
      <c r="E165" s="9" t="s">
        <v>257</v>
      </c>
      <c r="F165" s="11" t="s">
        <v>9</v>
      </c>
      <c r="G165" s="12">
        <v>89325000</v>
      </c>
      <c r="H165" s="13"/>
      <c r="I165" s="12">
        <v>89325000</v>
      </c>
      <c r="J165" s="14"/>
      <c r="K165" s="15"/>
      <c r="L165" s="15"/>
      <c r="M165" s="15"/>
      <c r="N165" s="15"/>
      <c r="O165" s="15"/>
      <c r="P165" s="15"/>
      <c r="Q165" s="15"/>
      <c r="R165" s="15"/>
    </row>
    <row x14ac:dyDescent="0.25" r="166" customHeight="1" ht="20.1">
      <c r="A166" s="9" t="s">
        <v>251</v>
      </c>
      <c r="B166" s="9" t="s">
        <v>25</v>
      </c>
      <c r="C166" s="10"/>
      <c r="D166" s="9" t="s">
        <v>30</v>
      </c>
      <c r="E166" s="9" t="s">
        <v>258</v>
      </c>
      <c r="F166" s="11" t="s">
        <v>9</v>
      </c>
      <c r="G166" s="12">
        <v>35730000</v>
      </c>
      <c r="H166" s="13"/>
      <c r="I166" s="12">
        <v>35730000</v>
      </c>
      <c r="J166" s="14"/>
      <c r="K166" s="15"/>
      <c r="L166" s="15"/>
      <c r="M166" s="15"/>
      <c r="N166" s="15"/>
      <c r="O166" s="15"/>
      <c r="P166" s="15"/>
      <c r="Q166" s="15"/>
      <c r="R166" s="15"/>
    </row>
    <row x14ac:dyDescent="0.25" r="167" customHeight="1" ht="20.1">
      <c r="A167" s="9" t="s">
        <v>251</v>
      </c>
      <c r="B167" s="9" t="s">
        <v>25</v>
      </c>
      <c r="C167" s="10"/>
      <c r="D167" s="9" t="s">
        <v>30</v>
      </c>
      <c r="E167" s="9" t="s">
        <v>259</v>
      </c>
      <c r="F167" s="11" t="s">
        <v>9</v>
      </c>
      <c r="G167" s="12">
        <v>486317520</v>
      </c>
      <c r="H167" s="13"/>
      <c r="I167" s="12">
        <v>486317520</v>
      </c>
      <c r="J167" s="14"/>
      <c r="K167" s="15"/>
      <c r="L167" s="15"/>
      <c r="M167" s="15"/>
      <c r="N167" s="15"/>
      <c r="O167" s="15"/>
      <c r="P167" s="15"/>
      <c r="Q167" s="15"/>
      <c r="R167" s="15"/>
    </row>
    <row x14ac:dyDescent="0.25" r="168" customHeight="1" ht="20.1">
      <c r="A168" s="9" t="s">
        <v>251</v>
      </c>
      <c r="B168" s="9" t="s">
        <v>25</v>
      </c>
      <c r="C168" s="10"/>
      <c r="D168" s="9" t="s">
        <v>30</v>
      </c>
      <c r="E168" s="9" t="s">
        <v>260</v>
      </c>
      <c r="F168" s="11" t="s">
        <v>9</v>
      </c>
      <c r="G168" s="12">
        <v>433682480</v>
      </c>
      <c r="H168" s="13"/>
      <c r="I168" s="12">
        <v>433682480</v>
      </c>
      <c r="J168" s="14"/>
      <c r="K168" s="15"/>
      <c r="L168" s="15"/>
      <c r="M168" s="15"/>
      <c r="N168" s="15"/>
      <c r="O168" s="15"/>
      <c r="P168" s="15"/>
      <c r="Q168" s="15"/>
      <c r="R168" s="15"/>
    </row>
    <row x14ac:dyDescent="0.25" r="169" customHeight="1" ht="20.1">
      <c r="A169" s="9" t="s">
        <v>261</v>
      </c>
      <c r="B169" s="9" t="s">
        <v>28</v>
      </c>
      <c r="C169" s="10">
        <v>849247</v>
      </c>
      <c r="D169" s="28" t="s">
        <v>226</v>
      </c>
      <c r="E169" s="9" t="s">
        <v>262</v>
      </c>
      <c r="F169" s="11" t="s">
        <v>10</v>
      </c>
      <c r="G169" s="12">
        <v>45000000</v>
      </c>
      <c r="H169" s="13"/>
      <c r="I169" s="14"/>
      <c r="J169" s="12">
        <v>45000000</v>
      </c>
      <c r="K169" s="15"/>
      <c r="L169" s="15"/>
      <c r="M169" s="15"/>
      <c r="N169" s="15"/>
      <c r="O169" s="15"/>
      <c r="P169" s="15"/>
      <c r="Q169" s="15"/>
      <c r="R169" s="15"/>
    </row>
    <row x14ac:dyDescent="0.25" r="170" customHeight="1" ht="20.1">
      <c r="A170" s="9" t="s">
        <v>261</v>
      </c>
      <c r="B170" s="9" t="s">
        <v>51</v>
      </c>
      <c r="C170" s="10" t="s">
        <v>263</v>
      </c>
      <c r="D170" s="29" t="s">
        <v>264</v>
      </c>
      <c r="E170" s="9" t="s">
        <v>265</v>
      </c>
      <c r="F170" s="11" t="s">
        <v>10</v>
      </c>
      <c r="G170" s="12">
        <v>14051175.1</v>
      </c>
      <c r="H170" s="13"/>
      <c r="I170" s="14"/>
      <c r="J170" s="12">
        <v>14051175.1</v>
      </c>
      <c r="K170" s="15"/>
      <c r="L170" s="15"/>
      <c r="M170" s="15"/>
      <c r="N170" s="15"/>
      <c r="O170" s="15"/>
      <c r="P170" s="15"/>
      <c r="Q170" s="15"/>
      <c r="R170" s="15"/>
    </row>
    <row x14ac:dyDescent="0.25" r="171" customHeight="1" ht="20.1">
      <c r="A171" s="9" t="s">
        <v>261</v>
      </c>
      <c r="B171" s="9" t="s">
        <v>28</v>
      </c>
      <c r="C171" s="10">
        <v>849248</v>
      </c>
      <c r="D171" s="9" t="s">
        <v>26</v>
      </c>
      <c r="E171" s="9" t="s">
        <v>266</v>
      </c>
      <c r="F171" s="11" t="s">
        <v>10</v>
      </c>
      <c r="G171" s="12">
        <v>100000000</v>
      </c>
      <c r="H171" s="13"/>
      <c r="I171" s="14"/>
      <c r="J171" s="12">
        <v>100000000</v>
      </c>
      <c r="K171" s="15"/>
      <c r="L171" s="15"/>
      <c r="M171" s="15"/>
      <c r="N171" s="15"/>
      <c r="O171" s="15"/>
      <c r="P171" s="15"/>
      <c r="Q171" s="15"/>
      <c r="R171" s="15"/>
    </row>
    <row x14ac:dyDescent="0.25" r="172" customHeight="1" ht="20.1">
      <c r="A172" s="9" t="s">
        <v>261</v>
      </c>
      <c r="B172" s="9" t="s">
        <v>25</v>
      </c>
      <c r="C172" s="10"/>
      <c r="D172" s="9" t="s">
        <v>26</v>
      </c>
      <c r="E172" s="9" t="s">
        <v>267</v>
      </c>
      <c r="F172" s="11" t="s">
        <v>8</v>
      </c>
      <c r="G172" s="12">
        <v>11481250</v>
      </c>
      <c r="H172" s="12">
        <v>11481250</v>
      </c>
      <c r="I172" s="14"/>
      <c r="J172" s="14"/>
      <c r="K172" s="15"/>
      <c r="L172" s="15"/>
      <c r="M172" s="15"/>
      <c r="N172" s="15"/>
      <c r="O172" s="15"/>
      <c r="P172" s="15"/>
      <c r="Q172" s="15"/>
      <c r="R172" s="15"/>
    </row>
    <row x14ac:dyDescent="0.25" r="173" customHeight="1" ht="20.1">
      <c r="A173" s="9" t="s">
        <v>261</v>
      </c>
      <c r="B173" s="9" t="s">
        <v>25</v>
      </c>
      <c r="C173" s="10"/>
      <c r="D173" s="9" t="s">
        <v>26</v>
      </c>
      <c r="E173" s="9" t="s">
        <v>268</v>
      </c>
      <c r="F173" s="11" t="s">
        <v>8</v>
      </c>
      <c r="G173" s="12">
        <v>1518750</v>
      </c>
      <c r="H173" s="12">
        <v>1518750</v>
      </c>
      <c r="I173" s="14"/>
      <c r="J173" s="14"/>
      <c r="K173" s="15"/>
      <c r="L173" s="15"/>
      <c r="M173" s="15"/>
      <c r="N173" s="15"/>
      <c r="O173" s="15"/>
      <c r="P173" s="15"/>
      <c r="Q173" s="15"/>
      <c r="R173" s="15"/>
    </row>
    <row x14ac:dyDescent="0.25" r="174" customHeight="1" ht="20.1">
      <c r="A174" s="9" t="s">
        <v>261</v>
      </c>
      <c r="B174" s="9" t="s">
        <v>51</v>
      </c>
      <c r="C174" s="10" t="s">
        <v>269</v>
      </c>
      <c r="D174" s="29" t="s">
        <v>270</v>
      </c>
      <c r="E174" s="9" t="s">
        <v>271</v>
      </c>
      <c r="F174" s="11" t="s">
        <v>8</v>
      </c>
      <c r="G174" s="12">
        <v>2647708.7</v>
      </c>
      <c r="H174" s="12">
        <v>2647708.7</v>
      </c>
      <c r="I174" s="14"/>
      <c r="J174" s="14"/>
      <c r="K174" s="15"/>
      <c r="L174" s="15"/>
      <c r="M174" s="15"/>
      <c r="N174" s="15"/>
      <c r="O174" s="15"/>
      <c r="P174" s="15"/>
      <c r="Q174" s="15"/>
      <c r="R174" s="15"/>
    </row>
    <row x14ac:dyDescent="0.25" r="175" customHeight="1" ht="20.1">
      <c r="A175" s="9" t="s">
        <v>261</v>
      </c>
      <c r="B175" s="9" t="s">
        <v>100</v>
      </c>
      <c r="C175" s="10" t="s">
        <v>272</v>
      </c>
      <c r="D175" s="9" t="s">
        <v>30</v>
      </c>
      <c r="E175" s="9" t="s">
        <v>273</v>
      </c>
      <c r="F175" s="11" t="s">
        <v>8</v>
      </c>
      <c r="G175" s="12">
        <v>134000000</v>
      </c>
      <c r="H175" s="12">
        <v>134000000</v>
      </c>
      <c r="I175" s="14"/>
      <c r="J175" s="14"/>
      <c r="K175" s="15"/>
      <c r="L175" s="15"/>
      <c r="M175" s="15"/>
      <c r="N175" s="15"/>
      <c r="O175" s="15"/>
      <c r="P175" s="15"/>
      <c r="Q175" s="15"/>
      <c r="R175" s="15"/>
    </row>
    <row x14ac:dyDescent="0.25" r="176" customHeight="1" ht="20.1">
      <c r="A176" s="9" t="s">
        <v>261</v>
      </c>
      <c r="B176" s="9" t="s">
        <v>25</v>
      </c>
      <c r="C176" s="10"/>
      <c r="D176" s="9" t="s">
        <v>30</v>
      </c>
      <c r="E176" s="9" t="s">
        <v>274</v>
      </c>
      <c r="F176" s="11" t="s">
        <v>8</v>
      </c>
      <c r="G176" s="12">
        <v>48489000</v>
      </c>
      <c r="H176" s="12">
        <v>48489000</v>
      </c>
      <c r="I176" s="14"/>
      <c r="J176" s="14"/>
      <c r="K176" s="15"/>
      <c r="L176" s="15"/>
      <c r="M176" s="15"/>
      <c r="N176" s="15"/>
      <c r="O176" s="15"/>
      <c r="P176" s="15"/>
      <c r="Q176" s="15"/>
      <c r="R176" s="15"/>
    </row>
    <row x14ac:dyDescent="0.25" r="177" customHeight="1" ht="20.1">
      <c r="A177" s="9" t="s">
        <v>261</v>
      </c>
      <c r="B177" s="9" t="s">
        <v>151</v>
      </c>
      <c r="C177" s="10" t="s">
        <v>275</v>
      </c>
      <c r="D177" s="23" t="s">
        <v>215</v>
      </c>
      <c r="E177" s="9" t="s">
        <v>276</v>
      </c>
      <c r="F177" s="11" t="s">
        <v>9</v>
      </c>
      <c r="G177" s="12">
        <v>23526921</v>
      </c>
      <c r="H177" s="13"/>
      <c r="I177" s="12">
        <v>23526921</v>
      </c>
      <c r="J177" s="14"/>
      <c r="K177" s="15"/>
      <c r="L177" s="15"/>
      <c r="M177" s="15"/>
      <c r="N177" s="15"/>
      <c r="O177" s="15"/>
      <c r="P177" s="15"/>
      <c r="Q177" s="15"/>
      <c r="R177" s="15"/>
    </row>
    <row x14ac:dyDescent="0.25" r="178" customHeight="1" ht="20.1">
      <c r="A178" s="9" t="s">
        <v>261</v>
      </c>
      <c r="B178" s="9" t="s">
        <v>151</v>
      </c>
      <c r="C178" s="10" t="s">
        <v>277</v>
      </c>
      <c r="D178" s="23" t="s">
        <v>215</v>
      </c>
      <c r="E178" s="9" t="s">
        <v>278</v>
      </c>
      <c r="F178" s="11" t="s">
        <v>9</v>
      </c>
      <c r="G178" s="12">
        <v>31838477</v>
      </c>
      <c r="H178" s="13"/>
      <c r="I178" s="12">
        <v>31838477</v>
      </c>
      <c r="J178" s="14"/>
      <c r="K178" s="15"/>
      <c r="L178" s="15"/>
      <c r="M178" s="15"/>
      <c r="N178" s="15"/>
      <c r="O178" s="15"/>
      <c r="P178" s="15"/>
      <c r="Q178" s="15"/>
      <c r="R178" s="15"/>
    </row>
    <row x14ac:dyDescent="0.25" r="179" customHeight="1" ht="20.1">
      <c r="A179" s="9" t="s">
        <v>261</v>
      </c>
      <c r="B179" s="9" t="s">
        <v>100</v>
      </c>
      <c r="C179" s="10" t="s">
        <v>279</v>
      </c>
      <c r="D179" s="23" t="s">
        <v>215</v>
      </c>
      <c r="E179" s="9" t="s">
        <v>280</v>
      </c>
      <c r="F179" s="11" t="s">
        <v>9</v>
      </c>
      <c r="G179" s="12">
        <v>51197847</v>
      </c>
      <c r="H179" s="13"/>
      <c r="I179" s="12">
        <v>51197847</v>
      </c>
      <c r="J179" s="14"/>
      <c r="K179" s="15"/>
      <c r="L179" s="15"/>
      <c r="M179" s="15"/>
      <c r="N179" s="15"/>
      <c r="O179" s="15"/>
      <c r="P179" s="15"/>
      <c r="Q179" s="15"/>
      <c r="R179" s="15"/>
    </row>
    <row x14ac:dyDescent="0.25" r="180" customHeight="1" ht="20.1">
      <c r="A180" s="9" t="s">
        <v>261</v>
      </c>
      <c r="B180" s="9" t="s">
        <v>100</v>
      </c>
      <c r="C180" s="10" t="s">
        <v>281</v>
      </c>
      <c r="D180" s="23" t="s">
        <v>215</v>
      </c>
      <c r="E180" s="9" t="s">
        <v>280</v>
      </c>
      <c r="F180" s="11" t="s">
        <v>9</v>
      </c>
      <c r="G180" s="12">
        <v>50000000</v>
      </c>
      <c r="H180" s="13"/>
      <c r="I180" s="12">
        <v>50000000</v>
      </c>
      <c r="J180" s="14"/>
      <c r="K180" s="15"/>
      <c r="L180" s="15"/>
      <c r="M180" s="15"/>
      <c r="N180" s="15"/>
      <c r="O180" s="15"/>
      <c r="P180" s="15"/>
      <c r="Q180" s="15"/>
      <c r="R180" s="15"/>
    </row>
    <row x14ac:dyDescent="0.25" r="181" customHeight="1" ht="20.1">
      <c r="A181" s="9" t="s">
        <v>261</v>
      </c>
      <c r="B181" s="9" t="s">
        <v>100</v>
      </c>
      <c r="C181" s="10" t="s">
        <v>282</v>
      </c>
      <c r="D181" s="23" t="s">
        <v>215</v>
      </c>
      <c r="E181" s="9" t="s">
        <v>283</v>
      </c>
      <c r="F181" s="11" t="s">
        <v>9</v>
      </c>
      <c r="G181" s="12">
        <v>46221075</v>
      </c>
      <c r="H181" s="13"/>
      <c r="I181" s="12">
        <v>46221075</v>
      </c>
      <c r="J181" s="14"/>
      <c r="K181" s="15"/>
      <c r="L181" s="15"/>
      <c r="M181" s="15"/>
      <c r="N181" s="15"/>
      <c r="O181" s="15"/>
      <c r="P181" s="15"/>
      <c r="Q181" s="15"/>
      <c r="R181" s="15"/>
    </row>
    <row x14ac:dyDescent="0.25" r="182" customHeight="1" ht="20.1">
      <c r="A182" s="9" t="s">
        <v>261</v>
      </c>
      <c r="B182" s="9" t="s">
        <v>51</v>
      </c>
      <c r="C182" s="30" t="s">
        <v>284</v>
      </c>
      <c r="D182" s="9" t="s">
        <v>21</v>
      </c>
      <c r="E182" s="9" t="s">
        <v>285</v>
      </c>
      <c r="F182" s="11" t="s">
        <v>9</v>
      </c>
      <c r="G182" s="12">
        <v>1355832</v>
      </c>
      <c r="H182" s="13"/>
      <c r="I182" s="12">
        <v>1355832</v>
      </c>
      <c r="J182" s="14"/>
      <c r="K182" s="15"/>
      <c r="L182" s="15"/>
      <c r="M182" s="15"/>
      <c r="N182" s="15"/>
      <c r="O182" s="15"/>
      <c r="P182" s="15"/>
      <c r="Q182" s="15"/>
      <c r="R182" s="15"/>
    </row>
    <row x14ac:dyDescent="0.25" r="183" customHeight="1" ht="20.1">
      <c r="A183" s="9" t="s">
        <v>261</v>
      </c>
      <c r="B183" s="9" t="s">
        <v>151</v>
      </c>
      <c r="C183" s="14" t="s">
        <v>286</v>
      </c>
      <c r="D183" s="9" t="s">
        <v>156</v>
      </c>
      <c r="E183" s="9" t="s">
        <v>287</v>
      </c>
      <c r="F183" s="11" t="s">
        <v>9</v>
      </c>
      <c r="G183" s="12">
        <v>570000</v>
      </c>
      <c r="H183" s="13"/>
      <c r="I183" s="12">
        <v>570000</v>
      </c>
      <c r="J183" s="14"/>
      <c r="K183" s="15"/>
      <c r="L183" s="15"/>
      <c r="M183" s="15"/>
      <c r="N183" s="15"/>
      <c r="O183" s="15"/>
      <c r="P183" s="15"/>
      <c r="Q183" s="15"/>
      <c r="R183" s="15"/>
    </row>
    <row x14ac:dyDescent="0.25" r="184" customHeight="1" ht="20.1">
      <c r="A184" s="9" t="s">
        <v>261</v>
      </c>
      <c r="B184" s="9" t="s">
        <v>25</v>
      </c>
      <c r="C184" s="14"/>
      <c r="D184" s="9" t="s">
        <v>30</v>
      </c>
      <c r="E184" s="9" t="s">
        <v>45</v>
      </c>
      <c r="F184" s="11" t="s">
        <v>9</v>
      </c>
      <c r="G184" s="12">
        <v>16595000</v>
      </c>
      <c r="H184" s="13"/>
      <c r="I184" s="12">
        <v>16595000</v>
      </c>
      <c r="J184" s="14"/>
      <c r="K184" s="15"/>
      <c r="L184" s="15"/>
      <c r="M184" s="15"/>
      <c r="N184" s="15"/>
      <c r="O184" s="15"/>
      <c r="P184" s="15"/>
      <c r="Q184" s="15"/>
      <c r="R184" s="15"/>
    </row>
    <row x14ac:dyDescent="0.25" r="185" customHeight="1" ht="20.1">
      <c r="A185" s="9" t="s">
        <v>288</v>
      </c>
      <c r="B185" s="9" t="s">
        <v>25</v>
      </c>
      <c r="C185" s="31"/>
      <c r="D185" s="9" t="s">
        <v>26</v>
      </c>
      <c r="E185" s="9" t="s">
        <v>289</v>
      </c>
      <c r="F185" s="11" t="s">
        <v>8</v>
      </c>
      <c r="G185" s="12">
        <v>19493000</v>
      </c>
      <c r="H185" s="12">
        <v>19493000</v>
      </c>
      <c r="I185" s="14"/>
      <c r="J185" s="14"/>
      <c r="K185" s="15"/>
      <c r="L185" s="15"/>
      <c r="M185" s="15"/>
      <c r="N185" s="15"/>
      <c r="O185" s="15"/>
      <c r="P185" s="15"/>
      <c r="Q185" s="15"/>
      <c r="R185" s="15"/>
    </row>
    <row x14ac:dyDescent="0.25" r="186" customHeight="1" ht="20.1">
      <c r="A186" s="9" t="s">
        <v>288</v>
      </c>
      <c r="B186" s="9" t="s">
        <v>40</v>
      </c>
      <c r="C186" s="10">
        <v>564228</v>
      </c>
      <c r="D186" s="9" t="s">
        <v>26</v>
      </c>
      <c r="E186" s="9" t="s">
        <v>290</v>
      </c>
      <c r="F186" s="11" t="s">
        <v>8</v>
      </c>
      <c r="G186" s="12">
        <v>25856500</v>
      </c>
      <c r="H186" s="12">
        <v>25856500</v>
      </c>
      <c r="I186" s="14"/>
      <c r="J186" s="14"/>
      <c r="K186" s="15"/>
      <c r="L186" s="15"/>
      <c r="M186" s="15"/>
      <c r="N186" s="15"/>
      <c r="O186" s="15"/>
      <c r="P186" s="15"/>
      <c r="Q186" s="15"/>
      <c r="R186" s="15"/>
    </row>
    <row x14ac:dyDescent="0.25" r="187" customHeight="1" ht="20.1">
      <c r="A187" s="9" t="s">
        <v>288</v>
      </c>
      <c r="B187" s="9" t="s">
        <v>20</v>
      </c>
      <c r="C187" s="10">
        <v>200146</v>
      </c>
      <c r="D187" s="9" t="s">
        <v>75</v>
      </c>
      <c r="E187" s="9" t="s">
        <v>291</v>
      </c>
      <c r="F187" s="11" t="s">
        <v>8</v>
      </c>
      <c r="G187" s="12">
        <v>11559975</v>
      </c>
      <c r="H187" s="12">
        <v>11559975</v>
      </c>
      <c r="I187" s="14"/>
      <c r="J187" s="14"/>
      <c r="K187" s="15"/>
      <c r="L187" s="15"/>
      <c r="M187" s="15"/>
      <c r="N187" s="15"/>
      <c r="O187" s="15"/>
      <c r="P187" s="15"/>
      <c r="Q187" s="15"/>
      <c r="R187" s="15"/>
    </row>
    <row x14ac:dyDescent="0.25" r="188" customHeight="1" ht="20.1">
      <c r="A188" s="9" t="s">
        <v>288</v>
      </c>
      <c r="B188" s="9" t="s">
        <v>151</v>
      </c>
      <c r="C188" s="10" t="s">
        <v>292</v>
      </c>
      <c r="D188" s="9" t="s">
        <v>86</v>
      </c>
      <c r="E188" s="9" t="s">
        <v>293</v>
      </c>
      <c r="F188" s="11" t="s">
        <v>8</v>
      </c>
      <c r="G188" s="12">
        <v>5462800</v>
      </c>
      <c r="H188" s="12">
        <v>5462800</v>
      </c>
      <c r="I188" s="14"/>
      <c r="J188" s="14"/>
      <c r="K188" s="15"/>
      <c r="L188" s="15"/>
      <c r="M188" s="15"/>
      <c r="N188" s="15"/>
      <c r="O188" s="15"/>
      <c r="P188" s="15"/>
      <c r="Q188" s="15"/>
      <c r="R188" s="15"/>
    </row>
    <row x14ac:dyDescent="0.25" r="189" customHeight="1" ht="20.1">
      <c r="A189" s="9" t="s">
        <v>288</v>
      </c>
      <c r="B189" s="9" t="s">
        <v>91</v>
      </c>
      <c r="C189" s="10" t="s">
        <v>294</v>
      </c>
      <c r="D189" s="9" t="s">
        <v>93</v>
      </c>
      <c r="E189" s="9" t="s">
        <v>295</v>
      </c>
      <c r="F189" s="11" t="s">
        <v>12</v>
      </c>
      <c r="G189" s="12">
        <v>10000000</v>
      </c>
      <c r="H189" s="13"/>
      <c r="I189" s="14"/>
      <c r="J189" s="14"/>
      <c r="K189" s="15"/>
      <c r="L189" s="12">
        <v>10000000</v>
      </c>
      <c r="M189" s="15"/>
      <c r="N189" s="15"/>
      <c r="O189" s="15"/>
      <c r="P189" s="15"/>
      <c r="Q189" s="15"/>
      <c r="R189" s="15"/>
    </row>
    <row x14ac:dyDescent="0.25" r="190" customHeight="1" ht="20.1">
      <c r="A190" s="9" t="s">
        <v>288</v>
      </c>
      <c r="B190" s="9" t="s">
        <v>25</v>
      </c>
      <c r="C190" s="10"/>
      <c r="D190" s="9" t="s">
        <v>30</v>
      </c>
      <c r="E190" s="9" t="s">
        <v>45</v>
      </c>
      <c r="F190" s="11" t="s">
        <v>9</v>
      </c>
      <c r="G190" s="12">
        <v>55000000</v>
      </c>
      <c r="H190" s="13"/>
      <c r="I190" s="12">
        <v>55000000</v>
      </c>
      <c r="J190" s="14"/>
      <c r="K190" s="15"/>
      <c r="L190" s="15"/>
      <c r="M190" s="15"/>
      <c r="N190" s="15"/>
      <c r="O190" s="15"/>
      <c r="P190" s="15"/>
      <c r="Q190" s="15"/>
      <c r="R190" s="15"/>
    </row>
    <row x14ac:dyDescent="0.25" r="191" customHeight="1" ht="20.1">
      <c r="A191" s="9" t="s">
        <v>296</v>
      </c>
      <c r="B191" s="9" t="s">
        <v>25</v>
      </c>
      <c r="C191" s="10"/>
      <c r="D191" s="9" t="s">
        <v>26</v>
      </c>
      <c r="E191" s="9" t="s">
        <v>297</v>
      </c>
      <c r="F191" s="11" t="s">
        <v>10</v>
      </c>
      <c r="G191" s="12">
        <v>19944500</v>
      </c>
      <c r="H191" s="13"/>
      <c r="I191" s="14"/>
      <c r="J191" s="12">
        <v>19944500</v>
      </c>
      <c r="K191" s="15"/>
      <c r="L191" s="15"/>
      <c r="M191" s="15"/>
      <c r="N191" s="15"/>
      <c r="O191" s="15"/>
      <c r="P191" s="15"/>
      <c r="Q191" s="15"/>
      <c r="R191" s="15"/>
    </row>
    <row x14ac:dyDescent="0.25" r="192" customHeight="1" ht="20.1">
      <c r="A192" s="9" t="s">
        <v>296</v>
      </c>
      <c r="B192" s="9" t="s">
        <v>25</v>
      </c>
      <c r="C192" s="10"/>
      <c r="D192" s="9" t="s">
        <v>26</v>
      </c>
      <c r="E192" s="9" t="s">
        <v>298</v>
      </c>
      <c r="F192" s="11" t="s">
        <v>8</v>
      </c>
      <c r="G192" s="12">
        <v>712000</v>
      </c>
      <c r="H192" s="12">
        <v>712000</v>
      </c>
      <c r="I192" s="14"/>
      <c r="J192" s="14"/>
      <c r="K192" s="15"/>
      <c r="L192" s="15"/>
      <c r="M192" s="15"/>
      <c r="N192" s="15"/>
      <c r="O192" s="15"/>
      <c r="P192" s="15"/>
      <c r="Q192" s="15"/>
      <c r="R192" s="15"/>
    </row>
    <row x14ac:dyDescent="0.25" r="193" customHeight="1" ht="20.1">
      <c r="A193" s="9" t="s">
        <v>296</v>
      </c>
      <c r="B193" s="9" t="s">
        <v>25</v>
      </c>
      <c r="C193" s="10"/>
      <c r="D193" s="9" t="s">
        <v>26</v>
      </c>
      <c r="E193" s="9" t="s">
        <v>299</v>
      </c>
      <c r="F193" s="11" t="s">
        <v>8</v>
      </c>
      <c r="G193" s="12">
        <v>10010000</v>
      </c>
      <c r="H193" s="12">
        <v>10010000</v>
      </c>
      <c r="I193" s="14"/>
      <c r="J193" s="14"/>
      <c r="K193" s="15"/>
      <c r="L193" s="15"/>
      <c r="M193" s="15"/>
      <c r="N193" s="15"/>
      <c r="O193" s="15"/>
      <c r="P193" s="15"/>
      <c r="Q193" s="15"/>
      <c r="R193" s="15"/>
    </row>
    <row x14ac:dyDescent="0.25" r="194" customHeight="1" ht="20.1">
      <c r="A194" s="9" t="s">
        <v>300</v>
      </c>
      <c r="B194" s="9" t="s">
        <v>25</v>
      </c>
      <c r="C194" s="10"/>
      <c r="D194" s="9" t="s">
        <v>26</v>
      </c>
      <c r="E194" s="9" t="s">
        <v>301</v>
      </c>
      <c r="F194" s="11" t="s">
        <v>8</v>
      </c>
      <c r="G194" s="12">
        <v>22500000</v>
      </c>
      <c r="H194" s="12">
        <v>22500000</v>
      </c>
      <c r="I194" s="14"/>
      <c r="J194" s="14"/>
      <c r="K194" s="15"/>
      <c r="L194" s="15"/>
      <c r="M194" s="15"/>
      <c r="N194" s="15"/>
      <c r="O194" s="15"/>
      <c r="P194" s="15"/>
      <c r="Q194" s="15"/>
      <c r="R194" s="15"/>
    </row>
    <row x14ac:dyDescent="0.25" r="195" customHeight="1" ht="20.1">
      <c r="A195" s="9" t="s">
        <v>300</v>
      </c>
      <c r="B195" s="16" t="s">
        <v>20</v>
      </c>
      <c r="C195" s="10">
        <v>200198</v>
      </c>
      <c r="D195" s="9" t="s">
        <v>21</v>
      </c>
      <c r="E195" s="9" t="s">
        <v>302</v>
      </c>
      <c r="F195" s="11" t="s">
        <v>13</v>
      </c>
      <c r="G195" s="12">
        <v>11196235</v>
      </c>
      <c r="H195" s="13"/>
      <c r="I195" s="14"/>
      <c r="J195" s="14"/>
      <c r="K195" s="15"/>
      <c r="L195" s="15"/>
      <c r="M195" s="12">
        <v>11196235</v>
      </c>
      <c r="N195" s="15"/>
      <c r="O195" s="15"/>
      <c r="P195" s="15"/>
      <c r="Q195" s="15"/>
      <c r="R195" s="15"/>
    </row>
    <row x14ac:dyDescent="0.25" r="196" customHeight="1" ht="20.1">
      <c r="A196" s="9" t="s">
        <v>300</v>
      </c>
      <c r="B196" s="16" t="s">
        <v>20</v>
      </c>
      <c r="C196" s="10">
        <v>200147</v>
      </c>
      <c r="D196" s="9" t="s">
        <v>23</v>
      </c>
      <c r="E196" s="9" t="s">
        <v>303</v>
      </c>
      <c r="F196" s="11" t="s">
        <v>13</v>
      </c>
      <c r="G196" s="12">
        <v>400000</v>
      </c>
      <c r="H196" s="13"/>
      <c r="I196" s="14"/>
      <c r="J196" s="14"/>
      <c r="K196" s="15"/>
      <c r="L196" s="15"/>
      <c r="M196" s="12">
        <v>400000</v>
      </c>
      <c r="N196" s="15"/>
      <c r="O196" s="15"/>
      <c r="P196" s="15"/>
      <c r="Q196" s="15"/>
      <c r="R196" s="15"/>
    </row>
    <row x14ac:dyDescent="0.25" r="197" customHeight="1" ht="20.1">
      <c r="A197" s="9" t="s">
        <v>300</v>
      </c>
      <c r="B197" s="9" t="s">
        <v>91</v>
      </c>
      <c r="C197" s="10" t="s">
        <v>304</v>
      </c>
      <c r="D197" s="9" t="s">
        <v>93</v>
      </c>
      <c r="E197" s="9" t="s">
        <v>305</v>
      </c>
      <c r="F197" s="11" t="s">
        <v>12</v>
      </c>
      <c r="G197" s="12">
        <v>6461650</v>
      </c>
      <c r="H197" s="13"/>
      <c r="I197" s="14"/>
      <c r="J197" s="14"/>
      <c r="K197" s="15"/>
      <c r="L197" s="12">
        <v>6461650</v>
      </c>
      <c r="M197" s="15"/>
      <c r="N197" s="15"/>
      <c r="O197" s="15"/>
      <c r="P197" s="15"/>
      <c r="Q197" s="15"/>
      <c r="R197" s="15"/>
    </row>
    <row x14ac:dyDescent="0.25" r="198" customHeight="1" ht="20.1">
      <c r="A198" s="9" t="s">
        <v>300</v>
      </c>
      <c r="B198" s="9" t="s">
        <v>91</v>
      </c>
      <c r="C198" s="10" t="s">
        <v>304</v>
      </c>
      <c r="D198" s="9" t="s">
        <v>306</v>
      </c>
      <c r="E198" s="9" t="s">
        <v>307</v>
      </c>
      <c r="F198" s="11" t="s">
        <v>308</v>
      </c>
      <c r="G198" s="12">
        <v>692650</v>
      </c>
      <c r="H198" s="13"/>
      <c r="I198" s="14"/>
      <c r="J198" s="14"/>
      <c r="K198" s="15"/>
      <c r="L198" s="15"/>
      <c r="M198" s="15"/>
      <c r="N198" s="15"/>
      <c r="O198" s="15"/>
      <c r="P198" s="12">
        <v>692650</v>
      </c>
      <c r="Q198" s="15"/>
      <c r="R198" s="15"/>
    </row>
    <row x14ac:dyDescent="0.25" r="199" customHeight="1" ht="20.1">
      <c r="A199" s="9" t="s">
        <v>300</v>
      </c>
      <c r="B199" s="9" t="s">
        <v>25</v>
      </c>
      <c r="C199" s="10"/>
      <c r="D199" s="23" t="s">
        <v>63</v>
      </c>
      <c r="E199" s="16" t="s">
        <v>309</v>
      </c>
      <c r="F199" s="11" t="s">
        <v>8</v>
      </c>
      <c r="G199" s="12">
        <v>36260600</v>
      </c>
      <c r="H199" s="12">
        <v>36260600</v>
      </c>
      <c r="I199" s="14"/>
      <c r="J199" s="14"/>
      <c r="K199" s="15"/>
      <c r="L199" s="15"/>
      <c r="M199" s="15"/>
      <c r="N199" s="15"/>
      <c r="O199" s="15"/>
      <c r="P199" s="15"/>
      <c r="Q199" s="15"/>
      <c r="R199" s="15"/>
    </row>
    <row x14ac:dyDescent="0.25" r="200" customHeight="1" ht="20.1">
      <c r="A200" s="9" t="s">
        <v>300</v>
      </c>
      <c r="B200" s="9" t="s">
        <v>25</v>
      </c>
      <c r="C200" s="10"/>
      <c r="D200" s="28" t="s">
        <v>310</v>
      </c>
      <c r="E200" s="19" t="s">
        <v>311</v>
      </c>
      <c r="F200" s="11" t="s">
        <v>8</v>
      </c>
      <c r="G200" s="12">
        <v>94739400</v>
      </c>
      <c r="H200" s="12">
        <v>94739400</v>
      </c>
      <c r="I200" s="32"/>
      <c r="J200" s="14"/>
      <c r="K200" s="15"/>
      <c r="L200" s="15"/>
      <c r="M200" s="15"/>
      <c r="N200" s="15"/>
      <c r="O200" s="15"/>
      <c r="P200" s="15"/>
      <c r="Q200" s="15"/>
      <c r="R200" s="15"/>
    </row>
    <row x14ac:dyDescent="0.25" r="201" customHeight="1" ht="20.1">
      <c r="A201" s="9" t="s">
        <v>300</v>
      </c>
      <c r="B201" s="9" t="s">
        <v>25</v>
      </c>
      <c r="C201" s="10"/>
      <c r="D201" s="9" t="s">
        <v>30</v>
      </c>
      <c r="E201" s="21" t="s">
        <v>45</v>
      </c>
      <c r="F201" s="11" t="s">
        <v>9</v>
      </c>
      <c r="G201" s="12">
        <v>16230000</v>
      </c>
      <c r="H201" s="13"/>
      <c r="I201" s="12">
        <v>16230000</v>
      </c>
      <c r="J201" s="14"/>
      <c r="K201" s="15"/>
      <c r="L201" s="15"/>
      <c r="M201" s="15"/>
      <c r="N201" s="15"/>
      <c r="O201" s="15"/>
      <c r="P201" s="15"/>
      <c r="Q201" s="15"/>
      <c r="R201" s="15"/>
    </row>
    <row x14ac:dyDescent="0.25" r="202" customHeight="1" ht="20.1">
      <c r="A202" s="9" t="s">
        <v>300</v>
      </c>
      <c r="B202" s="9" t="s">
        <v>25</v>
      </c>
      <c r="C202" s="10"/>
      <c r="D202" s="28" t="s">
        <v>312</v>
      </c>
      <c r="E202" s="17" t="s">
        <v>313</v>
      </c>
      <c r="F202" s="20" t="s">
        <v>18</v>
      </c>
      <c r="G202" s="12">
        <v>7094250</v>
      </c>
      <c r="H202" s="13"/>
      <c r="I202" s="12"/>
      <c r="J202" s="14"/>
      <c r="K202" s="15"/>
      <c r="L202" s="15"/>
      <c r="M202" s="15"/>
      <c r="N202" s="15"/>
      <c r="O202" s="15"/>
      <c r="P202" s="15"/>
      <c r="Q202" s="15"/>
      <c r="R202" s="12">
        <v>7094250</v>
      </c>
    </row>
    <row x14ac:dyDescent="0.25" r="203" customHeight="1" ht="20.1">
      <c r="A203" s="9" t="s">
        <v>300</v>
      </c>
      <c r="B203" s="9" t="s">
        <v>25</v>
      </c>
      <c r="C203" s="10"/>
      <c r="D203" s="23" t="s">
        <v>61</v>
      </c>
      <c r="E203" s="17" t="s">
        <v>314</v>
      </c>
      <c r="F203" s="20" t="s">
        <v>18</v>
      </c>
      <c r="G203" s="12">
        <v>997960</v>
      </c>
      <c r="H203" s="13"/>
      <c r="I203" s="12"/>
      <c r="J203" s="14"/>
      <c r="K203" s="15"/>
      <c r="L203" s="15"/>
      <c r="M203" s="15"/>
      <c r="N203" s="15"/>
      <c r="O203" s="15"/>
      <c r="P203" s="15"/>
      <c r="Q203" s="15"/>
      <c r="R203" s="12">
        <v>997960</v>
      </c>
    </row>
    <row x14ac:dyDescent="0.25" r="204" customHeight="1" ht="20.1">
      <c r="A204" s="9" t="s">
        <v>300</v>
      </c>
      <c r="B204" s="9" t="s">
        <v>25</v>
      </c>
      <c r="C204" s="10"/>
      <c r="D204" s="23" t="s">
        <v>61</v>
      </c>
      <c r="E204" s="17" t="s">
        <v>315</v>
      </c>
      <c r="F204" s="20" t="s">
        <v>18</v>
      </c>
      <c r="G204" s="12">
        <v>54400</v>
      </c>
      <c r="H204" s="13"/>
      <c r="I204" s="12"/>
      <c r="J204" s="14"/>
      <c r="K204" s="15"/>
      <c r="L204" s="15"/>
      <c r="M204" s="15"/>
      <c r="N204" s="15"/>
      <c r="O204" s="15"/>
      <c r="P204" s="15"/>
      <c r="Q204" s="15"/>
      <c r="R204" s="12">
        <v>54400</v>
      </c>
    </row>
    <row x14ac:dyDescent="0.25" r="205" customHeight="1" ht="20.1">
      <c r="A205" s="9" t="s">
        <v>300</v>
      </c>
      <c r="B205" s="9" t="s">
        <v>25</v>
      </c>
      <c r="C205" s="10"/>
      <c r="D205" s="9" t="s">
        <v>316</v>
      </c>
      <c r="E205" s="17" t="s">
        <v>317</v>
      </c>
      <c r="F205" s="20" t="s">
        <v>18</v>
      </c>
      <c r="G205" s="12">
        <v>347550</v>
      </c>
      <c r="H205" s="13"/>
      <c r="I205" s="12"/>
      <c r="J205" s="14"/>
      <c r="K205" s="15"/>
      <c r="L205" s="15"/>
      <c r="M205" s="15"/>
      <c r="N205" s="15"/>
      <c r="O205" s="15"/>
      <c r="P205" s="15"/>
      <c r="Q205" s="15"/>
      <c r="R205" s="12">
        <v>347550</v>
      </c>
    </row>
    <row x14ac:dyDescent="0.25" r="206" customHeight="1" ht="20.1">
      <c r="A206" s="9" t="s">
        <v>300</v>
      </c>
      <c r="B206" s="9" t="s">
        <v>25</v>
      </c>
      <c r="C206" s="10"/>
      <c r="D206" s="23" t="s">
        <v>61</v>
      </c>
      <c r="E206" s="17" t="s">
        <v>318</v>
      </c>
      <c r="F206" s="20" t="s">
        <v>18</v>
      </c>
      <c r="G206" s="12">
        <v>25500</v>
      </c>
      <c r="H206" s="13"/>
      <c r="I206" s="12"/>
      <c r="J206" s="14"/>
      <c r="K206" s="15"/>
      <c r="L206" s="15"/>
      <c r="M206" s="15"/>
      <c r="N206" s="15"/>
      <c r="O206" s="15"/>
      <c r="P206" s="15"/>
      <c r="Q206" s="15"/>
      <c r="R206" s="12">
        <v>25500</v>
      </c>
    </row>
    <row x14ac:dyDescent="0.25" r="207" customHeight="1" ht="20.1">
      <c r="A207" s="9" t="s">
        <v>300</v>
      </c>
      <c r="B207" s="9" t="s">
        <v>25</v>
      </c>
      <c r="C207" s="10"/>
      <c r="D207" s="23" t="s">
        <v>61</v>
      </c>
      <c r="E207" s="17" t="s">
        <v>319</v>
      </c>
      <c r="F207" s="20" t="s">
        <v>18</v>
      </c>
      <c r="G207" s="12">
        <v>39100</v>
      </c>
      <c r="H207" s="13"/>
      <c r="I207" s="12"/>
      <c r="J207" s="14"/>
      <c r="K207" s="15"/>
      <c r="L207" s="15"/>
      <c r="M207" s="15"/>
      <c r="N207" s="15"/>
      <c r="O207" s="15"/>
      <c r="P207" s="15"/>
      <c r="Q207" s="15"/>
      <c r="R207" s="12">
        <v>39100</v>
      </c>
    </row>
    <row x14ac:dyDescent="0.25" r="208" customHeight="1" ht="20.1">
      <c r="A208" s="9" t="s">
        <v>300</v>
      </c>
      <c r="B208" s="9" t="s">
        <v>25</v>
      </c>
      <c r="C208" s="10"/>
      <c r="D208" s="23" t="s">
        <v>61</v>
      </c>
      <c r="E208" s="17" t="s">
        <v>320</v>
      </c>
      <c r="F208" s="20" t="s">
        <v>18</v>
      </c>
      <c r="G208" s="12">
        <v>2000</v>
      </c>
      <c r="H208" s="13"/>
      <c r="I208" s="12"/>
      <c r="J208" s="14"/>
      <c r="K208" s="15"/>
      <c r="L208" s="15"/>
      <c r="M208" s="15"/>
      <c r="N208" s="15"/>
      <c r="O208" s="15"/>
      <c r="P208" s="15"/>
      <c r="Q208" s="15"/>
      <c r="R208" s="12">
        <v>2000</v>
      </c>
    </row>
    <row x14ac:dyDescent="0.25" r="209" customHeight="1" ht="20.1">
      <c r="A209" s="9" t="s">
        <v>300</v>
      </c>
      <c r="B209" s="9" t="s">
        <v>25</v>
      </c>
      <c r="C209" s="10"/>
      <c r="D209" s="23" t="s">
        <v>61</v>
      </c>
      <c r="E209" s="17" t="s">
        <v>321</v>
      </c>
      <c r="F209" s="20" t="s">
        <v>18</v>
      </c>
      <c r="G209" s="12">
        <v>439000</v>
      </c>
      <c r="H209" s="13"/>
      <c r="I209" s="12"/>
      <c r="J209" s="14"/>
      <c r="K209" s="15"/>
      <c r="L209" s="15"/>
      <c r="M209" s="15"/>
      <c r="N209" s="15"/>
      <c r="O209" s="15"/>
      <c r="P209" s="15"/>
      <c r="Q209" s="15"/>
      <c r="R209" s="12">
        <v>439000</v>
      </c>
    </row>
    <row x14ac:dyDescent="0.25" r="210" customHeight="1" ht="20.1">
      <c r="A210" s="9" t="s">
        <v>300</v>
      </c>
      <c r="B210" s="9" t="s">
        <v>25</v>
      </c>
      <c r="C210" s="10"/>
      <c r="D210" s="23" t="s">
        <v>61</v>
      </c>
      <c r="E210" s="17" t="s">
        <v>322</v>
      </c>
      <c r="F210" s="20" t="s">
        <v>18</v>
      </c>
      <c r="G210" s="12">
        <v>9800</v>
      </c>
      <c r="H210" s="13"/>
      <c r="I210" s="12"/>
      <c r="J210" s="14"/>
      <c r="K210" s="15"/>
      <c r="L210" s="15"/>
      <c r="M210" s="15"/>
      <c r="N210" s="15"/>
      <c r="O210" s="15"/>
      <c r="P210" s="15"/>
      <c r="Q210" s="15"/>
      <c r="R210" s="12">
        <v>9800</v>
      </c>
    </row>
    <row x14ac:dyDescent="0.25" r="211" customHeight="1" ht="20.1">
      <c r="A211" s="9" t="s">
        <v>300</v>
      </c>
      <c r="B211" s="9" t="s">
        <v>25</v>
      </c>
      <c r="C211" s="10"/>
      <c r="D211" s="23" t="s">
        <v>61</v>
      </c>
      <c r="E211" s="17" t="s">
        <v>323</v>
      </c>
      <c r="F211" s="20" t="s">
        <v>18</v>
      </c>
      <c r="G211" s="12">
        <v>47000</v>
      </c>
      <c r="H211" s="13"/>
      <c r="I211" s="12"/>
      <c r="J211" s="14"/>
      <c r="K211" s="15"/>
      <c r="L211" s="15"/>
      <c r="M211" s="15"/>
      <c r="N211" s="15"/>
      <c r="O211" s="15"/>
      <c r="P211" s="15"/>
      <c r="Q211" s="15"/>
      <c r="R211" s="12">
        <v>47000</v>
      </c>
    </row>
    <row x14ac:dyDescent="0.25" r="212" customHeight="1" ht="20.1">
      <c r="A212" s="9" t="s">
        <v>300</v>
      </c>
      <c r="B212" s="9" t="s">
        <v>25</v>
      </c>
      <c r="C212" s="10"/>
      <c r="D212" s="23" t="s">
        <v>61</v>
      </c>
      <c r="E212" s="17" t="s">
        <v>324</v>
      </c>
      <c r="F212" s="20" t="s">
        <v>18</v>
      </c>
      <c r="G212" s="12">
        <v>41500</v>
      </c>
      <c r="H212" s="13"/>
      <c r="I212" s="12"/>
      <c r="J212" s="14"/>
      <c r="K212" s="15"/>
      <c r="L212" s="15"/>
      <c r="M212" s="15"/>
      <c r="N212" s="15"/>
      <c r="O212" s="15"/>
      <c r="P212" s="15"/>
      <c r="Q212" s="15"/>
      <c r="R212" s="12">
        <v>41500</v>
      </c>
    </row>
    <row x14ac:dyDescent="0.25" r="213" customHeight="1" ht="20.1">
      <c r="A213" s="9" t="s">
        <v>300</v>
      </c>
      <c r="B213" s="9" t="s">
        <v>25</v>
      </c>
      <c r="C213" s="10"/>
      <c r="D213" s="23" t="s">
        <v>61</v>
      </c>
      <c r="E213" s="17" t="s">
        <v>325</v>
      </c>
      <c r="F213" s="20" t="s">
        <v>18</v>
      </c>
      <c r="G213" s="12">
        <v>88400</v>
      </c>
      <c r="H213" s="13"/>
      <c r="I213" s="12"/>
      <c r="J213" s="14"/>
      <c r="K213" s="15"/>
      <c r="L213" s="15"/>
      <c r="M213" s="15"/>
      <c r="N213" s="15"/>
      <c r="O213" s="15"/>
      <c r="P213" s="15"/>
      <c r="Q213" s="15"/>
      <c r="R213" s="12">
        <v>88400</v>
      </c>
    </row>
    <row x14ac:dyDescent="0.25" r="214" customHeight="1" ht="20.1">
      <c r="A214" s="9" t="s">
        <v>300</v>
      </c>
      <c r="B214" s="9" t="s">
        <v>25</v>
      </c>
      <c r="C214" s="10"/>
      <c r="D214" s="23" t="s">
        <v>61</v>
      </c>
      <c r="E214" s="19" t="s">
        <v>326</v>
      </c>
      <c r="F214" s="20" t="s">
        <v>18</v>
      </c>
      <c r="G214" s="12">
        <v>12900</v>
      </c>
      <c r="H214" s="13"/>
      <c r="I214" s="12"/>
      <c r="J214" s="14"/>
      <c r="K214" s="15"/>
      <c r="L214" s="15"/>
      <c r="M214" s="15"/>
      <c r="N214" s="15"/>
      <c r="O214" s="15"/>
      <c r="P214" s="15"/>
      <c r="Q214" s="15"/>
      <c r="R214" s="12">
        <v>12900</v>
      </c>
    </row>
    <row x14ac:dyDescent="0.25" r="215" customHeight="1" ht="20.1">
      <c r="A215" s="9" t="s">
        <v>300</v>
      </c>
      <c r="B215" s="9"/>
      <c r="C215" s="10"/>
      <c r="D215" s="9" t="s">
        <v>38</v>
      </c>
      <c r="E215" s="9" t="s">
        <v>327</v>
      </c>
      <c r="F215" s="11" t="s">
        <v>9</v>
      </c>
      <c r="G215" s="12">
        <v>48755681</v>
      </c>
      <c r="H215" s="13"/>
      <c r="I215" s="12">
        <v>48755681</v>
      </c>
      <c r="J215" s="14"/>
      <c r="K215" s="15"/>
      <c r="L215" s="15"/>
      <c r="M215" s="15"/>
      <c r="N215" s="15"/>
      <c r="O215" s="15"/>
      <c r="P215" s="15"/>
      <c r="Q215" s="15"/>
      <c r="R215" s="15"/>
    </row>
    <row x14ac:dyDescent="0.25" r="216" customHeight="1" ht="20.1">
      <c r="A216" s="9" t="s">
        <v>300</v>
      </c>
      <c r="B216" s="9"/>
      <c r="C216" s="10"/>
      <c r="D216" s="28" t="s">
        <v>328</v>
      </c>
      <c r="E216" s="9" t="s">
        <v>329</v>
      </c>
      <c r="F216" s="33" t="s">
        <v>13</v>
      </c>
      <c r="G216" s="12">
        <v>7353000</v>
      </c>
      <c r="H216" s="13"/>
      <c r="I216" s="12"/>
      <c r="J216" s="14"/>
      <c r="K216" s="15"/>
      <c r="L216" s="15"/>
      <c r="M216" s="12">
        <v>7353000</v>
      </c>
      <c r="N216" s="15"/>
      <c r="O216" s="15"/>
      <c r="P216" s="15"/>
      <c r="Q216" s="15"/>
      <c r="R216" s="15"/>
    </row>
    <row x14ac:dyDescent="0.25" r="217" customHeight="1" ht="20.1">
      <c r="A217" s="9" t="s">
        <v>330</v>
      </c>
      <c r="B217" s="9" t="s">
        <v>20</v>
      </c>
      <c r="C217" s="10">
        <v>200199</v>
      </c>
      <c r="D217" s="17" t="s">
        <v>63</v>
      </c>
      <c r="E217" s="9" t="s">
        <v>331</v>
      </c>
      <c r="F217" s="11" t="s">
        <v>8</v>
      </c>
      <c r="G217" s="12">
        <v>3628800</v>
      </c>
      <c r="H217" s="12">
        <v>3628800</v>
      </c>
      <c r="I217" s="14"/>
      <c r="J217" s="14"/>
      <c r="K217" s="15"/>
      <c r="L217" s="15"/>
      <c r="M217" s="15"/>
      <c r="N217" s="15"/>
      <c r="O217" s="15"/>
      <c r="P217" s="15"/>
      <c r="Q217" s="15"/>
      <c r="R217" s="15"/>
    </row>
    <row x14ac:dyDescent="0.25" r="218" customHeight="1" ht="20.1">
      <c r="A218" s="34" t="s">
        <v>330</v>
      </c>
      <c r="B218" s="34" t="s">
        <v>20</v>
      </c>
      <c r="C218" s="35">
        <v>200148</v>
      </c>
      <c r="D218" s="9" t="s">
        <v>73</v>
      </c>
      <c r="E218" s="34" t="s">
        <v>332</v>
      </c>
      <c r="F218" s="36" t="s">
        <v>10</v>
      </c>
      <c r="G218" s="37">
        <v>11298075</v>
      </c>
      <c r="H218" s="14"/>
      <c r="I218" s="14"/>
      <c r="J218" s="37">
        <v>11298075</v>
      </c>
      <c r="K218" s="15"/>
      <c r="L218" s="15"/>
      <c r="M218" s="15"/>
      <c r="N218" s="15"/>
      <c r="O218" s="15"/>
      <c r="P218" s="15"/>
      <c r="Q218" s="15"/>
      <c r="R218" s="15"/>
    </row>
    <row x14ac:dyDescent="0.25" r="219" customHeight="1" ht="20.1">
      <c r="A219" s="9" t="s">
        <v>330</v>
      </c>
      <c r="B219" s="9" t="s">
        <v>40</v>
      </c>
      <c r="C219" s="10">
        <v>564229</v>
      </c>
      <c r="D219" s="9" t="s">
        <v>26</v>
      </c>
      <c r="E219" s="9" t="s">
        <v>333</v>
      </c>
      <c r="F219" s="11" t="s">
        <v>8</v>
      </c>
      <c r="G219" s="12">
        <v>42759000</v>
      </c>
      <c r="H219" s="12">
        <v>42759000</v>
      </c>
      <c r="I219" s="14"/>
      <c r="J219" s="15"/>
      <c r="K219" s="15"/>
      <c r="L219" s="15"/>
      <c r="M219" s="15"/>
      <c r="N219" s="15"/>
      <c r="O219" s="15"/>
      <c r="P219" s="15"/>
      <c r="Q219" s="15"/>
      <c r="R219" s="15"/>
    </row>
    <row x14ac:dyDescent="0.25" r="220" customHeight="1" ht="20.1">
      <c r="A220" s="9" t="s">
        <v>330</v>
      </c>
      <c r="B220" s="9" t="s">
        <v>25</v>
      </c>
      <c r="C220" s="10"/>
      <c r="D220" s="9" t="s">
        <v>30</v>
      </c>
      <c r="E220" s="9" t="s">
        <v>334</v>
      </c>
      <c r="F220" s="11" t="s">
        <v>13</v>
      </c>
      <c r="G220" s="12">
        <v>17865000</v>
      </c>
      <c r="H220" s="14"/>
      <c r="I220" s="14"/>
      <c r="J220" s="15"/>
      <c r="K220" s="15"/>
      <c r="L220" s="15"/>
      <c r="M220" s="12">
        <v>17865000</v>
      </c>
      <c r="N220" s="15"/>
      <c r="O220" s="15"/>
      <c r="P220" s="15"/>
      <c r="Q220" s="15"/>
      <c r="R220" s="15"/>
    </row>
    <row x14ac:dyDescent="0.25" r="221" customHeight="1" ht="20.1">
      <c r="A221" s="9" t="s">
        <v>330</v>
      </c>
      <c r="B221" s="9" t="s">
        <v>25</v>
      </c>
      <c r="C221" s="10"/>
      <c r="D221" s="9" t="s">
        <v>30</v>
      </c>
      <c r="E221" s="9" t="s">
        <v>335</v>
      </c>
      <c r="F221" s="11" t="s">
        <v>9</v>
      </c>
      <c r="G221" s="12">
        <v>35730000</v>
      </c>
      <c r="H221" s="14"/>
      <c r="I221" s="12">
        <v>35730000</v>
      </c>
      <c r="J221" s="15"/>
      <c r="K221" s="15"/>
      <c r="L221" s="15"/>
      <c r="M221" s="15"/>
      <c r="N221" s="15"/>
      <c r="O221" s="15"/>
      <c r="P221" s="15"/>
      <c r="Q221" s="15"/>
      <c r="R221" s="15"/>
    </row>
    <row x14ac:dyDescent="0.25" r="222" customHeight="1" ht="20.1">
      <c r="A222" s="9" t="s">
        <v>330</v>
      </c>
      <c r="B222" s="9" t="s">
        <v>336</v>
      </c>
      <c r="C222" s="10"/>
      <c r="D222" s="9" t="s">
        <v>30</v>
      </c>
      <c r="E222" s="9" t="s">
        <v>337</v>
      </c>
      <c r="F222" s="11" t="s">
        <v>9</v>
      </c>
      <c r="G222" s="12">
        <v>99650000</v>
      </c>
      <c r="H222" s="14"/>
      <c r="I222" s="12">
        <v>99650000</v>
      </c>
      <c r="J222" s="15"/>
      <c r="K222" s="15"/>
      <c r="L222" s="15"/>
      <c r="M222" s="15"/>
      <c r="N222" s="15"/>
      <c r="O222" s="15"/>
      <c r="P222" s="15"/>
      <c r="Q222" s="15"/>
      <c r="R222" s="15"/>
    </row>
    <row x14ac:dyDescent="0.25" r="223" customHeight="1" ht="20.1">
      <c r="A223" s="9" t="s">
        <v>338</v>
      </c>
      <c r="B223" s="9" t="s">
        <v>25</v>
      </c>
      <c r="C223" s="10"/>
      <c r="D223" s="9" t="s">
        <v>30</v>
      </c>
      <c r="E223" s="9" t="s">
        <v>335</v>
      </c>
      <c r="F223" s="11" t="s">
        <v>13</v>
      </c>
      <c r="G223" s="12">
        <v>35730000</v>
      </c>
      <c r="H223" s="14"/>
      <c r="I223" s="14"/>
      <c r="J223" s="15"/>
      <c r="K223" s="15"/>
      <c r="L223" s="15"/>
      <c r="M223" s="12">
        <v>35730000</v>
      </c>
      <c r="N223" s="15"/>
      <c r="O223" s="15"/>
      <c r="P223" s="15"/>
      <c r="Q223" s="15"/>
      <c r="R223" s="15"/>
    </row>
    <row x14ac:dyDescent="0.25" r="224" customHeight="1" ht="20.1">
      <c r="A224" s="9" t="s">
        <v>338</v>
      </c>
      <c r="B224" s="9" t="s">
        <v>40</v>
      </c>
      <c r="C224" s="10">
        <v>564230</v>
      </c>
      <c r="D224" s="9" t="s">
        <v>26</v>
      </c>
      <c r="E224" s="9" t="s">
        <v>339</v>
      </c>
      <c r="F224" s="11" t="s">
        <v>8</v>
      </c>
      <c r="G224" s="12">
        <v>20000000</v>
      </c>
      <c r="H224" s="12">
        <v>20000000</v>
      </c>
      <c r="I224" s="14"/>
      <c r="J224" s="15"/>
      <c r="K224" s="15"/>
      <c r="L224" s="15"/>
      <c r="M224" s="15"/>
      <c r="N224" s="15"/>
      <c r="O224" s="15"/>
      <c r="P224" s="15"/>
      <c r="Q224" s="15"/>
      <c r="R224" s="15"/>
    </row>
    <row x14ac:dyDescent="0.25" r="225" customHeight="1" ht="20.1">
      <c r="A225" s="9" t="s">
        <v>338</v>
      </c>
      <c r="B225" s="9" t="s">
        <v>28</v>
      </c>
      <c r="C225" s="10">
        <v>849276</v>
      </c>
      <c r="D225" s="9" t="s">
        <v>23</v>
      </c>
      <c r="E225" s="9" t="s">
        <v>340</v>
      </c>
      <c r="F225" s="11" t="s">
        <v>9</v>
      </c>
      <c r="G225" s="12">
        <v>100000</v>
      </c>
      <c r="H225" s="14"/>
      <c r="I225" s="12">
        <v>100000</v>
      </c>
      <c r="J225" s="15"/>
      <c r="K225" s="15"/>
      <c r="L225" s="15"/>
      <c r="M225" s="15"/>
      <c r="N225" s="15"/>
      <c r="O225" s="15"/>
      <c r="P225" s="15"/>
      <c r="Q225" s="15"/>
      <c r="R225" s="15"/>
    </row>
    <row x14ac:dyDescent="0.25" r="226" customHeight="1" ht="20.1">
      <c r="A226" s="9" t="s">
        <v>338</v>
      </c>
      <c r="B226" s="9" t="s">
        <v>28</v>
      </c>
      <c r="C226" s="10">
        <v>849276</v>
      </c>
      <c r="D226" s="9" t="s">
        <v>23</v>
      </c>
      <c r="E226" s="9" t="s">
        <v>341</v>
      </c>
      <c r="F226" s="11" t="s">
        <v>8</v>
      </c>
      <c r="G226" s="12">
        <v>400000</v>
      </c>
      <c r="H226" s="12">
        <v>400000</v>
      </c>
      <c r="I226" s="14"/>
      <c r="J226" s="15"/>
      <c r="K226" s="15"/>
      <c r="L226" s="15"/>
      <c r="M226" s="15"/>
      <c r="N226" s="15"/>
      <c r="O226" s="15"/>
      <c r="P226" s="15"/>
      <c r="Q226" s="15"/>
      <c r="R226" s="15"/>
    </row>
    <row x14ac:dyDescent="0.25" r="227" customHeight="1" ht="20.1">
      <c r="A227" s="9" t="s">
        <v>338</v>
      </c>
      <c r="B227" s="9" t="s">
        <v>51</v>
      </c>
      <c r="C227" s="10" t="s">
        <v>342</v>
      </c>
      <c r="D227" s="9" t="s">
        <v>21</v>
      </c>
      <c r="E227" s="9" t="s">
        <v>343</v>
      </c>
      <c r="F227" s="11" t="s">
        <v>8</v>
      </c>
      <c r="G227" s="12">
        <v>5240989</v>
      </c>
      <c r="H227" s="12">
        <v>5240989</v>
      </c>
      <c r="I227" s="14"/>
      <c r="J227" s="15"/>
      <c r="K227" s="15"/>
      <c r="L227" s="15"/>
      <c r="M227" s="15"/>
      <c r="N227" s="15"/>
      <c r="O227" s="15"/>
      <c r="P227" s="15"/>
      <c r="Q227" s="15"/>
      <c r="R227" s="15"/>
    </row>
    <row x14ac:dyDescent="0.25" r="228" customHeight="1" ht="20.1">
      <c r="A228" s="9" t="s">
        <v>338</v>
      </c>
      <c r="B228" s="9" t="s">
        <v>51</v>
      </c>
      <c r="C228" s="10" t="s">
        <v>342</v>
      </c>
      <c r="D228" s="9" t="s">
        <v>21</v>
      </c>
      <c r="E228" s="9" t="s">
        <v>344</v>
      </c>
      <c r="F228" s="11" t="s">
        <v>9</v>
      </c>
      <c r="G228" s="12">
        <v>3263334</v>
      </c>
      <c r="H228" s="14"/>
      <c r="I228" s="12">
        <v>3263334</v>
      </c>
      <c r="J228" s="15"/>
      <c r="K228" s="15"/>
      <c r="L228" s="15"/>
      <c r="M228" s="15"/>
      <c r="N228" s="15"/>
      <c r="O228" s="15"/>
      <c r="P228" s="15"/>
      <c r="Q228" s="15"/>
      <c r="R228" s="15"/>
    </row>
    <row x14ac:dyDescent="0.25" r="229" customHeight="1" ht="20.1">
      <c r="A229" s="9" t="s">
        <v>338</v>
      </c>
      <c r="B229" s="9" t="s">
        <v>20</v>
      </c>
      <c r="C229" s="10">
        <v>200149</v>
      </c>
      <c r="D229" s="9" t="s">
        <v>30</v>
      </c>
      <c r="E229" s="9" t="s">
        <v>345</v>
      </c>
      <c r="F229" s="11" t="s">
        <v>13</v>
      </c>
      <c r="G229" s="12">
        <v>15595000</v>
      </c>
      <c r="H229" s="14"/>
      <c r="I229" s="14"/>
      <c r="J229" s="15"/>
      <c r="K229" s="15"/>
      <c r="L229" s="15"/>
      <c r="M229" s="12">
        <v>15595000</v>
      </c>
      <c r="N229" s="15"/>
      <c r="O229" s="15"/>
      <c r="P229" s="15"/>
      <c r="Q229" s="15"/>
      <c r="R229" s="15"/>
    </row>
    <row x14ac:dyDescent="0.25" r="230" customHeight="1" ht="20.1">
      <c r="A230" s="9" t="s">
        <v>338</v>
      </c>
      <c r="B230" s="9" t="s">
        <v>151</v>
      </c>
      <c r="C230" s="10" t="s">
        <v>346</v>
      </c>
      <c r="D230" s="9" t="s">
        <v>30</v>
      </c>
      <c r="E230" s="9" t="s">
        <v>345</v>
      </c>
      <c r="F230" s="11" t="s">
        <v>13</v>
      </c>
      <c r="G230" s="12">
        <v>38000000</v>
      </c>
      <c r="H230" s="14"/>
      <c r="I230" s="14"/>
      <c r="J230" s="15"/>
      <c r="K230" s="15"/>
      <c r="L230" s="15"/>
      <c r="M230" s="12">
        <v>38000000</v>
      </c>
      <c r="N230" s="15"/>
      <c r="O230" s="15"/>
      <c r="P230" s="15"/>
      <c r="Q230" s="15"/>
      <c r="R230" s="15"/>
    </row>
    <row x14ac:dyDescent="0.25" r="231" customHeight="1" ht="20.1">
      <c r="A231" s="9" t="s">
        <v>338</v>
      </c>
      <c r="B231" s="9" t="s">
        <v>25</v>
      </c>
      <c r="C231" s="10"/>
      <c r="D231" s="9" t="s">
        <v>26</v>
      </c>
      <c r="E231" s="9" t="s">
        <v>347</v>
      </c>
      <c r="F231" s="11" t="s">
        <v>10</v>
      </c>
      <c r="G231" s="12">
        <v>4693500</v>
      </c>
      <c r="H231" s="14"/>
      <c r="I231" s="14"/>
      <c r="J231" s="12">
        <v>4693500</v>
      </c>
      <c r="K231" s="15"/>
      <c r="L231" s="15"/>
      <c r="M231" s="15"/>
      <c r="N231" s="15"/>
      <c r="O231" s="15"/>
      <c r="P231" s="15"/>
      <c r="Q231" s="15"/>
      <c r="R231" s="15"/>
    </row>
    <row x14ac:dyDescent="0.25" r="232" customHeight="1" ht="20.1">
      <c r="A232" s="9" t="s">
        <v>338</v>
      </c>
      <c r="B232" s="9" t="s">
        <v>214</v>
      </c>
      <c r="C232" s="10"/>
      <c r="D232" s="9" t="s">
        <v>26</v>
      </c>
      <c r="E232" s="9" t="s">
        <v>348</v>
      </c>
      <c r="F232" s="11" t="s">
        <v>8</v>
      </c>
      <c r="G232" s="12">
        <v>14358250</v>
      </c>
      <c r="H232" s="12">
        <v>14358250</v>
      </c>
      <c r="I232" s="14"/>
      <c r="J232" s="15"/>
      <c r="K232" s="15"/>
      <c r="L232" s="15"/>
      <c r="M232" s="15"/>
      <c r="N232" s="15"/>
      <c r="O232" s="15"/>
      <c r="P232" s="15"/>
      <c r="Q232" s="15"/>
      <c r="R232" s="15"/>
    </row>
    <row x14ac:dyDescent="0.25" r="233" customHeight="1" ht="20.1">
      <c r="A233" s="9" t="s">
        <v>338</v>
      </c>
      <c r="B233" s="9" t="s">
        <v>214</v>
      </c>
      <c r="C233" s="10"/>
      <c r="D233" s="9" t="s">
        <v>26</v>
      </c>
      <c r="E233" s="9" t="s">
        <v>349</v>
      </c>
      <c r="F233" s="11" t="s">
        <v>8</v>
      </c>
      <c r="G233" s="12">
        <v>10884750</v>
      </c>
      <c r="H233" s="12">
        <v>10884750</v>
      </c>
      <c r="I233" s="14"/>
      <c r="J233" s="15"/>
      <c r="K233" s="15"/>
      <c r="L233" s="15"/>
      <c r="M233" s="15"/>
      <c r="N233" s="15"/>
      <c r="O233" s="15"/>
      <c r="P233" s="15"/>
      <c r="Q233" s="15"/>
      <c r="R233" s="15"/>
    </row>
    <row x14ac:dyDescent="0.25" r="234" customHeight="1" ht="20.1">
      <c r="A234" s="9" t="s">
        <v>338</v>
      </c>
      <c r="B234" s="9" t="s">
        <v>214</v>
      </c>
      <c r="C234" s="10"/>
      <c r="D234" s="9" t="s">
        <v>26</v>
      </c>
      <c r="E234" s="9" t="s">
        <v>350</v>
      </c>
      <c r="F234" s="11" t="s">
        <v>8</v>
      </c>
      <c r="G234" s="12">
        <v>151000</v>
      </c>
      <c r="H234" s="12">
        <v>151000</v>
      </c>
      <c r="I234" s="14"/>
      <c r="J234" s="15"/>
      <c r="K234" s="15"/>
      <c r="L234" s="15"/>
      <c r="M234" s="15"/>
      <c r="N234" s="15"/>
      <c r="O234" s="15"/>
      <c r="P234" s="15"/>
      <c r="Q234" s="15"/>
      <c r="R234" s="15"/>
    </row>
    <row x14ac:dyDescent="0.25" r="235" customHeight="1" ht="20.1">
      <c r="A235" s="9" t="s">
        <v>351</v>
      </c>
      <c r="B235" s="9" t="s">
        <v>214</v>
      </c>
      <c r="C235" s="10"/>
      <c r="D235" s="9" t="s">
        <v>26</v>
      </c>
      <c r="E235" s="9" t="s">
        <v>352</v>
      </c>
      <c r="F235" s="11" t="s">
        <v>8</v>
      </c>
      <c r="G235" s="12">
        <v>9000000</v>
      </c>
      <c r="H235" s="12">
        <v>9000000</v>
      </c>
      <c r="I235" s="14"/>
      <c r="J235" s="15"/>
      <c r="K235" s="15"/>
      <c r="L235" s="15"/>
      <c r="M235" s="15"/>
      <c r="N235" s="15"/>
      <c r="O235" s="15"/>
      <c r="P235" s="15"/>
      <c r="Q235" s="15"/>
      <c r="R235" s="15"/>
    </row>
    <row x14ac:dyDescent="0.25" r="236" customHeight="1" ht="20.1">
      <c r="A236" s="9" t="s">
        <v>351</v>
      </c>
      <c r="B236" s="9" t="s">
        <v>51</v>
      </c>
      <c r="C236" s="10" t="s">
        <v>353</v>
      </c>
      <c r="D236" s="9" t="s">
        <v>26</v>
      </c>
      <c r="E236" s="9" t="s">
        <v>354</v>
      </c>
      <c r="F236" s="11" t="s">
        <v>10</v>
      </c>
      <c r="G236" s="12">
        <v>84300000</v>
      </c>
      <c r="H236" s="14" t="s">
        <v>355</v>
      </c>
      <c r="I236" s="14"/>
      <c r="J236" s="12">
        <v>84300000</v>
      </c>
      <c r="K236" s="15"/>
      <c r="L236" s="15"/>
      <c r="M236" s="15"/>
      <c r="N236" s="15"/>
      <c r="O236" s="15"/>
      <c r="P236" s="15"/>
      <c r="Q236" s="15"/>
      <c r="R236" s="15"/>
    </row>
    <row x14ac:dyDescent="0.25" r="237" customHeight="1" ht="20.1">
      <c r="A237" s="9" t="s">
        <v>351</v>
      </c>
      <c r="B237" s="9" t="s">
        <v>28</v>
      </c>
      <c r="C237" s="10">
        <v>849279</v>
      </c>
      <c r="D237" s="9" t="s">
        <v>26</v>
      </c>
      <c r="E237" s="9" t="s">
        <v>356</v>
      </c>
      <c r="F237" s="11" t="s">
        <v>10</v>
      </c>
      <c r="G237" s="12">
        <v>55787500</v>
      </c>
      <c r="H237" s="14"/>
      <c r="I237" s="14"/>
      <c r="J237" s="12">
        <v>55787500</v>
      </c>
      <c r="K237" s="15"/>
      <c r="L237" s="15"/>
      <c r="M237" s="15"/>
      <c r="N237" s="15"/>
      <c r="O237" s="15"/>
      <c r="P237" s="15"/>
      <c r="Q237" s="15"/>
      <c r="R237" s="15"/>
    </row>
    <row x14ac:dyDescent="0.25" r="238" customHeight="1" ht="20.1">
      <c r="A238" s="9" t="s">
        <v>351</v>
      </c>
      <c r="B238" s="9" t="s">
        <v>20</v>
      </c>
      <c r="C238" s="10">
        <v>200150</v>
      </c>
      <c r="D238" s="23" t="s">
        <v>26</v>
      </c>
      <c r="E238" s="9" t="s">
        <v>357</v>
      </c>
      <c r="F238" s="11" t="s">
        <v>8</v>
      </c>
      <c r="G238" s="12">
        <v>9775620</v>
      </c>
      <c r="H238" s="12">
        <v>9775620</v>
      </c>
      <c r="I238" s="14"/>
      <c r="J238" s="15"/>
      <c r="K238" s="15"/>
      <c r="L238" s="15"/>
      <c r="M238" s="15"/>
      <c r="N238" s="15"/>
      <c r="O238" s="15"/>
      <c r="P238" s="15"/>
      <c r="Q238" s="15"/>
      <c r="R238" s="15"/>
    </row>
    <row x14ac:dyDescent="0.25" r="239" customHeight="1" ht="20.1">
      <c r="A239" s="9" t="s">
        <v>351</v>
      </c>
      <c r="B239" s="9" t="s">
        <v>358</v>
      </c>
      <c r="C239" s="10"/>
      <c r="D239" s="9" t="s">
        <v>30</v>
      </c>
      <c r="E239" s="9" t="s">
        <v>359</v>
      </c>
      <c r="F239" s="11" t="s">
        <v>9</v>
      </c>
      <c r="G239" s="12">
        <v>128700000</v>
      </c>
      <c r="H239" s="14"/>
      <c r="I239" s="12">
        <v>128700000</v>
      </c>
      <c r="J239" s="15"/>
      <c r="K239" s="15"/>
      <c r="L239" s="15"/>
      <c r="M239" s="15"/>
      <c r="N239" s="15"/>
      <c r="O239" s="15"/>
      <c r="P239" s="15"/>
      <c r="Q239" s="15"/>
      <c r="R239" s="15"/>
    </row>
    <row x14ac:dyDescent="0.25" r="240" customHeight="1" ht="20.1">
      <c r="A240" s="9" t="s">
        <v>351</v>
      </c>
      <c r="B240" s="9" t="s">
        <v>25</v>
      </c>
      <c r="C240" s="10"/>
      <c r="D240" s="9" t="s">
        <v>30</v>
      </c>
      <c r="E240" s="9" t="s">
        <v>360</v>
      </c>
      <c r="F240" s="11" t="s">
        <v>13</v>
      </c>
      <c r="G240" s="12">
        <v>1786500</v>
      </c>
      <c r="H240" s="14"/>
      <c r="I240" s="14"/>
      <c r="J240" s="15"/>
      <c r="K240" s="15"/>
      <c r="L240" s="15"/>
      <c r="M240" s="12">
        <v>1786500</v>
      </c>
      <c r="N240" s="15"/>
      <c r="O240" s="15"/>
      <c r="P240" s="15"/>
      <c r="Q240" s="15"/>
      <c r="R240" s="15"/>
    </row>
    <row x14ac:dyDescent="0.25" r="241" customHeight="1" ht="20.1">
      <c r="A241" s="9" t="s">
        <v>361</v>
      </c>
      <c r="B241" s="9" t="s">
        <v>25</v>
      </c>
      <c r="C241" s="10"/>
      <c r="D241" s="9" t="s">
        <v>26</v>
      </c>
      <c r="E241" s="9" t="s">
        <v>362</v>
      </c>
      <c r="F241" s="11" t="s">
        <v>10</v>
      </c>
      <c r="G241" s="12">
        <v>2298700</v>
      </c>
      <c r="H241" s="14"/>
      <c r="I241" s="14"/>
      <c r="J241" s="12">
        <v>2298700</v>
      </c>
      <c r="K241" s="15"/>
      <c r="L241" s="15"/>
      <c r="M241" s="15"/>
      <c r="N241" s="15"/>
      <c r="O241" s="15"/>
      <c r="P241" s="15"/>
      <c r="Q241" s="15"/>
      <c r="R241" s="15"/>
    </row>
    <row x14ac:dyDescent="0.25" r="242" customHeight="1" ht="20.1">
      <c r="A242" s="9" t="s">
        <v>361</v>
      </c>
      <c r="B242" s="9" t="s">
        <v>25</v>
      </c>
      <c r="C242" s="10"/>
      <c r="D242" s="9" t="s">
        <v>26</v>
      </c>
      <c r="E242" s="9" t="s">
        <v>363</v>
      </c>
      <c r="F242" s="11" t="s">
        <v>10</v>
      </c>
      <c r="G242" s="12">
        <v>15730300</v>
      </c>
      <c r="H242" s="14"/>
      <c r="I242" s="14"/>
      <c r="J242" s="12">
        <v>15730300</v>
      </c>
      <c r="K242" s="15"/>
      <c r="L242" s="15"/>
      <c r="M242" s="15"/>
      <c r="N242" s="15"/>
      <c r="O242" s="15"/>
      <c r="P242" s="15"/>
      <c r="Q242" s="15"/>
      <c r="R242" s="15"/>
    </row>
    <row x14ac:dyDescent="0.25" r="243" customHeight="1" ht="20.1">
      <c r="A243" s="9" t="s">
        <v>361</v>
      </c>
      <c r="B243" s="9" t="s">
        <v>25</v>
      </c>
      <c r="C243" s="10"/>
      <c r="D243" s="9" t="s">
        <v>26</v>
      </c>
      <c r="E243" s="9" t="s">
        <v>364</v>
      </c>
      <c r="F243" s="11" t="s">
        <v>10</v>
      </c>
      <c r="G243" s="12">
        <v>9304000</v>
      </c>
      <c r="H243" s="14"/>
      <c r="I243" s="14"/>
      <c r="J243" s="12">
        <v>9304000</v>
      </c>
      <c r="K243" s="15"/>
      <c r="L243" s="15"/>
      <c r="M243" s="15"/>
      <c r="N243" s="15"/>
      <c r="O243" s="15"/>
      <c r="P243" s="15"/>
      <c r="Q243" s="15"/>
      <c r="R243" s="15"/>
    </row>
    <row x14ac:dyDescent="0.25" r="244" customHeight="1" ht="20.1">
      <c r="A244" s="9" t="s">
        <v>361</v>
      </c>
      <c r="B244" s="9" t="s">
        <v>25</v>
      </c>
      <c r="C244" s="10"/>
      <c r="D244" s="9" t="s">
        <v>26</v>
      </c>
      <c r="E244" s="9" t="s">
        <v>365</v>
      </c>
      <c r="F244" s="11" t="s">
        <v>8</v>
      </c>
      <c r="G244" s="12">
        <v>8160750</v>
      </c>
      <c r="H244" s="12">
        <v>8160750</v>
      </c>
      <c r="I244" s="14"/>
      <c r="J244" s="15"/>
      <c r="K244" s="15"/>
      <c r="L244" s="15"/>
      <c r="M244" s="15"/>
      <c r="N244" s="15"/>
      <c r="O244" s="15"/>
      <c r="P244" s="15"/>
      <c r="Q244" s="15"/>
      <c r="R244" s="15"/>
    </row>
    <row x14ac:dyDescent="0.25" r="245" customHeight="1" ht="20.1">
      <c r="A245" s="9" t="s">
        <v>361</v>
      </c>
      <c r="B245" s="9" t="s">
        <v>25</v>
      </c>
      <c r="C245" s="10"/>
      <c r="D245" s="9" t="s">
        <v>26</v>
      </c>
      <c r="E245" s="9" t="s">
        <v>366</v>
      </c>
      <c r="F245" s="11" t="s">
        <v>8</v>
      </c>
      <c r="G245" s="12">
        <v>2879250</v>
      </c>
      <c r="H245" s="12">
        <v>2879250</v>
      </c>
      <c r="I245" s="14"/>
      <c r="J245" s="15"/>
      <c r="K245" s="15"/>
      <c r="L245" s="15"/>
      <c r="M245" s="15"/>
      <c r="N245" s="15"/>
      <c r="O245" s="15"/>
      <c r="P245" s="15"/>
      <c r="Q245" s="15"/>
      <c r="R245" s="15"/>
    </row>
    <row x14ac:dyDescent="0.25" r="246" customHeight="1" ht="20.1">
      <c r="A246" s="9" t="s">
        <v>367</v>
      </c>
      <c r="B246" s="9" t="s">
        <v>25</v>
      </c>
      <c r="C246" s="10"/>
      <c r="D246" s="9" t="s">
        <v>26</v>
      </c>
      <c r="E246" s="9" t="s">
        <v>368</v>
      </c>
      <c r="F246" s="11" t="s">
        <v>8</v>
      </c>
      <c r="G246" s="12">
        <v>18000000</v>
      </c>
      <c r="H246" s="12">
        <v>18000000</v>
      </c>
      <c r="I246" s="14"/>
      <c r="J246" s="15"/>
      <c r="K246" s="15"/>
      <c r="L246" s="15"/>
      <c r="M246" s="15"/>
      <c r="N246" s="15"/>
      <c r="O246" s="15"/>
      <c r="P246" s="15"/>
      <c r="Q246" s="15"/>
      <c r="R246" s="15"/>
    </row>
    <row x14ac:dyDescent="0.25" r="247" customHeight="1" ht="20.1">
      <c r="A247" s="9" t="s">
        <v>367</v>
      </c>
      <c r="B247" s="9" t="s">
        <v>358</v>
      </c>
      <c r="C247" s="10"/>
      <c r="D247" s="9" t="s">
        <v>30</v>
      </c>
      <c r="E247" s="9" t="s">
        <v>369</v>
      </c>
      <c r="F247" s="11" t="s">
        <v>9</v>
      </c>
      <c r="G247" s="12">
        <v>989000</v>
      </c>
      <c r="H247" s="14"/>
      <c r="I247" s="12">
        <v>989000</v>
      </c>
      <c r="J247" s="15"/>
      <c r="K247" s="15"/>
      <c r="L247" s="15"/>
      <c r="M247" s="15"/>
      <c r="N247" s="15"/>
      <c r="O247" s="15"/>
      <c r="P247" s="15"/>
      <c r="Q247" s="15"/>
      <c r="R247" s="15"/>
    </row>
    <row x14ac:dyDescent="0.25" r="248" customHeight="1" ht="20.1">
      <c r="A248" s="9" t="s">
        <v>367</v>
      </c>
      <c r="B248" s="9" t="s">
        <v>28</v>
      </c>
      <c r="C248" s="10">
        <v>849281</v>
      </c>
      <c r="D248" s="23" t="s">
        <v>183</v>
      </c>
      <c r="E248" s="9" t="s">
        <v>370</v>
      </c>
      <c r="F248" s="11" t="s">
        <v>10</v>
      </c>
      <c r="G248" s="12">
        <v>13028463</v>
      </c>
      <c r="H248" s="14"/>
      <c r="I248" s="14"/>
      <c r="J248" s="12">
        <v>13028463</v>
      </c>
      <c r="K248" s="15"/>
      <c r="L248" s="15"/>
      <c r="M248" s="15"/>
      <c r="N248" s="15"/>
      <c r="O248" s="15"/>
      <c r="P248" s="15"/>
      <c r="Q248" s="15"/>
      <c r="R248" s="15"/>
    </row>
    <row x14ac:dyDescent="0.25" r="249" customHeight="1" ht="20.1">
      <c r="A249" s="9" t="s">
        <v>367</v>
      </c>
      <c r="B249" s="9" t="s">
        <v>28</v>
      </c>
      <c r="C249" s="10">
        <v>849280</v>
      </c>
      <c r="D249" s="9" t="s">
        <v>26</v>
      </c>
      <c r="E249" s="9" t="s">
        <v>371</v>
      </c>
      <c r="F249" s="11" t="s">
        <v>10</v>
      </c>
      <c r="G249" s="12">
        <v>50000000</v>
      </c>
      <c r="H249" s="14"/>
      <c r="I249" s="14"/>
      <c r="J249" s="12">
        <v>50000000</v>
      </c>
      <c r="K249" s="15"/>
      <c r="L249" s="15"/>
      <c r="M249" s="15"/>
      <c r="N249" s="15"/>
      <c r="O249" s="15"/>
      <c r="P249" s="15"/>
      <c r="Q249" s="15"/>
      <c r="R249" s="15"/>
    </row>
    <row x14ac:dyDescent="0.25" r="250" customHeight="1" ht="20.1">
      <c r="A250" s="9" t="s">
        <v>367</v>
      </c>
      <c r="B250" s="9" t="s">
        <v>20</v>
      </c>
      <c r="C250" s="10">
        <v>200151</v>
      </c>
      <c r="D250" s="9" t="s">
        <v>59</v>
      </c>
      <c r="E250" s="9" t="s">
        <v>372</v>
      </c>
      <c r="F250" s="11" t="s">
        <v>10</v>
      </c>
      <c r="G250" s="12">
        <v>811980</v>
      </c>
      <c r="H250" s="14"/>
      <c r="I250" s="14"/>
      <c r="J250" s="12">
        <v>811980</v>
      </c>
      <c r="K250" s="15"/>
      <c r="L250" s="15"/>
      <c r="M250" s="15"/>
      <c r="N250" s="15"/>
      <c r="O250" s="15"/>
      <c r="P250" s="15"/>
      <c r="Q250" s="15"/>
      <c r="R250" s="15"/>
    </row>
    <row x14ac:dyDescent="0.25" r="251" customHeight="1" ht="20.1">
      <c r="A251" s="9" t="s">
        <v>367</v>
      </c>
      <c r="B251" s="9" t="s">
        <v>20</v>
      </c>
      <c r="C251" s="10">
        <v>200151</v>
      </c>
      <c r="D251" s="9" t="s">
        <v>30</v>
      </c>
      <c r="E251" s="9" t="s">
        <v>334</v>
      </c>
      <c r="F251" s="11" t="s">
        <v>13</v>
      </c>
      <c r="G251" s="12">
        <v>17865000</v>
      </c>
      <c r="H251" s="14"/>
      <c r="I251" s="14"/>
      <c r="J251" s="15"/>
      <c r="K251" s="15"/>
      <c r="L251" s="15"/>
      <c r="M251" s="12">
        <v>17865000</v>
      </c>
      <c r="N251" s="15"/>
      <c r="O251" s="15"/>
      <c r="P251" s="15"/>
      <c r="Q251" s="15"/>
      <c r="R251" s="15"/>
    </row>
    <row x14ac:dyDescent="0.25" r="252" customHeight="1" ht="20.1">
      <c r="A252" s="9" t="s">
        <v>367</v>
      </c>
      <c r="B252" s="9" t="s">
        <v>20</v>
      </c>
      <c r="C252" s="10">
        <v>200151</v>
      </c>
      <c r="D252" s="9" t="s">
        <v>38</v>
      </c>
      <c r="E252" s="9" t="s">
        <v>373</v>
      </c>
      <c r="F252" s="11" t="s">
        <v>13</v>
      </c>
      <c r="G252" s="12">
        <v>223450</v>
      </c>
      <c r="H252" s="14"/>
      <c r="I252" s="14"/>
      <c r="J252" s="15"/>
      <c r="K252" s="15"/>
      <c r="L252" s="15"/>
      <c r="M252" s="12">
        <v>223450</v>
      </c>
      <c r="N252" s="15"/>
      <c r="O252" s="15"/>
      <c r="P252" s="15"/>
      <c r="Q252" s="15"/>
      <c r="R252" s="15"/>
    </row>
    <row x14ac:dyDescent="0.25" r="253" customHeight="1" ht="20.1">
      <c r="A253" s="9" t="s">
        <v>367</v>
      </c>
      <c r="B253" s="9" t="s">
        <v>20</v>
      </c>
      <c r="C253" s="10">
        <v>200151</v>
      </c>
      <c r="D253" s="9" t="s">
        <v>61</v>
      </c>
      <c r="E253" s="9" t="s">
        <v>374</v>
      </c>
      <c r="F253" s="11" t="s">
        <v>9</v>
      </c>
      <c r="G253" s="12">
        <v>147420</v>
      </c>
      <c r="H253" s="14"/>
      <c r="I253" s="12">
        <v>147420</v>
      </c>
      <c r="J253" s="38"/>
      <c r="K253" s="38"/>
      <c r="L253" s="38"/>
      <c r="M253" s="38"/>
      <c r="N253" s="38"/>
      <c r="O253" s="38"/>
      <c r="P253" s="38"/>
      <c r="Q253" s="38"/>
      <c r="R253" s="38"/>
    </row>
    <row x14ac:dyDescent="0.25" r="254" customHeight="1" ht="20.1">
      <c r="A254" s="9" t="s">
        <v>367</v>
      </c>
      <c r="B254" s="9" t="s">
        <v>20</v>
      </c>
      <c r="C254" s="10">
        <v>200151</v>
      </c>
      <c r="D254" s="9" t="s">
        <v>43</v>
      </c>
      <c r="E254" s="9" t="s">
        <v>375</v>
      </c>
      <c r="F254" s="11" t="s">
        <v>17</v>
      </c>
      <c r="G254" s="12">
        <v>2100</v>
      </c>
      <c r="H254" s="14"/>
      <c r="I254" s="14"/>
      <c r="J254" s="15"/>
      <c r="K254" s="15"/>
      <c r="L254" s="15"/>
      <c r="M254" s="15"/>
      <c r="N254" s="15"/>
      <c r="O254" s="15"/>
      <c r="P254" s="15"/>
      <c r="Q254" s="12">
        <v>2100</v>
      </c>
      <c r="R254" s="15"/>
    </row>
    <row x14ac:dyDescent="0.25" r="255" customHeight="1" ht="20.1">
      <c r="A255" s="9" t="s">
        <v>367</v>
      </c>
      <c r="B255" s="9" t="s">
        <v>20</v>
      </c>
      <c r="C255" s="10">
        <v>200151</v>
      </c>
      <c r="D255" s="9" t="s">
        <v>63</v>
      </c>
      <c r="E255" s="9" t="s">
        <v>376</v>
      </c>
      <c r="F255" s="11" t="s">
        <v>8</v>
      </c>
      <c r="G255" s="12">
        <v>862810</v>
      </c>
      <c r="H255" s="12">
        <v>862810</v>
      </c>
      <c r="I255" s="14"/>
      <c r="J255" s="15"/>
      <c r="K255" s="15"/>
      <c r="L255" s="15"/>
      <c r="M255" s="15"/>
      <c r="N255" s="15"/>
      <c r="O255" s="15"/>
      <c r="P255" s="15"/>
      <c r="Q255" s="15"/>
      <c r="R255" s="15"/>
    </row>
    <row x14ac:dyDescent="0.25" r="256" customHeight="1" ht="20.1">
      <c r="A256" s="9" t="s">
        <v>377</v>
      </c>
      <c r="B256" s="9" t="s">
        <v>25</v>
      </c>
      <c r="C256" s="10"/>
      <c r="D256" s="9" t="s">
        <v>26</v>
      </c>
      <c r="E256" s="9" t="s">
        <v>378</v>
      </c>
      <c r="F256" s="11" t="s">
        <v>8</v>
      </c>
      <c r="G256" s="12">
        <v>10010000</v>
      </c>
      <c r="H256" s="12">
        <v>10010000</v>
      </c>
      <c r="I256" s="14"/>
      <c r="J256" s="15"/>
      <c r="K256" s="15"/>
      <c r="L256" s="15"/>
      <c r="M256" s="15"/>
      <c r="N256" s="15"/>
      <c r="O256" s="15"/>
      <c r="P256" s="15"/>
      <c r="Q256" s="15"/>
      <c r="R256" s="15"/>
    </row>
    <row x14ac:dyDescent="0.25" r="257" customHeight="1" ht="20.1">
      <c r="A257" s="9" t="s">
        <v>377</v>
      </c>
      <c r="B257" s="9" t="s">
        <v>40</v>
      </c>
      <c r="C257" s="10">
        <v>564233</v>
      </c>
      <c r="D257" s="9" t="s">
        <v>30</v>
      </c>
      <c r="E257" s="9" t="s">
        <v>379</v>
      </c>
      <c r="F257" s="11" t="s">
        <v>13</v>
      </c>
      <c r="G257" s="12">
        <v>8932500</v>
      </c>
      <c r="H257" s="14"/>
      <c r="I257" s="14"/>
      <c r="J257" s="15"/>
      <c r="K257" s="15"/>
      <c r="L257" s="15"/>
      <c r="M257" s="12">
        <v>8932500</v>
      </c>
      <c r="N257" s="15"/>
      <c r="O257" s="15"/>
      <c r="P257" s="15"/>
      <c r="Q257" s="15"/>
      <c r="R257" s="15"/>
    </row>
    <row x14ac:dyDescent="0.25" r="258" customHeight="1" ht="20.1">
      <c r="A258" s="9" t="s">
        <v>377</v>
      </c>
      <c r="B258" s="9" t="s">
        <v>380</v>
      </c>
      <c r="C258" s="10" t="s">
        <v>381</v>
      </c>
      <c r="D258" s="23" t="s">
        <v>183</v>
      </c>
      <c r="E258" s="9" t="s">
        <v>382</v>
      </c>
      <c r="F258" s="11" t="s">
        <v>13</v>
      </c>
      <c r="G258" s="12">
        <v>1527500</v>
      </c>
      <c r="H258" s="14"/>
      <c r="I258" s="14"/>
      <c r="J258" s="15"/>
      <c r="K258" s="15"/>
      <c r="L258" s="15"/>
      <c r="M258" s="12">
        <v>1527500</v>
      </c>
      <c r="N258" s="15"/>
      <c r="O258" s="15"/>
      <c r="P258" s="15"/>
      <c r="Q258" s="15"/>
      <c r="R258" s="15"/>
    </row>
    <row x14ac:dyDescent="0.25" r="259" customHeight="1" ht="20.1">
      <c r="A259" s="9" t="s">
        <v>377</v>
      </c>
      <c r="B259" s="9" t="s">
        <v>380</v>
      </c>
      <c r="C259" s="10" t="s">
        <v>383</v>
      </c>
      <c r="D259" s="23" t="s">
        <v>183</v>
      </c>
      <c r="E259" s="9" t="s">
        <v>384</v>
      </c>
      <c r="F259" s="11" t="s">
        <v>13</v>
      </c>
      <c r="G259" s="12">
        <v>5804500</v>
      </c>
      <c r="H259" s="14"/>
      <c r="I259" s="14"/>
      <c r="J259" s="15"/>
      <c r="K259" s="15"/>
      <c r="L259" s="15"/>
      <c r="M259" s="12">
        <v>5804500</v>
      </c>
      <c r="N259" s="15"/>
      <c r="O259" s="15"/>
      <c r="P259" s="15"/>
      <c r="Q259" s="15"/>
      <c r="R259" s="15"/>
    </row>
    <row x14ac:dyDescent="0.25" r="260" customHeight="1" ht="20.1">
      <c r="A260" s="9" t="s">
        <v>377</v>
      </c>
      <c r="B260" s="9" t="s">
        <v>20</v>
      </c>
      <c r="C260" s="10">
        <v>200152</v>
      </c>
      <c r="D260" s="9" t="s">
        <v>73</v>
      </c>
      <c r="E260" s="9" t="s">
        <v>385</v>
      </c>
      <c r="F260" s="11" t="s">
        <v>10</v>
      </c>
      <c r="G260" s="12">
        <v>11661825</v>
      </c>
      <c r="H260" s="14"/>
      <c r="I260" s="14"/>
      <c r="J260" s="12">
        <v>11661825</v>
      </c>
      <c r="K260" s="15"/>
      <c r="L260" s="15"/>
      <c r="M260" s="15"/>
      <c r="N260" s="15"/>
      <c r="O260" s="15"/>
      <c r="P260" s="15"/>
      <c r="Q260" s="15"/>
      <c r="R260" s="15"/>
    </row>
    <row x14ac:dyDescent="0.25" r="261" customHeight="1" ht="20.1">
      <c r="A261" s="9" t="s">
        <v>377</v>
      </c>
      <c r="B261" s="9" t="s">
        <v>20</v>
      </c>
      <c r="C261" s="10">
        <v>200152</v>
      </c>
      <c r="D261" s="9" t="s">
        <v>75</v>
      </c>
      <c r="E261" s="9" t="s">
        <v>386</v>
      </c>
      <c r="F261" s="11" t="s">
        <v>8</v>
      </c>
      <c r="G261" s="12">
        <v>20253430</v>
      </c>
      <c r="H261" s="12">
        <v>20253430</v>
      </c>
      <c r="I261" s="14"/>
      <c r="J261" s="15"/>
      <c r="K261" s="15"/>
      <c r="L261" s="15"/>
      <c r="M261" s="15"/>
      <c r="N261" s="15"/>
      <c r="O261" s="15"/>
      <c r="P261" s="15"/>
      <c r="Q261" s="15"/>
      <c r="R261" s="15"/>
    </row>
    <row x14ac:dyDescent="0.25" r="262" customHeight="1" ht="20.1">
      <c r="A262" s="9" t="s">
        <v>377</v>
      </c>
      <c r="B262" s="9" t="s">
        <v>40</v>
      </c>
      <c r="C262" s="10">
        <v>564232</v>
      </c>
      <c r="D262" s="9" t="s">
        <v>26</v>
      </c>
      <c r="E262" s="9" t="s">
        <v>387</v>
      </c>
      <c r="F262" s="11" t="s">
        <v>10</v>
      </c>
      <c r="G262" s="12">
        <v>23124000</v>
      </c>
      <c r="H262" s="14"/>
      <c r="I262" s="14"/>
      <c r="J262" s="12">
        <v>23124000</v>
      </c>
      <c r="K262" s="15"/>
      <c r="L262" s="15"/>
      <c r="M262" s="15"/>
      <c r="N262" s="15"/>
      <c r="O262" s="15"/>
      <c r="P262" s="15"/>
      <c r="Q262" s="15"/>
      <c r="R262" s="15"/>
    </row>
    <row x14ac:dyDescent="0.25" r="263" customHeight="1" ht="20.1">
      <c r="A263" s="9" t="s">
        <v>377</v>
      </c>
      <c r="B263" s="9" t="s">
        <v>51</v>
      </c>
      <c r="C263" s="10" t="s">
        <v>388</v>
      </c>
      <c r="D263" s="9" t="s">
        <v>26</v>
      </c>
      <c r="E263" s="9" t="s">
        <v>389</v>
      </c>
      <c r="F263" s="11" t="s">
        <v>10</v>
      </c>
      <c r="G263" s="12">
        <v>66487500</v>
      </c>
      <c r="H263" s="14"/>
      <c r="I263" s="14"/>
      <c r="J263" s="12">
        <v>66487500</v>
      </c>
      <c r="K263" s="15"/>
      <c r="L263" s="15"/>
      <c r="M263" s="15"/>
      <c r="N263" s="15"/>
      <c r="O263" s="15"/>
      <c r="P263" s="15"/>
      <c r="Q263" s="15"/>
      <c r="R263" s="15"/>
    </row>
    <row x14ac:dyDescent="0.25" r="264" customHeight="1" ht="20.1">
      <c r="A264" s="9" t="s">
        <v>377</v>
      </c>
      <c r="B264" s="9" t="s">
        <v>40</v>
      </c>
      <c r="C264" s="10">
        <v>564232</v>
      </c>
      <c r="D264" s="24" t="s">
        <v>71</v>
      </c>
      <c r="E264" s="9" t="s">
        <v>390</v>
      </c>
      <c r="F264" s="11" t="s">
        <v>10</v>
      </c>
      <c r="G264" s="12">
        <v>3126910</v>
      </c>
      <c r="H264" s="14"/>
      <c r="I264" s="14"/>
      <c r="J264" s="12">
        <v>3126910</v>
      </c>
      <c r="K264" s="15"/>
      <c r="L264" s="15"/>
      <c r="M264" s="15"/>
      <c r="N264" s="15"/>
      <c r="O264" s="15"/>
      <c r="P264" s="15"/>
      <c r="Q264" s="15"/>
      <c r="R264" s="15"/>
    </row>
    <row x14ac:dyDescent="0.25" r="265" customHeight="1" ht="20.1">
      <c r="A265" s="9" t="s">
        <v>391</v>
      </c>
      <c r="B265" s="9" t="s">
        <v>392</v>
      </c>
      <c r="C265" s="10" t="s">
        <v>393</v>
      </c>
      <c r="D265" s="23" t="s">
        <v>183</v>
      </c>
      <c r="E265" s="9" t="s">
        <v>394</v>
      </c>
      <c r="F265" s="11" t="s">
        <v>14</v>
      </c>
      <c r="G265" s="12">
        <v>392190</v>
      </c>
      <c r="H265" s="14"/>
      <c r="I265" s="14"/>
      <c r="J265" s="15"/>
      <c r="K265" s="15"/>
      <c r="L265" s="15"/>
      <c r="M265" s="15"/>
      <c r="N265" s="12">
        <v>392190</v>
      </c>
      <c r="O265" s="15"/>
      <c r="P265" s="15"/>
      <c r="Q265" s="15"/>
      <c r="R265" s="15"/>
    </row>
    <row x14ac:dyDescent="0.25" r="266" customHeight="1" ht="20.1">
      <c r="A266" s="9" t="s">
        <v>391</v>
      </c>
      <c r="B266" s="9" t="s">
        <v>40</v>
      </c>
      <c r="C266" s="10">
        <v>564234</v>
      </c>
      <c r="D266" s="9" t="s">
        <v>86</v>
      </c>
      <c r="E266" s="9" t="s">
        <v>395</v>
      </c>
      <c r="F266" s="11" t="s">
        <v>8</v>
      </c>
      <c r="G266" s="12">
        <v>6060240</v>
      </c>
      <c r="H266" s="12">
        <v>6060240</v>
      </c>
      <c r="I266" s="14"/>
      <c r="J266" s="15"/>
      <c r="K266" s="15"/>
      <c r="L266" s="15"/>
      <c r="M266" s="15"/>
      <c r="N266" s="15"/>
      <c r="O266" s="15"/>
      <c r="P266" s="15"/>
      <c r="Q266" s="15"/>
      <c r="R266" s="15"/>
    </row>
    <row x14ac:dyDescent="0.25" r="267" customHeight="1" ht="20.1">
      <c r="A267" s="9" t="s">
        <v>391</v>
      </c>
      <c r="B267" s="9" t="s">
        <v>20</v>
      </c>
      <c r="C267" s="10">
        <v>200154</v>
      </c>
      <c r="D267" s="9" t="s">
        <v>26</v>
      </c>
      <c r="E267" s="9" t="s">
        <v>396</v>
      </c>
      <c r="F267" s="11" t="s">
        <v>8</v>
      </c>
      <c r="G267" s="12">
        <v>19400000</v>
      </c>
      <c r="H267" s="12">
        <v>19400000</v>
      </c>
      <c r="I267" s="14"/>
      <c r="J267" s="15"/>
      <c r="K267" s="15"/>
      <c r="L267" s="15"/>
      <c r="M267" s="15"/>
      <c r="N267" s="15"/>
      <c r="O267" s="15"/>
      <c r="P267" s="15"/>
      <c r="Q267" s="15"/>
      <c r="R267" s="15"/>
    </row>
    <row x14ac:dyDescent="0.25" r="268" customHeight="1" ht="20.1">
      <c r="A268" s="9" t="s">
        <v>391</v>
      </c>
      <c r="B268" s="9" t="s">
        <v>20</v>
      </c>
      <c r="C268" s="10">
        <v>200200</v>
      </c>
      <c r="D268" s="9" t="s">
        <v>21</v>
      </c>
      <c r="E268" s="9" t="s">
        <v>397</v>
      </c>
      <c r="F268" s="11" t="s">
        <v>9</v>
      </c>
      <c r="G268" s="12">
        <v>22740662</v>
      </c>
      <c r="H268" s="14"/>
      <c r="I268" s="12">
        <v>22740662</v>
      </c>
      <c r="J268" s="15"/>
      <c r="K268" s="15"/>
      <c r="L268" s="15"/>
      <c r="M268" s="15"/>
      <c r="N268" s="15"/>
      <c r="O268" s="15"/>
      <c r="P268" s="15"/>
      <c r="Q268" s="15"/>
      <c r="R268" s="15"/>
    </row>
    <row x14ac:dyDescent="0.25" r="269" customHeight="1" ht="20.1">
      <c r="A269" s="9" t="s">
        <v>391</v>
      </c>
      <c r="B269" s="9" t="s">
        <v>20</v>
      </c>
      <c r="C269" s="10">
        <v>200153</v>
      </c>
      <c r="D269" s="9" t="s">
        <v>23</v>
      </c>
      <c r="E269" s="9" t="s">
        <v>398</v>
      </c>
      <c r="F269" s="11" t="s">
        <v>9</v>
      </c>
      <c r="G269" s="12">
        <v>800000</v>
      </c>
      <c r="H269" s="14"/>
      <c r="I269" s="12">
        <v>800000</v>
      </c>
      <c r="J269" s="15"/>
      <c r="K269" s="15"/>
      <c r="L269" s="15"/>
      <c r="M269" s="15"/>
      <c r="N269" s="15"/>
      <c r="O269" s="15"/>
      <c r="P269" s="15"/>
      <c r="Q269" s="15"/>
      <c r="R269" s="15"/>
    </row>
    <row x14ac:dyDescent="0.25" r="270" customHeight="1" ht="20.1">
      <c r="A270" s="9" t="s">
        <v>391</v>
      </c>
      <c r="B270" s="9" t="s">
        <v>25</v>
      </c>
      <c r="C270" s="10"/>
      <c r="D270" s="9" t="s">
        <v>30</v>
      </c>
      <c r="E270" s="9" t="s">
        <v>399</v>
      </c>
      <c r="F270" s="11" t="s">
        <v>11</v>
      </c>
      <c r="G270" s="12">
        <v>44662500</v>
      </c>
      <c r="H270" s="14"/>
      <c r="I270" s="14"/>
      <c r="J270" s="15"/>
      <c r="K270" s="12">
        <v>44662500</v>
      </c>
      <c r="L270" s="15"/>
      <c r="M270" s="15"/>
      <c r="N270" s="15"/>
      <c r="O270" s="15"/>
      <c r="P270" s="15"/>
      <c r="Q270" s="15"/>
      <c r="R270" s="15"/>
    </row>
    <row x14ac:dyDescent="0.25" r="271" customHeight="1" ht="20.1">
      <c r="A271" s="9" t="s">
        <v>400</v>
      </c>
      <c r="B271" s="9" t="s">
        <v>25</v>
      </c>
      <c r="C271" s="10"/>
      <c r="D271" s="9" t="s">
        <v>26</v>
      </c>
      <c r="E271" s="9" t="s">
        <v>401</v>
      </c>
      <c r="F271" s="11" t="s">
        <v>10</v>
      </c>
      <c r="G271" s="12">
        <v>13824000</v>
      </c>
      <c r="H271" s="14"/>
      <c r="I271" s="14"/>
      <c r="J271" s="12">
        <v>13824000</v>
      </c>
      <c r="K271" s="15"/>
      <c r="L271" s="15"/>
      <c r="M271" s="15"/>
      <c r="N271" s="15"/>
      <c r="O271" s="15"/>
      <c r="P271" s="15"/>
      <c r="Q271" s="15"/>
      <c r="R271" s="15"/>
    </row>
    <row x14ac:dyDescent="0.25" r="272" customHeight="1" ht="20.1">
      <c r="A272" s="9" t="s">
        <v>400</v>
      </c>
      <c r="B272" s="9" t="s">
        <v>25</v>
      </c>
      <c r="C272" s="10"/>
      <c r="D272" s="9" t="s">
        <v>26</v>
      </c>
      <c r="E272" s="9" t="s">
        <v>402</v>
      </c>
      <c r="F272" s="11" t="s">
        <v>8</v>
      </c>
      <c r="G272" s="12">
        <v>19000000</v>
      </c>
      <c r="H272" s="12">
        <v>19000000</v>
      </c>
      <c r="I272" s="14"/>
      <c r="J272" s="15"/>
      <c r="K272" s="15"/>
      <c r="L272" s="15"/>
      <c r="M272" s="15"/>
      <c r="N272" s="15"/>
      <c r="O272" s="15"/>
      <c r="P272" s="15"/>
      <c r="Q272" s="15"/>
      <c r="R272" s="15"/>
    </row>
    <row x14ac:dyDescent="0.25" r="273" customHeight="1" ht="20.1">
      <c r="A273" s="9" t="s">
        <v>400</v>
      </c>
      <c r="B273" s="9" t="s">
        <v>100</v>
      </c>
      <c r="C273" s="10" t="s">
        <v>403</v>
      </c>
      <c r="D273" s="23" t="s">
        <v>77</v>
      </c>
      <c r="E273" s="9" t="s">
        <v>404</v>
      </c>
      <c r="F273" s="11" t="s">
        <v>8</v>
      </c>
      <c r="G273" s="12">
        <v>52551720</v>
      </c>
      <c r="H273" s="12">
        <v>52551720</v>
      </c>
      <c r="I273" s="14"/>
      <c r="J273" s="15"/>
      <c r="K273" s="15"/>
      <c r="L273" s="15"/>
      <c r="M273" s="15"/>
      <c r="N273" s="15"/>
      <c r="O273" s="15"/>
      <c r="P273" s="15"/>
      <c r="Q273" s="15"/>
      <c r="R273" s="15"/>
    </row>
    <row x14ac:dyDescent="0.25" r="274" customHeight="1" ht="20.1">
      <c r="A274" s="9" t="s">
        <v>405</v>
      </c>
      <c r="B274" s="9" t="s">
        <v>20</v>
      </c>
      <c r="C274" s="10">
        <v>200157</v>
      </c>
      <c r="D274" s="9" t="s">
        <v>63</v>
      </c>
      <c r="E274" s="9" t="s">
        <v>406</v>
      </c>
      <c r="F274" s="11" t="s">
        <v>8</v>
      </c>
      <c r="G274" s="12">
        <v>1030000</v>
      </c>
      <c r="H274" s="12">
        <v>1030000</v>
      </c>
      <c r="I274" s="14"/>
      <c r="J274" s="15"/>
      <c r="K274" s="15"/>
      <c r="L274" s="15"/>
      <c r="M274" s="15"/>
      <c r="N274" s="15"/>
      <c r="O274" s="15"/>
      <c r="P274" s="15"/>
      <c r="Q274" s="15"/>
      <c r="R274" s="15"/>
    </row>
    <row x14ac:dyDescent="0.25" r="275" customHeight="1" ht="20.1">
      <c r="A275" s="9" t="s">
        <v>405</v>
      </c>
      <c r="B275" s="9" t="s">
        <v>20</v>
      </c>
      <c r="C275" s="10">
        <v>200156</v>
      </c>
      <c r="D275" s="9" t="s">
        <v>75</v>
      </c>
      <c r="E275" s="9" t="s">
        <v>407</v>
      </c>
      <c r="F275" s="11" t="s">
        <v>8</v>
      </c>
      <c r="G275" s="12">
        <v>6337000</v>
      </c>
      <c r="H275" s="12">
        <v>6337000</v>
      </c>
      <c r="I275" s="14"/>
      <c r="J275" s="15"/>
      <c r="K275" s="15"/>
      <c r="L275" s="15"/>
      <c r="M275" s="15"/>
      <c r="N275" s="15"/>
      <c r="O275" s="15"/>
      <c r="P275" s="15"/>
      <c r="Q275" s="15"/>
      <c r="R275" s="15"/>
    </row>
    <row x14ac:dyDescent="0.25" r="276" customHeight="1" ht="20.1">
      <c r="A276" s="9" t="s">
        <v>405</v>
      </c>
      <c r="B276" s="9" t="s">
        <v>91</v>
      </c>
      <c r="C276" s="10" t="s">
        <v>408</v>
      </c>
      <c r="D276" s="9" t="s">
        <v>43</v>
      </c>
      <c r="E276" s="9" t="s">
        <v>409</v>
      </c>
      <c r="F276" s="11" t="s">
        <v>17</v>
      </c>
      <c r="G276" s="12">
        <v>537900</v>
      </c>
      <c r="H276" s="14"/>
      <c r="I276" s="14"/>
      <c r="J276" s="15"/>
      <c r="K276" s="15"/>
      <c r="L276" s="15"/>
      <c r="M276" s="15"/>
      <c r="N276" s="15"/>
      <c r="O276" s="15"/>
      <c r="P276" s="15"/>
      <c r="Q276" s="12">
        <v>537900</v>
      </c>
      <c r="R276" s="15"/>
    </row>
    <row x14ac:dyDescent="0.25" r="277" customHeight="1" ht="20.1">
      <c r="A277" s="9" t="s">
        <v>405</v>
      </c>
      <c r="B277" s="9" t="s">
        <v>91</v>
      </c>
      <c r="C277" s="10" t="s">
        <v>408</v>
      </c>
      <c r="D277" s="9" t="s">
        <v>93</v>
      </c>
      <c r="E277" s="9" t="s">
        <v>410</v>
      </c>
      <c r="F277" s="11" t="s">
        <v>12</v>
      </c>
      <c r="G277" s="12">
        <v>410650</v>
      </c>
      <c r="H277" s="14"/>
      <c r="I277" s="14"/>
      <c r="J277" s="15"/>
      <c r="K277" s="15"/>
      <c r="L277" s="12">
        <v>410650</v>
      </c>
      <c r="M277" s="15"/>
      <c r="N277" s="15"/>
      <c r="O277" s="15"/>
      <c r="P277" s="15"/>
      <c r="Q277" s="15"/>
      <c r="R277" s="15"/>
    </row>
    <row x14ac:dyDescent="0.25" r="278" customHeight="1" ht="20.1">
      <c r="A278" s="9" t="s">
        <v>405</v>
      </c>
      <c r="B278" s="9" t="s">
        <v>91</v>
      </c>
      <c r="C278" s="10" t="s">
        <v>411</v>
      </c>
      <c r="D278" s="9" t="s">
        <v>93</v>
      </c>
      <c r="E278" s="9" t="s">
        <v>412</v>
      </c>
      <c r="F278" s="11" t="s">
        <v>12</v>
      </c>
      <c r="G278" s="12">
        <v>720000</v>
      </c>
      <c r="H278" s="14"/>
      <c r="I278" s="14"/>
      <c r="J278" s="15"/>
      <c r="K278" s="15"/>
      <c r="L278" s="12">
        <v>720000</v>
      </c>
      <c r="M278" s="15"/>
      <c r="N278" s="15"/>
      <c r="O278" s="15"/>
      <c r="P278" s="15"/>
      <c r="Q278" s="15"/>
      <c r="R278" s="15"/>
    </row>
    <row x14ac:dyDescent="0.25" r="279" customHeight="1" ht="20.1">
      <c r="A279" s="9" t="s">
        <v>405</v>
      </c>
      <c r="B279" s="9" t="s">
        <v>25</v>
      </c>
      <c r="C279" s="10"/>
      <c r="D279" s="9" t="s">
        <v>30</v>
      </c>
      <c r="E279" s="9" t="s">
        <v>45</v>
      </c>
      <c r="F279" s="11" t="s">
        <v>13</v>
      </c>
      <c r="G279" s="12">
        <v>70000000</v>
      </c>
      <c r="H279" s="14"/>
      <c r="I279" s="14"/>
      <c r="J279" s="15"/>
      <c r="K279" s="15"/>
      <c r="L279" s="15"/>
      <c r="M279" s="12">
        <v>70000000</v>
      </c>
      <c r="N279" s="15"/>
      <c r="O279" s="15"/>
      <c r="P279" s="15"/>
      <c r="Q279" s="15"/>
      <c r="R279" s="15"/>
    </row>
    <row x14ac:dyDescent="0.25" r="280" customHeight="1" ht="20.1">
      <c r="A280" s="9" t="s">
        <v>413</v>
      </c>
      <c r="B280" s="9" t="s">
        <v>25</v>
      </c>
      <c r="C280" s="10"/>
      <c r="D280" s="9" t="s">
        <v>30</v>
      </c>
      <c r="E280" s="9" t="s">
        <v>45</v>
      </c>
      <c r="F280" s="11" t="s">
        <v>13</v>
      </c>
      <c r="G280" s="12">
        <v>45000000</v>
      </c>
      <c r="H280" s="14"/>
      <c r="I280" s="14"/>
      <c r="J280" s="15"/>
      <c r="K280" s="15"/>
      <c r="L280" s="15"/>
      <c r="M280" s="12">
        <v>45000000</v>
      </c>
      <c r="N280" s="15"/>
      <c r="O280" s="15"/>
      <c r="P280" s="15"/>
      <c r="Q280" s="15"/>
      <c r="R280" s="15"/>
    </row>
    <row x14ac:dyDescent="0.25" r="281" customHeight="1" ht="20.1">
      <c r="A281" s="9" t="s">
        <v>413</v>
      </c>
      <c r="B281" s="9" t="s">
        <v>40</v>
      </c>
      <c r="C281" s="10">
        <v>564235</v>
      </c>
      <c r="D281" s="9" t="s">
        <v>26</v>
      </c>
      <c r="E281" s="9" t="s">
        <v>414</v>
      </c>
      <c r="F281" s="11" t="s">
        <v>8</v>
      </c>
      <c r="G281" s="12">
        <v>10000000</v>
      </c>
      <c r="H281" s="12">
        <v>10000000</v>
      </c>
      <c r="I281" s="14"/>
      <c r="J281" s="15"/>
      <c r="K281" s="15"/>
      <c r="L281" s="15"/>
      <c r="M281" s="15"/>
      <c r="N281" s="15"/>
      <c r="O281" s="15"/>
      <c r="P281" s="15"/>
      <c r="Q281" s="15"/>
      <c r="R281" s="15"/>
    </row>
    <row x14ac:dyDescent="0.25" r="282" customHeight="1" ht="20.1">
      <c r="A282" s="9" t="s">
        <v>413</v>
      </c>
      <c r="B282" s="9" t="s">
        <v>28</v>
      </c>
      <c r="C282" s="10">
        <v>849283</v>
      </c>
      <c r="D282" s="9" t="s">
        <v>26</v>
      </c>
      <c r="E282" s="9" t="s">
        <v>415</v>
      </c>
      <c r="F282" s="11" t="s">
        <v>8</v>
      </c>
      <c r="G282" s="12">
        <v>30000000</v>
      </c>
      <c r="H282" s="12">
        <v>30000000</v>
      </c>
      <c r="I282" s="14"/>
      <c r="J282" s="15"/>
      <c r="K282" s="15"/>
      <c r="L282" s="15"/>
      <c r="M282" s="15"/>
      <c r="N282" s="15"/>
      <c r="O282" s="15"/>
      <c r="P282" s="15"/>
      <c r="Q282" s="15"/>
      <c r="R282" s="15"/>
    </row>
    <row x14ac:dyDescent="0.25" r="283" customHeight="1" ht="20.1">
      <c r="A283" s="9" t="s">
        <v>413</v>
      </c>
      <c r="B283" s="9" t="s">
        <v>20</v>
      </c>
      <c r="C283" s="10">
        <v>200207</v>
      </c>
      <c r="D283" s="9" t="s">
        <v>26</v>
      </c>
      <c r="E283" s="9" t="s">
        <v>416</v>
      </c>
      <c r="F283" s="11" t="s">
        <v>10</v>
      </c>
      <c r="G283" s="12">
        <v>20000000</v>
      </c>
      <c r="H283" s="14"/>
      <c r="I283" s="14"/>
      <c r="J283" s="12">
        <v>20000000</v>
      </c>
      <c r="K283" s="15"/>
      <c r="L283" s="15"/>
      <c r="M283" s="15"/>
      <c r="N283" s="15"/>
      <c r="O283" s="15"/>
      <c r="P283" s="15"/>
      <c r="Q283" s="15"/>
      <c r="R283" s="15"/>
    </row>
    <row x14ac:dyDescent="0.25" r="284" customHeight="1" ht="20.1">
      <c r="A284" s="9" t="s">
        <v>413</v>
      </c>
      <c r="B284" s="9" t="s">
        <v>28</v>
      </c>
      <c r="C284" s="10">
        <v>849282</v>
      </c>
      <c r="D284" s="9" t="s">
        <v>26</v>
      </c>
      <c r="E284" s="9" t="s">
        <v>416</v>
      </c>
      <c r="F284" s="11" t="s">
        <v>10</v>
      </c>
      <c r="G284" s="12">
        <v>30787500</v>
      </c>
      <c r="H284" s="14"/>
      <c r="I284" s="14"/>
      <c r="J284" s="12">
        <v>30787500</v>
      </c>
      <c r="K284" s="15"/>
      <c r="L284" s="15"/>
      <c r="M284" s="15"/>
      <c r="N284" s="15"/>
      <c r="O284" s="15"/>
      <c r="P284" s="15"/>
      <c r="Q284" s="15"/>
      <c r="R284" s="15"/>
    </row>
    <row x14ac:dyDescent="0.25" r="285" customHeight="1" ht="20.1">
      <c r="A285" s="9" t="s">
        <v>413</v>
      </c>
      <c r="B285" s="9" t="s">
        <v>28</v>
      </c>
      <c r="C285" s="10" t="s">
        <v>417</v>
      </c>
      <c r="D285" s="9" t="s">
        <v>26</v>
      </c>
      <c r="E285" s="9" t="s">
        <v>416</v>
      </c>
      <c r="F285" s="11" t="s">
        <v>10</v>
      </c>
      <c r="G285" s="12">
        <v>10900000</v>
      </c>
      <c r="H285" s="14"/>
      <c r="I285" s="14"/>
      <c r="J285" s="12">
        <v>10900000</v>
      </c>
      <c r="K285" s="15"/>
      <c r="L285" s="15"/>
      <c r="M285" s="15"/>
      <c r="N285" s="15"/>
      <c r="O285" s="15"/>
      <c r="P285" s="15"/>
      <c r="Q285" s="15"/>
      <c r="R285" s="15"/>
    </row>
    <row x14ac:dyDescent="0.25" r="286" customHeight="1" ht="20.1">
      <c r="A286" s="9" t="s">
        <v>413</v>
      </c>
      <c r="B286" s="9" t="s">
        <v>418</v>
      </c>
      <c r="C286" s="10">
        <v>20000655</v>
      </c>
      <c r="D286" s="9" t="s">
        <v>26</v>
      </c>
      <c r="E286" s="9" t="s">
        <v>416</v>
      </c>
      <c r="F286" s="11" t="s">
        <v>10</v>
      </c>
      <c r="G286" s="12">
        <v>9100000</v>
      </c>
      <c r="H286" s="14"/>
      <c r="I286" s="14"/>
      <c r="J286" s="12">
        <v>9100000</v>
      </c>
      <c r="K286" s="15"/>
      <c r="L286" s="15"/>
      <c r="M286" s="15"/>
      <c r="N286" s="15"/>
      <c r="O286" s="15"/>
      <c r="P286" s="15"/>
      <c r="Q286" s="15"/>
      <c r="R286" s="15"/>
    </row>
    <row x14ac:dyDescent="0.25" r="287" customHeight="1" ht="20.1">
      <c r="A287" s="9" t="s">
        <v>413</v>
      </c>
      <c r="B287" s="9" t="s">
        <v>419</v>
      </c>
      <c r="C287" s="10">
        <v>200002</v>
      </c>
      <c r="D287" s="9" t="s">
        <v>26</v>
      </c>
      <c r="E287" s="9" t="s">
        <v>416</v>
      </c>
      <c r="F287" s="11" t="s">
        <v>10</v>
      </c>
      <c r="G287" s="12">
        <v>20000000</v>
      </c>
      <c r="H287" s="14"/>
      <c r="I287" s="14"/>
      <c r="J287" s="12">
        <v>20000000</v>
      </c>
      <c r="K287" s="15"/>
      <c r="L287" s="15"/>
      <c r="M287" s="15"/>
      <c r="N287" s="15"/>
      <c r="O287" s="15"/>
      <c r="P287" s="15"/>
      <c r="Q287" s="15"/>
      <c r="R287" s="15"/>
    </row>
    <row x14ac:dyDescent="0.25" r="288" customHeight="1" ht="20.1">
      <c r="A288" s="9" t="s">
        <v>413</v>
      </c>
      <c r="B288" s="9" t="s">
        <v>419</v>
      </c>
      <c r="C288" s="10">
        <v>200005</v>
      </c>
      <c r="D288" s="9" t="s">
        <v>26</v>
      </c>
      <c r="E288" s="9" t="s">
        <v>416</v>
      </c>
      <c r="F288" s="11" t="s">
        <v>10</v>
      </c>
      <c r="G288" s="12">
        <v>20000000</v>
      </c>
      <c r="H288" s="14"/>
      <c r="I288" s="14"/>
      <c r="J288" s="12">
        <v>20000000</v>
      </c>
      <c r="K288" s="15"/>
      <c r="L288" s="15"/>
      <c r="M288" s="15"/>
      <c r="N288" s="15"/>
      <c r="O288" s="15"/>
      <c r="P288" s="15"/>
      <c r="Q288" s="15"/>
      <c r="R288" s="15"/>
    </row>
    <row x14ac:dyDescent="0.25" r="289" customHeight="1" ht="20.1">
      <c r="A289" s="9" t="s">
        <v>413</v>
      </c>
      <c r="B289" s="9" t="s">
        <v>100</v>
      </c>
      <c r="C289" s="10" t="s">
        <v>420</v>
      </c>
      <c r="D289" s="9" t="s">
        <v>30</v>
      </c>
      <c r="E289" s="9" t="s">
        <v>421</v>
      </c>
      <c r="F289" s="11" t="s">
        <v>9</v>
      </c>
      <c r="G289" s="12">
        <v>45121200</v>
      </c>
      <c r="H289" s="14"/>
      <c r="I289" s="12">
        <v>45121200</v>
      </c>
      <c r="J289" s="15"/>
      <c r="K289" s="15"/>
      <c r="L289" s="15"/>
      <c r="M289" s="15"/>
      <c r="N289" s="15"/>
      <c r="O289" s="15"/>
      <c r="P289" s="15"/>
      <c r="Q289" s="15"/>
      <c r="R289" s="15"/>
    </row>
    <row x14ac:dyDescent="0.25" r="290" customHeight="1" ht="20.1">
      <c r="A290" s="9" t="s">
        <v>413</v>
      </c>
      <c r="B290" s="9" t="s">
        <v>25</v>
      </c>
      <c r="C290" s="10"/>
      <c r="D290" s="9" t="s">
        <v>26</v>
      </c>
      <c r="E290" s="9" t="s">
        <v>422</v>
      </c>
      <c r="F290" s="11" t="s">
        <v>8</v>
      </c>
      <c r="G290" s="12">
        <v>8211500</v>
      </c>
      <c r="H290" s="12">
        <v>8211500</v>
      </c>
      <c r="I290" s="14"/>
      <c r="J290" s="15"/>
      <c r="K290" s="15"/>
      <c r="L290" s="15"/>
      <c r="M290" s="15"/>
      <c r="N290" s="15"/>
      <c r="O290" s="15"/>
      <c r="P290" s="15"/>
      <c r="Q290" s="15"/>
      <c r="R290" s="15"/>
    </row>
    <row x14ac:dyDescent="0.25" r="291" customHeight="1" ht="20.1">
      <c r="A291" s="9" t="s">
        <v>413</v>
      </c>
      <c r="B291" s="9" t="s">
        <v>25</v>
      </c>
      <c r="C291" s="10"/>
      <c r="D291" s="9" t="s">
        <v>26</v>
      </c>
      <c r="E291" s="9" t="s">
        <v>423</v>
      </c>
      <c r="F291" s="11" t="s">
        <v>8</v>
      </c>
      <c r="G291" s="12">
        <v>4788500</v>
      </c>
      <c r="H291" s="12">
        <v>4788500</v>
      </c>
      <c r="I291" s="14"/>
      <c r="J291" s="15"/>
      <c r="K291" s="15"/>
      <c r="L291" s="15"/>
      <c r="M291" s="15"/>
      <c r="N291" s="15"/>
      <c r="O291" s="15"/>
      <c r="P291" s="15"/>
      <c r="Q291" s="15"/>
      <c r="R291" s="15"/>
    </row>
    <row x14ac:dyDescent="0.25" r="292" customHeight="1" ht="20.1">
      <c r="A292" s="9" t="s">
        <v>413</v>
      </c>
      <c r="B292" s="9" t="s">
        <v>25</v>
      </c>
      <c r="C292" s="10"/>
      <c r="D292" s="9" t="s">
        <v>30</v>
      </c>
      <c r="E292" s="9" t="s">
        <v>424</v>
      </c>
      <c r="F292" s="11" t="s">
        <v>8</v>
      </c>
      <c r="G292" s="12">
        <v>62134762</v>
      </c>
      <c r="H292" s="12">
        <v>62134762</v>
      </c>
      <c r="I292" s="14"/>
      <c r="J292" s="15"/>
      <c r="K292" s="15"/>
      <c r="L292" s="15"/>
      <c r="M292" s="15"/>
      <c r="N292" s="15"/>
      <c r="O292" s="15"/>
      <c r="P292" s="15"/>
      <c r="Q292" s="15"/>
      <c r="R292" s="15"/>
    </row>
    <row x14ac:dyDescent="0.25" r="293" customHeight="1" ht="20.1">
      <c r="A293" s="9" t="s">
        <v>425</v>
      </c>
      <c r="B293" s="9" t="s">
        <v>25</v>
      </c>
      <c r="C293" s="10"/>
      <c r="D293" s="9" t="s">
        <v>26</v>
      </c>
      <c r="E293" s="9" t="s">
        <v>426</v>
      </c>
      <c r="F293" s="11" t="s">
        <v>8</v>
      </c>
      <c r="G293" s="12">
        <v>20005000</v>
      </c>
      <c r="H293" s="12">
        <v>20005000</v>
      </c>
      <c r="I293" s="14"/>
      <c r="J293" s="15"/>
      <c r="K293" s="15"/>
      <c r="L293" s="15"/>
      <c r="M293" s="15"/>
      <c r="N293" s="15"/>
      <c r="O293" s="15"/>
      <c r="P293" s="15"/>
      <c r="Q293" s="15"/>
      <c r="R293" s="15"/>
    </row>
    <row x14ac:dyDescent="0.25" r="294" customHeight="1" ht="20.1">
      <c r="A294" s="9" t="s">
        <v>425</v>
      </c>
      <c r="B294" s="9" t="s">
        <v>427</v>
      </c>
      <c r="C294" s="10"/>
      <c r="D294" s="9" t="s">
        <v>30</v>
      </c>
      <c r="E294" s="9" t="s">
        <v>428</v>
      </c>
      <c r="F294" s="11" t="s">
        <v>13</v>
      </c>
      <c r="G294" s="12">
        <v>2023532.82</v>
      </c>
      <c r="H294" s="14"/>
      <c r="I294" s="14"/>
      <c r="J294" s="15"/>
      <c r="K294" s="15"/>
      <c r="L294" s="15"/>
      <c r="M294" s="12">
        <v>2023532.82</v>
      </c>
      <c r="N294" s="15"/>
      <c r="O294" s="15"/>
      <c r="P294" s="15"/>
      <c r="Q294" s="15"/>
      <c r="R294" s="15"/>
    </row>
    <row x14ac:dyDescent="0.25" r="295" customHeight="1" ht="20.1">
      <c r="A295" s="9" t="s">
        <v>425</v>
      </c>
      <c r="B295" s="9" t="s">
        <v>20</v>
      </c>
      <c r="C295" s="10">
        <v>200160</v>
      </c>
      <c r="D295" s="9" t="s">
        <v>26</v>
      </c>
      <c r="E295" s="9" t="s">
        <v>429</v>
      </c>
      <c r="F295" s="11" t="s">
        <v>8</v>
      </c>
      <c r="G295" s="12">
        <v>13552000</v>
      </c>
      <c r="H295" s="12">
        <v>13552000</v>
      </c>
      <c r="I295" s="14"/>
      <c r="J295" s="15"/>
      <c r="K295" s="15"/>
      <c r="L295" s="15"/>
      <c r="M295" s="15"/>
      <c r="N295" s="15"/>
      <c r="O295" s="15"/>
      <c r="P295" s="15"/>
      <c r="Q295" s="15"/>
      <c r="R295" s="15"/>
    </row>
    <row x14ac:dyDescent="0.25" r="296" customHeight="1" ht="20.1">
      <c r="A296" s="9" t="s">
        <v>425</v>
      </c>
      <c r="B296" s="9" t="s">
        <v>20</v>
      </c>
      <c r="C296" s="10">
        <v>200159</v>
      </c>
      <c r="D296" s="9" t="s">
        <v>23</v>
      </c>
      <c r="E296" s="9" t="s">
        <v>430</v>
      </c>
      <c r="F296" s="11" t="s">
        <v>9</v>
      </c>
      <c r="G296" s="12">
        <v>1477942</v>
      </c>
      <c r="H296" s="13"/>
      <c r="I296" s="12">
        <v>1477942</v>
      </c>
      <c r="J296" s="15"/>
      <c r="K296" s="15"/>
      <c r="L296" s="15"/>
      <c r="M296" s="15"/>
      <c r="N296" s="15"/>
      <c r="O296" s="15"/>
      <c r="P296" s="15"/>
      <c r="Q296" s="15"/>
      <c r="R296" s="15"/>
    </row>
    <row x14ac:dyDescent="0.25" r="297" customHeight="1" ht="20.1">
      <c r="A297" s="9" t="s">
        <v>425</v>
      </c>
      <c r="B297" s="9" t="s">
        <v>20</v>
      </c>
      <c r="C297" s="10">
        <v>200159</v>
      </c>
      <c r="D297" s="9" t="s">
        <v>23</v>
      </c>
      <c r="E297" s="9" t="s">
        <v>431</v>
      </c>
      <c r="F297" s="11" t="s">
        <v>13</v>
      </c>
      <c r="G297" s="12">
        <v>164962</v>
      </c>
      <c r="H297" s="13"/>
      <c r="I297" s="14"/>
      <c r="J297" s="15"/>
      <c r="K297" s="15"/>
      <c r="L297" s="15"/>
      <c r="M297" s="12">
        <v>164962</v>
      </c>
      <c r="N297" s="15"/>
      <c r="O297" s="15"/>
      <c r="P297" s="15"/>
      <c r="Q297" s="15"/>
      <c r="R297" s="15"/>
    </row>
    <row x14ac:dyDescent="0.25" r="298" customHeight="1" ht="20.1">
      <c r="A298" s="9" t="s">
        <v>425</v>
      </c>
      <c r="B298" s="9" t="s">
        <v>20</v>
      </c>
      <c r="C298" s="10">
        <v>200159</v>
      </c>
      <c r="D298" s="9" t="s">
        <v>23</v>
      </c>
      <c r="E298" s="9" t="s">
        <v>432</v>
      </c>
      <c r="F298" s="11" t="s">
        <v>8</v>
      </c>
      <c r="G298" s="12">
        <v>857096</v>
      </c>
      <c r="H298" s="12">
        <v>857096</v>
      </c>
      <c r="I298" s="14"/>
      <c r="J298" s="15"/>
      <c r="K298" s="15"/>
      <c r="L298" s="15"/>
      <c r="M298" s="15"/>
      <c r="N298" s="15"/>
      <c r="O298" s="15"/>
      <c r="P298" s="15"/>
      <c r="Q298" s="15"/>
      <c r="R298" s="15"/>
    </row>
    <row x14ac:dyDescent="0.25" r="299" customHeight="1" ht="20.1">
      <c r="A299" s="9" t="s">
        <v>425</v>
      </c>
      <c r="B299" s="9" t="s">
        <v>20</v>
      </c>
      <c r="C299" s="10">
        <v>200158</v>
      </c>
      <c r="D299" s="25" t="s">
        <v>191</v>
      </c>
      <c r="E299" s="9" t="s">
        <v>433</v>
      </c>
      <c r="F299" s="11" t="s">
        <v>9</v>
      </c>
      <c r="G299" s="12">
        <v>2172000</v>
      </c>
      <c r="H299" s="13"/>
      <c r="I299" s="12">
        <v>2172000</v>
      </c>
      <c r="J299" s="15"/>
      <c r="K299" s="15"/>
      <c r="L299" s="15"/>
      <c r="M299" s="15"/>
      <c r="N299" s="15"/>
      <c r="O299" s="15"/>
      <c r="P299" s="15"/>
      <c r="Q299" s="15"/>
      <c r="R299" s="15"/>
    </row>
    <row x14ac:dyDescent="0.25" r="300" customHeight="1" ht="20.1">
      <c r="A300" s="9" t="s">
        <v>425</v>
      </c>
      <c r="B300" s="9" t="s">
        <v>20</v>
      </c>
      <c r="C300" s="10">
        <v>200158</v>
      </c>
      <c r="D300" s="25" t="s">
        <v>191</v>
      </c>
      <c r="E300" s="9" t="s">
        <v>434</v>
      </c>
      <c r="F300" s="11" t="s">
        <v>13</v>
      </c>
      <c r="G300" s="12">
        <v>846000</v>
      </c>
      <c r="H300" s="14"/>
      <c r="I300" s="14"/>
      <c r="J300" s="15"/>
      <c r="K300" s="15"/>
      <c r="L300" s="15"/>
      <c r="M300" s="12">
        <v>846000</v>
      </c>
      <c r="N300" s="15"/>
      <c r="O300" s="15"/>
      <c r="P300" s="15"/>
      <c r="Q300" s="15"/>
      <c r="R300" s="15"/>
    </row>
    <row x14ac:dyDescent="0.25" r="301" customHeight="1" ht="20.1">
      <c r="A301" s="9" t="s">
        <v>425</v>
      </c>
      <c r="B301" s="9" t="s">
        <v>20</v>
      </c>
      <c r="C301" s="10">
        <v>200158</v>
      </c>
      <c r="D301" s="25" t="s">
        <v>191</v>
      </c>
      <c r="E301" s="9" t="s">
        <v>435</v>
      </c>
      <c r="F301" s="11" t="s">
        <v>8</v>
      </c>
      <c r="G301" s="12">
        <v>776000</v>
      </c>
      <c r="H301" s="12">
        <v>776000</v>
      </c>
      <c r="I301" s="14"/>
      <c r="J301" s="15"/>
      <c r="K301" s="15"/>
      <c r="L301" s="15"/>
      <c r="M301" s="15"/>
      <c r="N301" s="15"/>
      <c r="O301" s="15"/>
      <c r="P301" s="15"/>
      <c r="Q301" s="15"/>
      <c r="R301" s="15"/>
    </row>
    <row x14ac:dyDescent="0.25" r="302" customHeight="1" ht="20.1">
      <c r="A302" s="9" t="s">
        <v>425</v>
      </c>
      <c r="B302" s="9" t="s">
        <v>20</v>
      </c>
      <c r="C302" s="10">
        <v>200158</v>
      </c>
      <c r="D302" s="25" t="s">
        <v>191</v>
      </c>
      <c r="E302" s="9" t="s">
        <v>436</v>
      </c>
      <c r="F302" s="11" t="s">
        <v>12</v>
      </c>
      <c r="G302" s="12">
        <v>206000</v>
      </c>
      <c r="H302" s="14"/>
      <c r="I302" s="14"/>
      <c r="J302" s="15"/>
      <c r="K302" s="15"/>
      <c r="L302" s="12">
        <v>206000</v>
      </c>
      <c r="M302" s="15"/>
      <c r="N302" s="15"/>
      <c r="O302" s="15"/>
      <c r="P302" s="15"/>
      <c r="Q302" s="15"/>
      <c r="R302" s="15"/>
    </row>
    <row x14ac:dyDescent="0.25" r="303" customHeight="1" ht="20.1">
      <c r="A303" s="9" t="s">
        <v>425</v>
      </c>
      <c r="B303" s="9" t="s">
        <v>91</v>
      </c>
      <c r="C303" s="10" t="s">
        <v>437</v>
      </c>
      <c r="D303" s="9" t="s">
        <v>43</v>
      </c>
      <c r="E303" s="9" t="s">
        <v>438</v>
      </c>
      <c r="F303" s="11" t="s">
        <v>17</v>
      </c>
      <c r="G303" s="12">
        <v>230000</v>
      </c>
      <c r="H303" s="14"/>
      <c r="I303" s="14"/>
      <c r="J303" s="15"/>
      <c r="K303" s="15"/>
      <c r="L303" s="15"/>
      <c r="M303" s="15"/>
      <c r="N303" s="15"/>
      <c r="O303" s="15"/>
      <c r="P303" s="15"/>
      <c r="Q303" s="12">
        <v>230000</v>
      </c>
      <c r="R303" s="15"/>
    </row>
    <row x14ac:dyDescent="0.25" r="304" customHeight="1" ht="20.1">
      <c r="A304" s="9" t="s">
        <v>425</v>
      </c>
      <c r="B304" s="9" t="s">
        <v>91</v>
      </c>
      <c r="C304" s="10" t="s">
        <v>439</v>
      </c>
      <c r="D304" s="9" t="s">
        <v>43</v>
      </c>
      <c r="E304" s="9" t="s">
        <v>440</v>
      </c>
      <c r="F304" s="11" t="s">
        <v>17</v>
      </c>
      <c r="G304" s="12">
        <v>11000000</v>
      </c>
      <c r="H304" s="14"/>
      <c r="I304" s="14"/>
      <c r="J304" s="15"/>
      <c r="K304" s="15"/>
      <c r="L304" s="15"/>
      <c r="M304" s="15"/>
      <c r="N304" s="15"/>
      <c r="O304" s="15"/>
      <c r="P304" s="15"/>
      <c r="Q304" s="12">
        <v>11000000</v>
      </c>
      <c r="R304" s="15"/>
    </row>
    <row x14ac:dyDescent="0.25" r="305" customHeight="1" ht="20.1">
      <c r="A305" s="9" t="s">
        <v>425</v>
      </c>
      <c r="B305" s="9" t="s">
        <v>20</v>
      </c>
      <c r="C305" s="10">
        <v>200161</v>
      </c>
      <c r="D305" s="9" t="s">
        <v>73</v>
      </c>
      <c r="E305" s="9" t="s">
        <v>441</v>
      </c>
      <c r="F305" s="11" t="s">
        <v>10</v>
      </c>
      <c r="G305" s="12">
        <v>11734575</v>
      </c>
      <c r="H305" s="14"/>
      <c r="I305" s="14"/>
      <c r="J305" s="12">
        <v>11734575</v>
      </c>
      <c r="K305" s="15"/>
      <c r="L305" s="15"/>
      <c r="M305" s="15"/>
      <c r="N305" s="15"/>
      <c r="O305" s="15"/>
      <c r="P305" s="15"/>
      <c r="Q305" s="15"/>
      <c r="R305" s="15"/>
    </row>
    <row x14ac:dyDescent="0.25" r="306" customHeight="1" ht="20.1">
      <c r="A306" s="9" t="s">
        <v>425</v>
      </c>
      <c r="B306" s="9" t="s">
        <v>28</v>
      </c>
      <c r="C306" s="10">
        <v>849284</v>
      </c>
      <c r="D306" s="9" t="s">
        <v>26</v>
      </c>
      <c r="E306" s="9" t="s">
        <v>442</v>
      </c>
      <c r="F306" s="11" t="s">
        <v>8</v>
      </c>
      <c r="G306" s="12">
        <v>72600000</v>
      </c>
      <c r="H306" s="12">
        <v>72600000</v>
      </c>
      <c r="I306" s="14"/>
      <c r="J306" s="15"/>
      <c r="K306" s="15"/>
      <c r="L306" s="15"/>
      <c r="M306" s="15"/>
      <c r="N306" s="15"/>
      <c r="O306" s="15"/>
      <c r="P306" s="15"/>
      <c r="Q306" s="15"/>
      <c r="R306" s="15"/>
    </row>
    <row x14ac:dyDescent="0.25" r="307" customHeight="1" ht="20.1">
      <c r="A307" s="9" t="s">
        <v>425</v>
      </c>
      <c r="B307" s="9" t="s">
        <v>336</v>
      </c>
      <c r="C307" s="10">
        <v>111701</v>
      </c>
      <c r="D307" s="9" t="s">
        <v>30</v>
      </c>
      <c r="E307" s="9" t="s">
        <v>443</v>
      </c>
      <c r="F307" s="11" t="s">
        <v>9</v>
      </c>
      <c r="G307" s="12">
        <v>78237342</v>
      </c>
      <c r="H307" s="14"/>
      <c r="I307" s="12">
        <v>78237342</v>
      </c>
      <c r="J307" s="15"/>
      <c r="K307" s="15"/>
      <c r="L307" s="15"/>
      <c r="M307" s="15"/>
      <c r="N307" s="15"/>
      <c r="O307" s="15"/>
      <c r="P307" s="15"/>
      <c r="Q307" s="15"/>
      <c r="R307" s="15"/>
    </row>
    <row x14ac:dyDescent="0.25" r="308" customHeight="1" ht="20.1">
      <c r="A308" s="9" t="s">
        <v>444</v>
      </c>
      <c r="B308" s="9" t="s">
        <v>25</v>
      </c>
      <c r="C308" s="10"/>
      <c r="D308" s="9" t="s">
        <v>26</v>
      </c>
      <c r="E308" s="9" t="s">
        <v>445</v>
      </c>
      <c r="F308" s="11" t="s">
        <v>10</v>
      </c>
      <c r="G308" s="12">
        <v>11585700</v>
      </c>
      <c r="H308" s="14"/>
      <c r="I308" s="14"/>
      <c r="J308" s="12">
        <v>11585700</v>
      </c>
      <c r="K308" s="15"/>
      <c r="L308" s="15"/>
      <c r="M308" s="15"/>
      <c r="N308" s="15"/>
      <c r="O308" s="15"/>
      <c r="P308" s="15"/>
      <c r="Q308" s="15"/>
      <c r="R308" s="15"/>
    </row>
    <row x14ac:dyDescent="0.25" r="309" customHeight="1" ht="20.1">
      <c r="A309" s="9" t="s">
        <v>444</v>
      </c>
      <c r="B309" s="9" t="s">
        <v>25</v>
      </c>
      <c r="C309" s="10"/>
      <c r="D309" s="9" t="s">
        <v>26</v>
      </c>
      <c r="E309" s="9" t="s">
        <v>446</v>
      </c>
      <c r="F309" s="11" t="s">
        <v>10</v>
      </c>
      <c r="G309" s="12">
        <v>7431200</v>
      </c>
      <c r="H309" s="14"/>
      <c r="I309" s="14"/>
      <c r="J309" s="12">
        <v>7431200</v>
      </c>
      <c r="K309" s="15"/>
      <c r="L309" s="15"/>
      <c r="M309" s="15"/>
      <c r="N309" s="15"/>
      <c r="O309" s="15"/>
      <c r="P309" s="15"/>
      <c r="Q309" s="15"/>
      <c r="R309" s="15"/>
    </row>
    <row x14ac:dyDescent="0.25" r="310" customHeight="1" ht="20.1">
      <c r="A310" s="9" t="s">
        <v>444</v>
      </c>
      <c r="B310" s="9" t="s">
        <v>25</v>
      </c>
      <c r="C310" s="10"/>
      <c r="D310" s="9" t="s">
        <v>26</v>
      </c>
      <c r="E310" s="9" t="s">
        <v>447</v>
      </c>
      <c r="F310" s="11" t="s">
        <v>8</v>
      </c>
      <c r="G310" s="12">
        <v>9000000</v>
      </c>
      <c r="H310" s="12">
        <v>9000000</v>
      </c>
      <c r="I310" s="14"/>
      <c r="J310" s="15"/>
      <c r="K310" s="15"/>
      <c r="L310" s="15"/>
      <c r="M310" s="15"/>
      <c r="N310" s="15"/>
      <c r="O310" s="15"/>
      <c r="P310" s="15"/>
      <c r="Q310" s="15"/>
      <c r="R310" s="15"/>
    </row>
    <row x14ac:dyDescent="0.25" r="311" customHeight="1" ht="20.1">
      <c r="A311" s="9" t="s">
        <v>444</v>
      </c>
      <c r="B311" s="9" t="s">
        <v>25</v>
      </c>
      <c r="C311" s="10"/>
      <c r="D311" s="9" t="s">
        <v>26</v>
      </c>
      <c r="E311" s="9" t="s">
        <v>448</v>
      </c>
      <c r="F311" s="11" t="s">
        <v>8</v>
      </c>
      <c r="G311" s="12">
        <v>12085500</v>
      </c>
      <c r="H311" s="12">
        <v>12085500</v>
      </c>
      <c r="I311" s="14"/>
      <c r="J311" s="15"/>
      <c r="K311" s="15"/>
      <c r="L311" s="15"/>
      <c r="M311" s="15"/>
      <c r="N311" s="15"/>
      <c r="O311" s="15"/>
      <c r="P311" s="15"/>
      <c r="Q311" s="15"/>
      <c r="R311" s="15"/>
    </row>
    <row x14ac:dyDescent="0.25" r="312" customHeight="1" ht="20.1">
      <c r="A312" s="9" t="s">
        <v>444</v>
      </c>
      <c r="B312" s="9" t="s">
        <v>40</v>
      </c>
      <c r="C312" s="10">
        <v>564236</v>
      </c>
      <c r="D312" s="9" t="s">
        <v>264</v>
      </c>
      <c r="E312" s="9" t="s">
        <v>449</v>
      </c>
      <c r="F312" s="11" t="s">
        <v>10</v>
      </c>
      <c r="G312" s="12">
        <v>12836518.95</v>
      </c>
      <c r="H312" s="14"/>
      <c r="I312" s="14"/>
      <c r="J312" s="12">
        <v>12836518.95</v>
      </c>
      <c r="K312" s="15"/>
      <c r="L312" s="15"/>
      <c r="M312" s="15"/>
      <c r="N312" s="15"/>
      <c r="O312" s="15"/>
      <c r="P312" s="15"/>
      <c r="Q312" s="15"/>
      <c r="R312" s="15"/>
    </row>
    <row x14ac:dyDescent="0.25" r="313" customHeight="1" ht="20.1">
      <c r="A313" s="9" t="s">
        <v>444</v>
      </c>
      <c r="B313" s="9" t="s">
        <v>20</v>
      </c>
      <c r="C313" s="10">
        <v>200164</v>
      </c>
      <c r="D313" s="9" t="s">
        <v>270</v>
      </c>
      <c r="E313" s="9" t="s">
        <v>449</v>
      </c>
      <c r="F313" s="11" t="s">
        <v>8</v>
      </c>
      <c r="G313" s="12">
        <v>36749037.5</v>
      </c>
      <c r="H313" s="12">
        <v>36749037.5</v>
      </c>
      <c r="I313" s="14"/>
      <c r="J313" s="15"/>
      <c r="K313" s="15"/>
      <c r="L313" s="15"/>
      <c r="M313" s="15"/>
      <c r="N313" s="15"/>
      <c r="O313" s="15"/>
      <c r="P313" s="15"/>
      <c r="Q313" s="15"/>
      <c r="R313" s="15"/>
    </row>
    <row x14ac:dyDescent="0.25" r="314" customHeight="1" ht="20.1">
      <c r="A314" s="9" t="s">
        <v>444</v>
      </c>
      <c r="B314" s="9" t="s">
        <v>20</v>
      </c>
      <c r="C314" s="10">
        <v>200210</v>
      </c>
      <c r="D314" s="9" t="s">
        <v>21</v>
      </c>
      <c r="E314" s="9" t="s">
        <v>450</v>
      </c>
      <c r="F314" s="11" t="s">
        <v>8</v>
      </c>
      <c r="G314" s="12">
        <v>11113956</v>
      </c>
      <c r="H314" s="12">
        <v>11113956</v>
      </c>
      <c r="I314" s="14"/>
      <c r="J314" s="15"/>
      <c r="K314" s="15"/>
      <c r="L314" s="15"/>
      <c r="M314" s="15"/>
      <c r="N314" s="15"/>
      <c r="O314" s="15"/>
      <c r="P314" s="15"/>
      <c r="Q314" s="15"/>
      <c r="R314" s="15"/>
    </row>
    <row x14ac:dyDescent="0.25" r="315" customHeight="1" ht="20.1">
      <c r="A315" s="9" t="s">
        <v>444</v>
      </c>
      <c r="B315" s="9" t="s">
        <v>20</v>
      </c>
      <c r="C315" s="10">
        <v>200163</v>
      </c>
      <c r="D315" s="9" t="s">
        <v>23</v>
      </c>
      <c r="E315" s="9" t="s">
        <v>451</v>
      </c>
      <c r="F315" s="11" t="s">
        <v>8</v>
      </c>
      <c r="G315" s="12">
        <v>500000</v>
      </c>
      <c r="H315" s="12">
        <v>500000</v>
      </c>
      <c r="I315" s="14"/>
      <c r="J315" s="15"/>
      <c r="K315" s="15"/>
      <c r="L315" s="15"/>
      <c r="M315" s="15"/>
      <c r="N315" s="15"/>
      <c r="O315" s="15"/>
      <c r="P315" s="15"/>
      <c r="Q315" s="15"/>
      <c r="R315" s="15"/>
    </row>
    <row x14ac:dyDescent="0.25" r="316" customHeight="1" ht="20.1">
      <c r="A316" s="9" t="s">
        <v>444</v>
      </c>
      <c r="B316" s="9" t="s">
        <v>20</v>
      </c>
      <c r="C316" s="10">
        <v>200163</v>
      </c>
      <c r="D316" s="9" t="s">
        <v>23</v>
      </c>
      <c r="E316" s="9" t="s">
        <v>452</v>
      </c>
      <c r="F316" s="11" t="s">
        <v>9</v>
      </c>
      <c r="G316" s="12">
        <v>100000</v>
      </c>
      <c r="H316" s="14"/>
      <c r="I316" s="12">
        <v>100000</v>
      </c>
      <c r="J316" s="15"/>
      <c r="K316" s="15"/>
      <c r="L316" s="15"/>
      <c r="M316" s="15"/>
      <c r="N316" s="15"/>
      <c r="O316" s="15"/>
      <c r="P316" s="15"/>
      <c r="Q316" s="15"/>
      <c r="R316" s="15"/>
    </row>
    <row x14ac:dyDescent="0.25" r="317" customHeight="1" ht="20.1">
      <c r="A317" s="9" t="s">
        <v>444</v>
      </c>
      <c r="B317" s="9" t="s">
        <v>51</v>
      </c>
      <c r="C317" s="10" t="s">
        <v>453</v>
      </c>
      <c r="D317" s="9" t="s">
        <v>21</v>
      </c>
      <c r="E317" s="9" t="s">
        <v>454</v>
      </c>
      <c r="F317" s="11" t="s">
        <v>9</v>
      </c>
      <c r="G317" s="12">
        <v>4901067</v>
      </c>
      <c r="H317" s="14"/>
      <c r="I317" s="12">
        <v>4901067</v>
      </c>
      <c r="J317" s="15"/>
      <c r="K317" s="15"/>
      <c r="L317" s="15"/>
      <c r="M317" s="15"/>
      <c r="N317" s="15"/>
      <c r="O317" s="15"/>
      <c r="P317" s="15"/>
      <c r="Q317" s="15"/>
      <c r="R317" s="15"/>
    </row>
    <row x14ac:dyDescent="0.25" r="318" customHeight="1" ht="20.1">
      <c r="A318" s="9" t="s">
        <v>444</v>
      </c>
      <c r="B318" s="9" t="s">
        <v>151</v>
      </c>
      <c r="C318" s="10" t="s">
        <v>455</v>
      </c>
      <c r="D318" s="9" t="s">
        <v>156</v>
      </c>
      <c r="E318" s="9" t="s">
        <v>456</v>
      </c>
      <c r="F318" s="11" t="s">
        <v>9</v>
      </c>
      <c r="G318" s="12">
        <v>250000</v>
      </c>
      <c r="H318" s="14"/>
      <c r="I318" s="12">
        <v>250000</v>
      </c>
      <c r="J318" s="15"/>
      <c r="K318" s="15"/>
      <c r="L318" s="15"/>
      <c r="M318" s="15"/>
      <c r="N318" s="15"/>
      <c r="O318" s="15"/>
      <c r="P318" s="15"/>
      <c r="Q318" s="15"/>
      <c r="R318" s="15"/>
    </row>
    <row x14ac:dyDescent="0.25" r="319" customHeight="1" ht="20.1">
      <c r="A319" s="9" t="s">
        <v>444</v>
      </c>
      <c r="B319" s="9" t="s">
        <v>20</v>
      </c>
      <c r="C319" s="10">
        <v>200162</v>
      </c>
      <c r="D319" s="9" t="s">
        <v>86</v>
      </c>
      <c r="E319" s="9" t="s">
        <v>148</v>
      </c>
      <c r="F319" s="11" t="s">
        <v>8</v>
      </c>
      <c r="G319" s="12">
        <v>19034880</v>
      </c>
      <c r="H319" s="12">
        <v>19034880</v>
      </c>
      <c r="I319" s="14"/>
      <c r="J319" s="15"/>
      <c r="K319" s="15"/>
      <c r="L319" s="15"/>
      <c r="M319" s="15"/>
      <c r="N319" s="15"/>
      <c r="O319" s="15"/>
      <c r="P319" s="15"/>
      <c r="Q319" s="15"/>
      <c r="R319" s="15"/>
    </row>
    <row x14ac:dyDescent="0.25" r="320" customHeight="1" ht="20.1">
      <c r="A320" s="9" t="s">
        <v>457</v>
      </c>
      <c r="B320" s="9" t="s">
        <v>100</v>
      </c>
      <c r="C320" s="10" t="s">
        <v>458</v>
      </c>
      <c r="D320" s="9" t="s">
        <v>30</v>
      </c>
      <c r="E320" s="9" t="s">
        <v>459</v>
      </c>
      <c r="F320" s="11" t="s">
        <v>8</v>
      </c>
      <c r="G320" s="12">
        <v>63008000</v>
      </c>
      <c r="H320" s="12">
        <v>63008000</v>
      </c>
      <c r="I320" s="14"/>
      <c r="J320" s="15"/>
      <c r="K320" s="15"/>
      <c r="L320" s="15"/>
      <c r="M320" s="15"/>
      <c r="N320" s="15"/>
      <c r="O320" s="15"/>
      <c r="P320" s="15"/>
      <c r="Q320" s="15"/>
      <c r="R320" s="15"/>
    </row>
    <row x14ac:dyDescent="0.25" r="321" customHeight="1" ht="20.1">
      <c r="A321" s="9" t="s">
        <v>457</v>
      </c>
      <c r="B321" s="9" t="s">
        <v>51</v>
      </c>
      <c r="C321" s="10" t="s">
        <v>460</v>
      </c>
      <c r="D321" s="23" t="s">
        <v>141</v>
      </c>
      <c r="E321" s="9" t="s">
        <v>461</v>
      </c>
      <c r="F321" s="11" t="s">
        <v>13</v>
      </c>
      <c r="G321" s="12">
        <v>165045</v>
      </c>
      <c r="H321" s="14"/>
      <c r="I321" s="14"/>
      <c r="J321" s="15"/>
      <c r="K321" s="15"/>
      <c r="L321" s="15"/>
      <c r="M321" s="12">
        <v>165045</v>
      </c>
      <c r="N321" s="15"/>
      <c r="O321" s="15"/>
      <c r="P321" s="15"/>
      <c r="Q321" s="15"/>
      <c r="R321" s="15"/>
    </row>
    <row x14ac:dyDescent="0.25" r="322" customHeight="1" ht="20.1">
      <c r="A322" s="9" t="s">
        <v>457</v>
      </c>
      <c r="B322" s="9" t="s">
        <v>25</v>
      </c>
      <c r="C322" s="10"/>
      <c r="D322" s="9" t="s">
        <v>26</v>
      </c>
      <c r="E322" s="9" t="s">
        <v>462</v>
      </c>
      <c r="F322" s="11" t="s">
        <v>8</v>
      </c>
      <c r="G322" s="12">
        <v>1764000</v>
      </c>
      <c r="H322" s="12">
        <v>1764000</v>
      </c>
      <c r="I322" s="14"/>
      <c r="J322" s="15"/>
      <c r="K322" s="15"/>
      <c r="L322" s="15"/>
      <c r="M322" s="15"/>
      <c r="N322" s="15"/>
      <c r="O322" s="15"/>
      <c r="P322" s="15"/>
      <c r="Q322" s="15"/>
      <c r="R322" s="15"/>
    </row>
    <row x14ac:dyDescent="0.25" r="323" customHeight="1" ht="20.1">
      <c r="A323" s="9" t="s">
        <v>457</v>
      </c>
      <c r="B323" s="9" t="s">
        <v>25</v>
      </c>
      <c r="C323" s="10"/>
      <c r="D323" s="9" t="s">
        <v>30</v>
      </c>
      <c r="E323" s="9" t="s">
        <v>45</v>
      </c>
      <c r="F323" s="11" t="s">
        <v>13</v>
      </c>
      <c r="G323" s="12">
        <v>10080000</v>
      </c>
      <c r="H323" s="14"/>
      <c r="I323" s="14"/>
      <c r="J323" s="15"/>
      <c r="K323" s="15"/>
      <c r="L323" s="15"/>
      <c r="M323" s="12">
        <v>10080000</v>
      </c>
      <c r="N323" s="15"/>
      <c r="O323" s="15"/>
      <c r="P323" s="15"/>
      <c r="Q323" s="15"/>
      <c r="R323" s="15"/>
    </row>
    <row x14ac:dyDescent="0.25" r="324" customHeight="1" ht="20.1">
      <c r="A324" s="9" t="s">
        <v>457</v>
      </c>
      <c r="B324" s="9" t="s">
        <v>25</v>
      </c>
      <c r="C324" s="10"/>
      <c r="D324" s="9" t="s">
        <v>30</v>
      </c>
      <c r="E324" s="9" t="s">
        <v>45</v>
      </c>
      <c r="F324" s="11" t="s">
        <v>9</v>
      </c>
      <c r="G324" s="12">
        <v>39920000</v>
      </c>
      <c r="H324" s="14"/>
      <c r="I324" s="12">
        <v>39920000</v>
      </c>
      <c r="J324" s="15"/>
      <c r="K324" s="15"/>
      <c r="L324" s="15"/>
      <c r="M324" s="15"/>
      <c r="N324" s="15"/>
      <c r="O324" s="15"/>
      <c r="P324" s="15"/>
      <c r="Q324" s="15"/>
      <c r="R324" s="15"/>
    </row>
    <row x14ac:dyDescent="0.25" r="325" customHeight="1" ht="20.1">
      <c r="A325" s="9" t="s">
        <v>463</v>
      </c>
      <c r="B325" s="9" t="s">
        <v>51</v>
      </c>
      <c r="C325" s="10" t="s">
        <v>464</v>
      </c>
      <c r="D325" s="9" t="s">
        <v>43</v>
      </c>
      <c r="E325" s="9" t="s">
        <v>465</v>
      </c>
      <c r="F325" s="11" t="s">
        <v>17</v>
      </c>
      <c r="G325" s="12">
        <v>1219445</v>
      </c>
      <c r="H325" s="14"/>
      <c r="I325" s="14"/>
      <c r="J325" s="15"/>
      <c r="K325" s="15"/>
      <c r="L325" s="15"/>
      <c r="M325" s="15"/>
      <c r="N325" s="15"/>
      <c r="O325" s="15"/>
      <c r="P325" s="15"/>
      <c r="Q325" s="12">
        <v>1219445</v>
      </c>
      <c r="R325" s="15"/>
    </row>
    <row x14ac:dyDescent="0.25" r="326" customHeight="1" ht="20.1">
      <c r="A326" s="9" t="s">
        <v>463</v>
      </c>
      <c r="B326" s="9" t="s">
        <v>358</v>
      </c>
      <c r="C326" s="10" t="s">
        <v>466</v>
      </c>
      <c r="D326" s="9" t="s">
        <v>43</v>
      </c>
      <c r="E326" s="9" t="s">
        <v>467</v>
      </c>
      <c r="F326" s="11" t="s">
        <v>17</v>
      </c>
      <c r="G326" s="12">
        <v>1000000</v>
      </c>
      <c r="H326" s="14"/>
      <c r="I326" s="14"/>
      <c r="J326" s="15"/>
      <c r="K326" s="15"/>
      <c r="L326" s="15"/>
      <c r="M326" s="15"/>
      <c r="N326" s="15"/>
      <c r="O326" s="15"/>
      <c r="P326" s="15"/>
      <c r="Q326" s="12">
        <v>1000000</v>
      </c>
      <c r="R326" s="15"/>
    </row>
    <row x14ac:dyDescent="0.25" r="327" customHeight="1" ht="20.1">
      <c r="A327" s="9" t="s">
        <v>463</v>
      </c>
      <c r="B327" s="9" t="s">
        <v>42</v>
      </c>
      <c r="C327" s="10">
        <v>200008</v>
      </c>
      <c r="D327" s="9" t="s">
        <v>43</v>
      </c>
      <c r="E327" s="9" t="s">
        <v>468</v>
      </c>
      <c r="F327" s="11" t="s">
        <v>17</v>
      </c>
      <c r="G327" s="12">
        <v>550000</v>
      </c>
      <c r="H327" s="14"/>
      <c r="I327" s="14"/>
      <c r="J327" s="15"/>
      <c r="K327" s="15"/>
      <c r="L327" s="15"/>
      <c r="M327" s="15"/>
      <c r="N327" s="15"/>
      <c r="O327" s="15"/>
      <c r="P327" s="15"/>
      <c r="Q327" s="12">
        <v>550000</v>
      </c>
      <c r="R327" s="15"/>
    </row>
    <row x14ac:dyDescent="0.25" r="328" customHeight="1" ht="20.1">
      <c r="A328" s="9" t="s">
        <v>463</v>
      </c>
      <c r="B328" s="9" t="s">
        <v>91</v>
      </c>
      <c r="C328" s="10" t="s">
        <v>469</v>
      </c>
      <c r="D328" s="9" t="s">
        <v>93</v>
      </c>
      <c r="E328" s="9" t="s">
        <v>470</v>
      </c>
      <c r="F328" s="11" t="s">
        <v>12</v>
      </c>
      <c r="G328" s="12">
        <v>303800</v>
      </c>
      <c r="H328" s="14"/>
      <c r="I328" s="14"/>
      <c r="J328" s="15"/>
      <c r="K328" s="15"/>
      <c r="L328" s="12">
        <v>303800</v>
      </c>
      <c r="M328" s="15"/>
      <c r="N328" s="15"/>
      <c r="O328" s="15"/>
      <c r="P328" s="15"/>
      <c r="Q328" s="15"/>
      <c r="R328" s="15"/>
    </row>
    <row x14ac:dyDescent="0.25" r="329" customHeight="1" ht="20.1">
      <c r="A329" s="9" t="s">
        <v>463</v>
      </c>
      <c r="B329" s="9" t="s">
        <v>91</v>
      </c>
      <c r="C329" s="10" t="s">
        <v>469</v>
      </c>
      <c r="D329" s="9" t="s">
        <v>43</v>
      </c>
      <c r="E329" s="9" t="s">
        <v>471</v>
      </c>
      <c r="F329" s="11" t="s">
        <v>17</v>
      </c>
      <c r="G329" s="12">
        <v>146200</v>
      </c>
      <c r="H329" s="14"/>
      <c r="I329" s="14"/>
      <c r="J329" s="15"/>
      <c r="K329" s="15"/>
      <c r="L329" s="15"/>
      <c r="M329" s="15"/>
      <c r="N329" s="15"/>
      <c r="O329" s="15"/>
      <c r="P329" s="15"/>
      <c r="Q329" s="12">
        <v>146200</v>
      </c>
      <c r="R329" s="15"/>
    </row>
    <row x14ac:dyDescent="0.25" r="330" customHeight="1" ht="20.1">
      <c r="A330" s="9" t="s">
        <v>463</v>
      </c>
      <c r="B330" s="9" t="s">
        <v>25</v>
      </c>
      <c r="C330" s="10"/>
      <c r="D330" s="9" t="s">
        <v>30</v>
      </c>
      <c r="E330" s="9" t="s">
        <v>472</v>
      </c>
      <c r="F330" s="11" t="s">
        <v>9</v>
      </c>
      <c r="G330" s="12">
        <v>107965000</v>
      </c>
      <c r="H330" s="14"/>
      <c r="I330" s="12">
        <v>107965000</v>
      </c>
      <c r="J330" s="15"/>
      <c r="K330" s="15"/>
      <c r="L330" s="15"/>
      <c r="M330" s="15"/>
      <c r="N330" s="15"/>
      <c r="O330" s="15"/>
      <c r="P330" s="15"/>
      <c r="Q330" s="15"/>
      <c r="R330" s="15"/>
    </row>
    <row x14ac:dyDescent="0.25" r="331" customHeight="1" ht="20.1">
      <c r="A331" s="9" t="s">
        <v>473</v>
      </c>
      <c r="B331" s="9" t="s">
        <v>25</v>
      </c>
      <c r="C331" s="10"/>
      <c r="D331" s="9" t="s">
        <v>26</v>
      </c>
      <c r="E331" s="9" t="s">
        <v>474</v>
      </c>
      <c r="F331" s="11" t="s">
        <v>8</v>
      </c>
      <c r="G331" s="12">
        <v>15295500</v>
      </c>
      <c r="H331" s="12">
        <v>15295500</v>
      </c>
      <c r="I331" s="14"/>
      <c r="J331" s="15"/>
      <c r="K331" s="15"/>
      <c r="L331" s="15"/>
      <c r="M331" s="15"/>
      <c r="N331" s="15"/>
      <c r="O331" s="15"/>
      <c r="P331" s="15"/>
      <c r="Q331" s="15"/>
      <c r="R331" s="15"/>
    </row>
    <row x14ac:dyDescent="0.25" r="332" customHeight="1" ht="20.1">
      <c r="A332" s="9" t="s">
        <v>473</v>
      </c>
      <c r="B332" s="9" t="s">
        <v>25</v>
      </c>
      <c r="C332" s="10"/>
      <c r="D332" s="9" t="s">
        <v>26</v>
      </c>
      <c r="E332" s="9" t="s">
        <v>475</v>
      </c>
      <c r="F332" s="11" t="s">
        <v>8</v>
      </c>
      <c r="G332" s="12">
        <v>1704500</v>
      </c>
      <c r="H332" s="12">
        <v>1704500</v>
      </c>
      <c r="I332" s="14"/>
      <c r="J332" s="15"/>
      <c r="K332" s="15"/>
      <c r="L332" s="15"/>
      <c r="M332" s="15"/>
      <c r="N332" s="15"/>
      <c r="O332" s="15"/>
      <c r="P332" s="15"/>
      <c r="Q332" s="15"/>
      <c r="R332" s="15"/>
    </row>
    <row x14ac:dyDescent="0.25" r="333" customHeight="1" ht="20.1">
      <c r="A333" s="9" t="s">
        <v>476</v>
      </c>
      <c r="B333" s="9" t="s">
        <v>25</v>
      </c>
      <c r="C333" s="10"/>
      <c r="D333" s="9" t="s">
        <v>26</v>
      </c>
      <c r="E333" s="9" t="s">
        <v>477</v>
      </c>
      <c r="F333" s="11" t="s">
        <v>8</v>
      </c>
      <c r="G333" s="12">
        <v>10000000</v>
      </c>
      <c r="H333" s="12">
        <v>10000000</v>
      </c>
      <c r="I333" s="14"/>
      <c r="J333" s="15"/>
      <c r="K333" s="15"/>
      <c r="L333" s="15"/>
      <c r="M333" s="15"/>
      <c r="N333" s="15"/>
      <c r="O333" s="15"/>
      <c r="P333" s="15"/>
      <c r="Q333" s="15"/>
      <c r="R333" s="15"/>
    </row>
    <row x14ac:dyDescent="0.25" r="334" customHeight="1" ht="20.1">
      <c r="A334" s="9" t="s">
        <v>476</v>
      </c>
      <c r="B334" s="9" t="s">
        <v>40</v>
      </c>
      <c r="C334" s="10">
        <v>564237</v>
      </c>
      <c r="D334" s="9" t="s">
        <v>26</v>
      </c>
      <c r="E334" s="9" t="s">
        <v>478</v>
      </c>
      <c r="F334" s="11" t="s">
        <v>8</v>
      </c>
      <c r="G334" s="12">
        <v>64000000</v>
      </c>
      <c r="H334" s="12">
        <v>64000000</v>
      </c>
      <c r="I334" s="14"/>
      <c r="J334" s="15"/>
      <c r="K334" s="15"/>
      <c r="L334" s="15"/>
      <c r="M334" s="15"/>
      <c r="N334" s="15"/>
      <c r="O334" s="15"/>
      <c r="P334" s="15"/>
      <c r="Q334" s="15"/>
      <c r="R334" s="15"/>
    </row>
    <row x14ac:dyDescent="0.25" r="335" customHeight="1" ht="20.1">
      <c r="A335" s="9" t="s">
        <v>476</v>
      </c>
      <c r="B335" s="9" t="s">
        <v>28</v>
      </c>
      <c r="C335" s="10">
        <v>849285</v>
      </c>
      <c r="D335" s="9" t="s">
        <v>26</v>
      </c>
      <c r="E335" s="9" t="s">
        <v>478</v>
      </c>
      <c r="F335" s="11" t="s">
        <v>8</v>
      </c>
      <c r="G335" s="12">
        <v>13938500</v>
      </c>
      <c r="H335" s="12">
        <v>13938500</v>
      </c>
      <c r="I335" s="13"/>
      <c r="J335" s="15"/>
      <c r="K335" s="15"/>
      <c r="L335" s="15"/>
      <c r="M335" s="15"/>
      <c r="N335" s="15"/>
      <c r="O335" s="15"/>
      <c r="P335" s="15"/>
      <c r="Q335" s="15"/>
      <c r="R335" s="15"/>
    </row>
    <row x14ac:dyDescent="0.25" r="336" customHeight="1" ht="20.1">
      <c r="A336" s="9" t="s">
        <v>476</v>
      </c>
      <c r="B336" s="9" t="s">
        <v>20</v>
      </c>
      <c r="C336" s="10">
        <v>200168</v>
      </c>
      <c r="D336" s="9" t="s">
        <v>75</v>
      </c>
      <c r="E336" s="9" t="s">
        <v>479</v>
      </c>
      <c r="F336" s="11" t="s">
        <v>8</v>
      </c>
      <c r="G336" s="12">
        <v>3790000</v>
      </c>
      <c r="H336" s="12">
        <v>3790000</v>
      </c>
      <c r="I336" s="13"/>
      <c r="J336" s="15"/>
      <c r="K336" s="15"/>
      <c r="L336" s="15"/>
      <c r="M336" s="15"/>
      <c r="N336" s="15"/>
      <c r="O336" s="15"/>
      <c r="P336" s="15"/>
      <c r="Q336" s="15"/>
      <c r="R336" s="15"/>
    </row>
    <row x14ac:dyDescent="0.25" r="337" customHeight="1" ht="20.1">
      <c r="A337" s="9" t="s">
        <v>476</v>
      </c>
      <c r="B337" s="9" t="s">
        <v>20</v>
      </c>
      <c r="C337" s="10">
        <v>200211</v>
      </c>
      <c r="D337" s="9" t="s">
        <v>21</v>
      </c>
      <c r="E337" s="9" t="s">
        <v>480</v>
      </c>
      <c r="F337" s="11" t="s">
        <v>9</v>
      </c>
      <c r="G337" s="12">
        <v>8600774</v>
      </c>
      <c r="H337" s="13"/>
      <c r="I337" s="12">
        <v>8600774</v>
      </c>
      <c r="J337" s="15"/>
      <c r="K337" s="15"/>
      <c r="L337" s="15"/>
      <c r="M337" s="15"/>
      <c r="N337" s="15"/>
      <c r="O337" s="15"/>
      <c r="P337" s="15"/>
      <c r="Q337" s="15"/>
      <c r="R337" s="15"/>
    </row>
    <row x14ac:dyDescent="0.25" r="338" customHeight="1" ht="20.1">
      <c r="A338" s="9" t="s">
        <v>476</v>
      </c>
      <c r="B338" s="9" t="s">
        <v>20</v>
      </c>
      <c r="C338" s="10">
        <v>200165</v>
      </c>
      <c r="D338" s="9" t="s">
        <v>23</v>
      </c>
      <c r="E338" s="9" t="s">
        <v>481</v>
      </c>
      <c r="F338" s="11" t="s">
        <v>9</v>
      </c>
      <c r="G338" s="12">
        <v>300000</v>
      </c>
      <c r="H338" s="13"/>
      <c r="I338" s="12">
        <v>300000</v>
      </c>
      <c r="J338" s="15"/>
      <c r="K338" s="15"/>
      <c r="L338" s="15"/>
      <c r="M338" s="15"/>
      <c r="N338" s="15"/>
      <c r="O338" s="15"/>
      <c r="P338" s="15"/>
      <c r="Q338" s="15"/>
      <c r="R338" s="15"/>
    </row>
    <row x14ac:dyDescent="0.25" r="339" customHeight="1" ht="20.1">
      <c r="A339" s="9" t="s">
        <v>476</v>
      </c>
      <c r="B339" s="9" t="s">
        <v>336</v>
      </c>
      <c r="C339" s="10">
        <v>111702</v>
      </c>
      <c r="D339" s="9" t="s">
        <v>30</v>
      </c>
      <c r="E339" s="9" t="s">
        <v>482</v>
      </c>
      <c r="F339" s="11" t="s">
        <v>9</v>
      </c>
      <c r="G339" s="12">
        <v>78247680</v>
      </c>
      <c r="H339" s="13"/>
      <c r="I339" s="12">
        <v>78247680</v>
      </c>
      <c r="J339" s="15"/>
      <c r="K339" s="15"/>
      <c r="L339" s="15"/>
      <c r="M339" s="15"/>
      <c r="N339" s="15"/>
      <c r="O339" s="15"/>
      <c r="P339" s="15"/>
      <c r="Q339" s="15"/>
      <c r="R339" s="15"/>
    </row>
    <row x14ac:dyDescent="0.25" r="340" customHeight="1" ht="20.1">
      <c r="A340" s="9" t="s">
        <v>476</v>
      </c>
      <c r="B340" s="9" t="s">
        <v>151</v>
      </c>
      <c r="C340" s="10" t="s">
        <v>483</v>
      </c>
      <c r="D340" s="9" t="s">
        <v>153</v>
      </c>
      <c r="E340" s="9" t="s">
        <v>484</v>
      </c>
      <c r="F340" s="11" t="s">
        <v>9</v>
      </c>
      <c r="G340" s="12">
        <v>500000</v>
      </c>
      <c r="H340" s="13"/>
      <c r="I340" s="12">
        <v>500000</v>
      </c>
      <c r="J340" s="15"/>
      <c r="K340" s="15"/>
      <c r="L340" s="15"/>
      <c r="M340" s="15"/>
      <c r="N340" s="15"/>
      <c r="O340" s="15"/>
      <c r="P340" s="15"/>
      <c r="Q340" s="15"/>
      <c r="R340" s="15"/>
    </row>
    <row x14ac:dyDescent="0.25" r="341" customHeight="1" ht="20.1">
      <c r="A341" s="9" t="s">
        <v>476</v>
      </c>
      <c r="B341" s="9" t="s">
        <v>485</v>
      </c>
      <c r="C341" s="10"/>
      <c r="D341" s="9" t="s">
        <v>486</v>
      </c>
      <c r="E341" s="9" t="s">
        <v>487</v>
      </c>
      <c r="F341" s="11" t="s">
        <v>13</v>
      </c>
      <c r="G341" s="12">
        <v>6000</v>
      </c>
      <c r="H341" s="13"/>
      <c r="I341" s="13"/>
      <c r="J341" s="15"/>
      <c r="K341" s="15"/>
      <c r="L341" s="15"/>
      <c r="M341" s="12">
        <v>6000</v>
      </c>
      <c r="N341" s="15"/>
      <c r="O341" s="15"/>
      <c r="P341" s="15"/>
      <c r="Q341" s="15"/>
      <c r="R341" s="15"/>
    </row>
    <row x14ac:dyDescent="0.25" r="342" customHeight="1" ht="20.1">
      <c r="A342" s="9" t="s">
        <v>476</v>
      </c>
      <c r="B342" s="9" t="s">
        <v>485</v>
      </c>
      <c r="C342" s="10"/>
      <c r="D342" s="9" t="s">
        <v>486</v>
      </c>
      <c r="E342" s="9" t="s">
        <v>488</v>
      </c>
      <c r="F342" s="11" t="s">
        <v>13</v>
      </c>
      <c r="G342" s="12">
        <v>70000</v>
      </c>
      <c r="H342" s="13"/>
      <c r="I342" s="13"/>
      <c r="J342" s="15"/>
      <c r="K342" s="15"/>
      <c r="L342" s="15"/>
      <c r="M342" s="12">
        <v>70000</v>
      </c>
      <c r="N342" s="15"/>
      <c r="O342" s="15"/>
      <c r="P342" s="15"/>
      <c r="Q342" s="15"/>
      <c r="R342" s="15"/>
    </row>
    <row x14ac:dyDescent="0.25" r="343" customHeight="1" ht="20.1">
      <c r="A343" s="9" t="s">
        <v>476</v>
      </c>
      <c r="B343" s="9" t="s">
        <v>485</v>
      </c>
      <c r="C343" s="10"/>
      <c r="D343" s="9" t="s">
        <v>486</v>
      </c>
      <c r="E343" s="9" t="s">
        <v>489</v>
      </c>
      <c r="F343" s="11" t="s">
        <v>13</v>
      </c>
      <c r="G343" s="12">
        <v>43000</v>
      </c>
      <c r="H343" s="13"/>
      <c r="I343" s="13"/>
      <c r="J343" s="15"/>
      <c r="K343" s="15"/>
      <c r="L343" s="15"/>
      <c r="M343" s="12">
        <v>43000</v>
      </c>
      <c r="N343" s="15"/>
      <c r="O343" s="15"/>
      <c r="P343" s="15"/>
      <c r="Q343" s="15"/>
      <c r="R343" s="15"/>
    </row>
    <row x14ac:dyDescent="0.25" r="344" customHeight="1" ht="20.1">
      <c r="A344" s="9" t="s">
        <v>490</v>
      </c>
      <c r="B344" s="9" t="s">
        <v>40</v>
      </c>
      <c r="C344" s="10">
        <v>564238</v>
      </c>
      <c r="D344" s="9" t="s">
        <v>26</v>
      </c>
      <c r="E344" s="9" t="s">
        <v>491</v>
      </c>
      <c r="F344" s="11" t="s">
        <v>8</v>
      </c>
      <c r="G344" s="12">
        <v>42360000</v>
      </c>
      <c r="H344" s="12">
        <v>42360000</v>
      </c>
      <c r="I344" s="13"/>
      <c r="J344" s="15"/>
      <c r="K344" s="15"/>
      <c r="L344" s="15"/>
      <c r="M344" s="15"/>
      <c r="N344" s="15"/>
      <c r="O344" s="15"/>
      <c r="P344" s="15"/>
      <c r="Q344" s="15"/>
      <c r="R344" s="15"/>
    </row>
    <row x14ac:dyDescent="0.25" r="345" customHeight="1" ht="20.1">
      <c r="A345" s="9" t="s">
        <v>490</v>
      </c>
      <c r="B345" s="9" t="s">
        <v>100</v>
      </c>
      <c r="C345" s="10" t="s">
        <v>492</v>
      </c>
      <c r="D345" s="9" t="s">
        <v>30</v>
      </c>
      <c r="E345" s="9" t="s">
        <v>493</v>
      </c>
      <c r="F345" s="11" t="s">
        <v>9</v>
      </c>
      <c r="G345" s="12">
        <v>90400000</v>
      </c>
      <c r="H345" s="14"/>
      <c r="I345" s="12">
        <v>90400000</v>
      </c>
      <c r="J345" s="15"/>
      <c r="K345" s="15"/>
      <c r="L345" s="15"/>
      <c r="M345" s="15"/>
      <c r="N345" s="15"/>
      <c r="O345" s="15"/>
      <c r="P345" s="15"/>
      <c r="Q345" s="15"/>
      <c r="R345" s="15"/>
    </row>
    <row x14ac:dyDescent="0.25" r="346" customHeight="1" ht="20.1">
      <c r="A346" s="9" t="s">
        <v>490</v>
      </c>
      <c r="B346" s="9" t="s">
        <v>151</v>
      </c>
      <c r="C346" s="10" t="s">
        <v>494</v>
      </c>
      <c r="D346" s="9" t="s">
        <v>30</v>
      </c>
      <c r="E346" s="9" t="s">
        <v>495</v>
      </c>
      <c r="F346" s="11" t="s">
        <v>9</v>
      </c>
      <c r="G346" s="12">
        <v>66960000</v>
      </c>
      <c r="H346" s="14"/>
      <c r="I346" s="12">
        <v>66960000</v>
      </c>
      <c r="J346" s="15"/>
      <c r="K346" s="15"/>
      <c r="L346" s="15"/>
      <c r="M346" s="15"/>
      <c r="N346" s="15"/>
      <c r="O346" s="15"/>
      <c r="P346" s="15"/>
      <c r="Q346" s="15"/>
      <c r="R346" s="15"/>
    </row>
    <row x14ac:dyDescent="0.25" r="347" customHeight="1" ht="20.1">
      <c r="A347" s="9" t="s">
        <v>490</v>
      </c>
      <c r="B347" s="9" t="s">
        <v>485</v>
      </c>
      <c r="C347" s="10"/>
      <c r="D347" s="9" t="s">
        <v>38</v>
      </c>
      <c r="E347" s="9" t="s">
        <v>496</v>
      </c>
      <c r="F347" s="11"/>
      <c r="G347" s="12">
        <v>30000</v>
      </c>
      <c r="H347" s="12">
        <v>30000</v>
      </c>
      <c r="I347" s="13"/>
      <c r="J347" s="15"/>
      <c r="K347" s="15"/>
      <c r="L347" s="15"/>
      <c r="M347" s="15"/>
      <c r="N347" s="15"/>
      <c r="O347" s="15"/>
      <c r="P347" s="15"/>
      <c r="Q347" s="15"/>
      <c r="R347" s="15"/>
    </row>
    <row x14ac:dyDescent="0.25" r="348" customHeight="1" ht="20.1">
      <c r="A348" s="9" t="s">
        <v>490</v>
      </c>
      <c r="B348" s="9" t="s">
        <v>20</v>
      </c>
      <c r="C348" s="10">
        <v>200212</v>
      </c>
      <c r="D348" s="9" t="s">
        <v>26</v>
      </c>
      <c r="E348" s="9" t="s">
        <v>497</v>
      </c>
      <c r="F348" s="11" t="s">
        <v>10</v>
      </c>
      <c r="G348" s="12">
        <v>20000000</v>
      </c>
      <c r="H348" s="14"/>
      <c r="I348" s="13"/>
      <c r="J348" s="12">
        <v>20000000</v>
      </c>
      <c r="K348" s="15"/>
      <c r="L348" s="15"/>
      <c r="M348" s="15"/>
      <c r="N348" s="15"/>
      <c r="O348" s="15"/>
      <c r="P348" s="15"/>
      <c r="Q348" s="15"/>
      <c r="R348" s="15"/>
    </row>
    <row x14ac:dyDescent="0.25" r="349" customHeight="1" ht="20.1">
      <c r="A349" s="9" t="s">
        <v>490</v>
      </c>
      <c r="B349" s="9" t="s">
        <v>498</v>
      </c>
      <c r="C349" s="10">
        <v>200006</v>
      </c>
      <c r="D349" s="9" t="s">
        <v>26</v>
      </c>
      <c r="E349" s="9" t="s">
        <v>497</v>
      </c>
      <c r="F349" s="11" t="s">
        <v>10</v>
      </c>
      <c r="G349" s="12">
        <v>20000000</v>
      </c>
      <c r="H349" s="14"/>
      <c r="I349" s="13"/>
      <c r="J349" s="12">
        <v>20000000</v>
      </c>
      <c r="K349" s="15"/>
      <c r="L349" s="15"/>
      <c r="M349" s="15"/>
      <c r="N349" s="15"/>
      <c r="O349" s="15"/>
      <c r="P349" s="15"/>
      <c r="Q349" s="15"/>
      <c r="R349" s="15"/>
    </row>
    <row x14ac:dyDescent="0.25" r="350" customHeight="1" ht="20.1">
      <c r="A350" s="9" t="s">
        <v>490</v>
      </c>
      <c r="B350" s="9" t="s">
        <v>418</v>
      </c>
      <c r="C350" s="10">
        <v>20000656</v>
      </c>
      <c r="D350" s="9" t="s">
        <v>26</v>
      </c>
      <c r="E350" s="9" t="s">
        <v>497</v>
      </c>
      <c r="F350" s="11" t="s">
        <v>10</v>
      </c>
      <c r="G350" s="12">
        <v>20000000</v>
      </c>
      <c r="H350" s="14"/>
      <c r="I350" s="13"/>
      <c r="J350" s="12">
        <v>20000000</v>
      </c>
      <c r="K350" s="15"/>
      <c r="L350" s="15"/>
      <c r="M350" s="15"/>
      <c r="N350" s="15"/>
      <c r="O350" s="15"/>
      <c r="P350" s="15"/>
      <c r="Q350" s="15"/>
      <c r="R350" s="15"/>
    </row>
    <row x14ac:dyDescent="0.25" r="351" customHeight="1" ht="20.1">
      <c r="A351" s="9" t="s">
        <v>490</v>
      </c>
      <c r="B351" s="9" t="s">
        <v>419</v>
      </c>
      <c r="C351" s="10">
        <v>200003</v>
      </c>
      <c r="D351" s="9" t="s">
        <v>26</v>
      </c>
      <c r="E351" s="9" t="s">
        <v>497</v>
      </c>
      <c r="F351" s="11" t="s">
        <v>10</v>
      </c>
      <c r="G351" s="12">
        <v>20000000</v>
      </c>
      <c r="H351" s="14"/>
      <c r="I351" s="13"/>
      <c r="J351" s="12">
        <v>20000000</v>
      </c>
      <c r="K351" s="15"/>
      <c r="L351" s="15"/>
      <c r="M351" s="15"/>
      <c r="N351" s="15"/>
      <c r="O351" s="15"/>
      <c r="P351" s="15"/>
      <c r="Q351" s="15"/>
      <c r="R351" s="15"/>
    </row>
    <row x14ac:dyDescent="0.25" r="352" customHeight="1" ht="20.1">
      <c r="A352" s="9" t="s">
        <v>490</v>
      </c>
      <c r="B352" s="9" t="s">
        <v>28</v>
      </c>
      <c r="C352" s="10">
        <v>849287</v>
      </c>
      <c r="D352" s="28" t="s">
        <v>226</v>
      </c>
      <c r="E352" s="9" t="s">
        <v>499</v>
      </c>
      <c r="F352" s="11" t="s">
        <v>10</v>
      </c>
      <c r="G352" s="12">
        <v>80000000</v>
      </c>
      <c r="H352" s="14"/>
      <c r="I352" s="13"/>
      <c r="J352" s="12">
        <v>80000000</v>
      </c>
      <c r="K352" s="15"/>
      <c r="L352" s="15"/>
      <c r="M352" s="15"/>
      <c r="N352" s="15"/>
      <c r="O352" s="15"/>
      <c r="P352" s="15"/>
      <c r="Q352" s="15"/>
      <c r="R352" s="15"/>
    </row>
    <row x14ac:dyDescent="0.25" r="353" customHeight="1" ht="20.1">
      <c r="A353" s="9" t="s">
        <v>490</v>
      </c>
      <c r="B353" s="9" t="s">
        <v>20</v>
      </c>
      <c r="C353" s="10">
        <v>200169</v>
      </c>
      <c r="D353" s="9" t="s">
        <v>73</v>
      </c>
      <c r="E353" s="9" t="s">
        <v>500</v>
      </c>
      <c r="F353" s="11" t="s">
        <v>10</v>
      </c>
      <c r="G353" s="12">
        <v>11698200</v>
      </c>
      <c r="H353" s="14"/>
      <c r="I353" s="13"/>
      <c r="J353" s="12">
        <v>11698200</v>
      </c>
      <c r="K353" s="15"/>
      <c r="L353" s="15"/>
      <c r="M353" s="15"/>
      <c r="N353" s="15"/>
      <c r="O353" s="15"/>
      <c r="P353" s="15"/>
      <c r="Q353" s="15"/>
      <c r="R353" s="15"/>
    </row>
    <row x14ac:dyDescent="0.25" r="354" customHeight="1" ht="20.1">
      <c r="A354" s="9" t="s">
        <v>490</v>
      </c>
      <c r="B354" s="9" t="s">
        <v>501</v>
      </c>
      <c r="C354" s="10"/>
      <c r="D354" s="9" t="s">
        <v>30</v>
      </c>
      <c r="E354" s="9" t="s">
        <v>502</v>
      </c>
      <c r="F354" s="11" t="s">
        <v>13</v>
      </c>
      <c r="G354" s="12">
        <v>72042100</v>
      </c>
      <c r="H354" s="14"/>
      <c r="I354" s="13"/>
      <c r="J354" s="15"/>
      <c r="K354" s="15"/>
      <c r="L354" s="15"/>
      <c r="M354" s="12">
        <v>72042100</v>
      </c>
      <c r="N354" s="15"/>
      <c r="O354" s="15"/>
      <c r="P354" s="15"/>
      <c r="Q354" s="15"/>
      <c r="R354" s="15"/>
    </row>
    <row x14ac:dyDescent="0.25" r="355" customHeight="1" ht="20.1">
      <c r="A355" s="9" t="s">
        <v>490</v>
      </c>
      <c r="B355" s="9" t="s">
        <v>20</v>
      </c>
      <c r="C355" s="10">
        <v>200170</v>
      </c>
      <c r="D355" s="9" t="s">
        <v>30</v>
      </c>
      <c r="E355" s="9" t="s">
        <v>503</v>
      </c>
      <c r="F355" s="11" t="s">
        <v>9</v>
      </c>
      <c r="G355" s="12">
        <v>50000000</v>
      </c>
      <c r="H355" s="14"/>
      <c r="I355" s="12">
        <v>50000000</v>
      </c>
      <c r="J355" s="15"/>
      <c r="K355" s="15"/>
      <c r="L355" s="15"/>
      <c r="M355" s="15"/>
      <c r="N355" s="15"/>
      <c r="O355" s="15"/>
      <c r="P355" s="15"/>
      <c r="Q355" s="15"/>
      <c r="R355" s="15"/>
    </row>
    <row x14ac:dyDescent="0.25" r="356" customHeight="1" ht="20.1">
      <c r="A356" s="9" t="s">
        <v>490</v>
      </c>
      <c r="B356" s="9" t="s">
        <v>501</v>
      </c>
      <c r="C356" s="10"/>
      <c r="D356" s="9" t="s">
        <v>30</v>
      </c>
      <c r="E356" s="9" t="s">
        <v>504</v>
      </c>
      <c r="F356" s="11" t="s">
        <v>9</v>
      </c>
      <c r="G356" s="12">
        <v>10822000</v>
      </c>
      <c r="H356" s="14"/>
      <c r="I356" s="12">
        <v>10822000</v>
      </c>
      <c r="J356" s="15"/>
      <c r="K356" s="15"/>
      <c r="L356" s="15"/>
      <c r="M356" s="15"/>
      <c r="N356" s="15"/>
      <c r="O356" s="15"/>
      <c r="P356" s="15"/>
      <c r="Q356" s="15"/>
      <c r="R356" s="15"/>
    </row>
    <row x14ac:dyDescent="0.25" r="357" customHeight="1" ht="20.1">
      <c r="A357" s="9" t="s">
        <v>490</v>
      </c>
      <c r="B357" s="9" t="s">
        <v>25</v>
      </c>
      <c r="C357" s="10"/>
      <c r="D357" s="9" t="s">
        <v>30</v>
      </c>
      <c r="E357" s="9" t="s">
        <v>45</v>
      </c>
      <c r="F357" s="11" t="s">
        <v>9</v>
      </c>
      <c r="G357" s="12">
        <v>50000000</v>
      </c>
      <c r="H357" s="14"/>
      <c r="I357" s="12">
        <v>50000000</v>
      </c>
      <c r="J357" s="15"/>
      <c r="K357" s="15"/>
      <c r="L357" s="15"/>
      <c r="M357" s="15"/>
      <c r="N357" s="15"/>
      <c r="O357" s="15"/>
      <c r="P357" s="15"/>
      <c r="Q357" s="15"/>
      <c r="R357" s="15"/>
    </row>
    <row x14ac:dyDescent="0.25" r="358" customHeight="1" ht="20.1">
      <c r="A358" s="9" t="s">
        <v>490</v>
      </c>
      <c r="B358" s="9" t="s">
        <v>214</v>
      </c>
      <c r="C358" s="10"/>
      <c r="D358" s="9" t="s">
        <v>26</v>
      </c>
      <c r="E358" s="9" t="s">
        <v>505</v>
      </c>
      <c r="F358" s="11" t="s">
        <v>8</v>
      </c>
      <c r="G358" s="12">
        <v>5000000</v>
      </c>
      <c r="H358" s="12">
        <v>5000000</v>
      </c>
      <c r="I358" s="13"/>
      <c r="J358" s="15"/>
      <c r="K358" s="15"/>
      <c r="L358" s="15"/>
      <c r="M358" s="15"/>
      <c r="N358" s="15"/>
      <c r="O358" s="15"/>
      <c r="P358" s="15"/>
      <c r="Q358" s="15"/>
      <c r="R358" s="15"/>
    </row>
    <row x14ac:dyDescent="0.25" r="359" customHeight="1" ht="20.1">
      <c r="A359" s="9" t="s">
        <v>506</v>
      </c>
      <c r="B359" s="9" t="s">
        <v>20</v>
      </c>
      <c r="C359" s="10">
        <v>200215</v>
      </c>
      <c r="D359" s="9" t="s">
        <v>26</v>
      </c>
      <c r="E359" s="9" t="s">
        <v>507</v>
      </c>
      <c r="F359" s="11" t="s">
        <v>10</v>
      </c>
      <c r="G359" s="12">
        <v>11200000</v>
      </c>
      <c r="H359" s="14"/>
      <c r="I359" s="13"/>
      <c r="J359" s="12">
        <v>11200000</v>
      </c>
      <c r="K359" s="15"/>
      <c r="L359" s="15"/>
      <c r="M359" s="15"/>
      <c r="N359" s="15"/>
      <c r="O359" s="15"/>
      <c r="P359" s="15"/>
      <c r="Q359" s="15"/>
      <c r="R359" s="15"/>
    </row>
    <row x14ac:dyDescent="0.25" r="360" customHeight="1" ht="20.1">
      <c r="A360" s="9" t="s">
        <v>506</v>
      </c>
      <c r="B360" s="9" t="s">
        <v>419</v>
      </c>
      <c r="C360" s="10">
        <v>200004</v>
      </c>
      <c r="D360" s="9" t="s">
        <v>26</v>
      </c>
      <c r="E360" s="9" t="s">
        <v>507</v>
      </c>
      <c r="F360" s="11" t="s">
        <v>10</v>
      </c>
      <c r="G360" s="12">
        <v>10522500</v>
      </c>
      <c r="H360" s="14"/>
      <c r="I360" s="13"/>
      <c r="J360" s="12">
        <v>10522500</v>
      </c>
      <c r="K360" s="15"/>
      <c r="L360" s="15"/>
      <c r="M360" s="15"/>
      <c r="N360" s="15"/>
      <c r="O360" s="15"/>
      <c r="P360" s="15"/>
      <c r="Q360" s="15"/>
      <c r="R360" s="15"/>
    </row>
    <row x14ac:dyDescent="0.25" r="361" customHeight="1" ht="20.1">
      <c r="A361" s="9" t="s">
        <v>506</v>
      </c>
      <c r="B361" s="9" t="s">
        <v>28</v>
      </c>
      <c r="C361" s="10">
        <v>849290</v>
      </c>
      <c r="D361" s="9" t="s">
        <v>26</v>
      </c>
      <c r="E361" s="9" t="s">
        <v>508</v>
      </c>
      <c r="F361" s="11" t="s">
        <v>10</v>
      </c>
      <c r="G361" s="12">
        <v>60000000</v>
      </c>
      <c r="H361" s="14"/>
      <c r="I361" s="13"/>
      <c r="J361" s="12">
        <v>60000000</v>
      </c>
      <c r="K361" s="15"/>
      <c r="L361" s="15"/>
      <c r="M361" s="15"/>
      <c r="N361" s="15"/>
      <c r="O361" s="15"/>
      <c r="P361" s="15"/>
      <c r="Q361" s="15"/>
      <c r="R361" s="15"/>
    </row>
    <row x14ac:dyDescent="0.25" r="362" customHeight="1" ht="20.1">
      <c r="A362" s="9" t="s">
        <v>506</v>
      </c>
      <c r="B362" s="9" t="s">
        <v>28</v>
      </c>
      <c r="C362" s="10">
        <v>849489</v>
      </c>
      <c r="D362" s="28" t="s">
        <v>226</v>
      </c>
      <c r="E362" s="9" t="s">
        <v>509</v>
      </c>
      <c r="F362" s="11" t="s">
        <v>10</v>
      </c>
      <c r="G362" s="12">
        <v>50000000</v>
      </c>
      <c r="H362" s="14"/>
      <c r="I362" s="13"/>
      <c r="J362" s="12">
        <v>50000000</v>
      </c>
      <c r="K362" s="15"/>
      <c r="L362" s="15"/>
      <c r="M362" s="15"/>
      <c r="N362" s="15"/>
      <c r="O362" s="15"/>
      <c r="P362" s="15"/>
      <c r="Q362" s="15"/>
      <c r="R362" s="15"/>
    </row>
    <row x14ac:dyDescent="0.25" r="363" customHeight="1" ht="20.1">
      <c r="A363" s="9" t="s">
        <v>506</v>
      </c>
      <c r="B363" s="9" t="s">
        <v>20</v>
      </c>
      <c r="C363" s="10">
        <v>200171</v>
      </c>
      <c r="D363" s="9" t="s">
        <v>86</v>
      </c>
      <c r="E363" s="9" t="s">
        <v>510</v>
      </c>
      <c r="F363" s="11" t="s">
        <v>8</v>
      </c>
      <c r="G363" s="12">
        <v>49372640</v>
      </c>
      <c r="H363" s="12">
        <v>49372640</v>
      </c>
      <c r="I363" s="13"/>
      <c r="J363" s="15"/>
      <c r="K363" s="15"/>
      <c r="L363" s="15"/>
      <c r="M363" s="15"/>
      <c r="N363" s="15"/>
      <c r="O363" s="15"/>
      <c r="P363" s="15"/>
      <c r="Q363" s="15"/>
      <c r="R363" s="15"/>
    </row>
    <row x14ac:dyDescent="0.25" r="364" customHeight="1" ht="20.1">
      <c r="A364" s="9" t="s">
        <v>506</v>
      </c>
      <c r="B364" s="9" t="s">
        <v>51</v>
      </c>
      <c r="C364" s="10" t="s">
        <v>511</v>
      </c>
      <c r="D364" s="9" t="s">
        <v>21</v>
      </c>
      <c r="E364" s="9" t="s">
        <v>512</v>
      </c>
      <c r="F364" s="11" t="s">
        <v>9</v>
      </c>
      <c r="G364" s="12">
        <v>11019296</v>
      </c>
      <c r="H364" s="14"/>
      <c r="I364" s="12">
        <v>11019296</v>
      </c>
      <c r="J364" s="15"/>
      <c r="K364" s="15"/>
      <c r="L364" s="15"/>
      <c r="M364" s="15"/>
      <c r="N364" s="15"/>
      <c r="O364" s="15"/>
      <c r="P364" s="15"/>
      <c r="Q364" s="15"/>
      <c r="R364" s="15"/>
    </row>
    <row x14ac:dyDescent="0.25" r="365" customHeight="1" ht="20.1">
      <c r="A365" s="9" t="s">
        <v>506</v>
      </c>
      <c r="B365" s="9" t="s">
        <v>28</v>
      </c>
      <c r="C365" s="10">
        <v>849288</v>
      </c>
      <c r="D365" s="9" t="s">
        <v>23</v>
      </c>
      <c r="E365" s="9" t="s">
        <v>513</v>
      </c>
      <c r="F365" s="11" t="s">
        <v>9</v>
      </c>
      <c r="G365" s="12">
        <v>400000</v>
      </c>
      <c r="H365" s="14"/>
      <c r="I365" s="12">
        <v>400000</v>
      </c>
      <c r="J365" s="15"/>
      <c r="K365" s="15"/>
      <c r="L365" s="15"/>
      <c r="M365" s="15"/>
      <c r="N365" s="15"/>
      <c r="O365" s="15"/>
      <c r="P365" s="15"/>
      <c r="Q365" s="15"/>
      <c r="R365" s="15"/>
    </row>
    <row x14ac:dyDescent="0.25" r="366" customHeight="1" ht="20.1">
      <c r="A366" s="9" t="s">
        <v>506</v>
      </c>
      <c r="B366" s="9" t="s">
        <v>25</v>
      </c>
      <c r="C366" s="10"/>
      <c r="D366" s="9" t="s">
        <v>30</v>
      </c>
      <c r="E366" s="9" t="s">
        <v>514</v>
      </c>
      <c r="F366" s="11" t="s">
        <v>12</v>
      </c>
      <c r="G366" s="12">
        <v>32000000</v>
      </c>
      <c r="H366" s="14"/>
      <c r="I366" s="13"/>
      <c r="J366" s="15"/>
      <c r="K366" s="15"/>
      <c r="L366" s="12">
        <v>32000000</v>
      </c>
      <c r="M366" s="15"/>
      <c r="N366" s="15"/>
      <c r="O366" s="15"/>
      <c r="P366" s="15"/>
      <c r="Q366" s="15"/>
      <c r="R366" s="15"/>
    </row>
    <row x14ac:dyDescent="0.25" r="367" customHeight="1" ht="20.1">
      <c r="A367" s="9" t="s">
        <v>515</v>
      </c>
      <c r="B367" s="9" t="s">
        <v>25</v>
      </c>
      <c r="C367" s="10"/>
      <c r="D367" s="9" t="s">
        <v>30</v>
      </c>
      <c r="E367" s="9" t="s">
        <v>514</v>
      </c>
      <c r="F367" s="11" t="s">
        <v>12</v>
      </c>
      <c r="G367" s="12">
        <v>50000000</v>
      </c>
      <c r="H367" s="14"/>
      <c r="I367" s="13"/>
      <c r="J367" s="15"/>
      <c r="K367" s="15"/>
      <c r="L367" s="12">
        <v>50000000</v>
      </c>
      <c r="M367" s="15"/>
      <c r="N367" s="15"/>
      <c r="O367" s="15"/>
      <c r="P367" s="15"/>
      <c r="Q367" s="15"/>
      <c r="R367" s="15"/>
    </row>
    <row x14ac:dyDescent="0.25" r="368" customHeight="1" ht="20.1">
      <c r="A368" s="9" t="s">
        <v>515</v>
      </c>
      <c r="B368" s="9" t="s">
        <v>25</v>
      </c>
      <c r="C368" s="10"/>
      <c r="D368" s="9" t="s">
        <v>26</v>
      </c>
      <c r="E368" s="9" t="s">
        <v>516</v>
      </c>
      <c r="F368" s="11" t="s">
        <v>10</v>
      </c>
      <c r="G368" s="12">
        <v>26030500</v>
      </c>
      <c r="H368" s="14"/>
      <c r="I368" s="13"/>
      <c r="J368" s="12">
        <v>26030500</v>
      </c>
      <c r="K368" s="15"/>
      <c r="L368" s="15"/>
      <c r="M368" s="15"/>
      <c r="N368" s="15"/>
      <c r="O368" s="15"/>
      <c r="P368" s="15"/>
      <c r="Q368" s="15"/>
      <c r="R368" s="15"/>
    </row>
    <row x14ac:dyDescent="0.25" r="369" customHeight="1" ht="20.1">
      <c r="A369" s="9" t="s">
        <v>515</v>
      </c>
      <c r="B369" s="9" t="s">
        <v>187</v>
      </c>
      <c r="C369" s="10" t="s">
        <v>517</v>
      </c>
      <c r="D369" s="9" t="s">
        <v>30</v>
      </c>
      <c r="E369" s="9" t="s">
        <v>518</v>
      </c>
      <c r="F369" s="11" t="s">
        <v>14</v>
      </c>
      <c r="G369" s="12">
        <v>100000000</v>
      </c>
      <c r="H369" s="14"/>
      <c r="I369" s="13"/>
      <c r="J369" s="15"/>
      <c r="K369" s="15"/>
      <c r="L369" s="15"/>
      <c r="M369" s="15"/>
      <c r="N369" s="12">
        <v>100000000</v>
      </c>
      <c r="O369" s="15"/>
      <c r="P369" s="15"/>
      <c r="Q369" s="15"/>
      <c r="R369" s="15"/>
    </row>
    <row x14ac:dyDescent="0.25" r="370" customHeight="1" ht="20.1">
      <c r="A370" s="9" t="s">
        <v>515</v>
      </c>
      <c r="B370" s="9" t="s">
        <v>187</v>
      </c>
      <c r="C370" s="10" t="s">
        <v>519</v>
      </c>
      <c r="D370" s="9" t="s">
        <v>30</v>
      </c>
      <c r="E370" s="9" t="s">
        <v>520</v>
      </c>
      <c r="F370" s="11" t="s">
        <v>14</v>
      </c>
      <c r="G370" s="12">
        <v>75778000</v>
      </c>
      <c r="H370" s="14"/>
      <c r="I370" s="13"/>
      <c r="J370" s="15"/>
      <c r="K370" s="15"/>
      <c r="L370" s="15"/>
      <c r="M370" s="15"/>
      <c r="N370" s="12">
        <v>75778000</v>
      </c>
      <c r="O370" s="15"/>
      <c r="P370" s="15"/>
      <c r="Q370" s="15"/>
      <c r="R370" s="15"/>
    </row>
    <row x14ac:dyDescent="0.25" r="371" customHeight="1" ht="20.1">
      <c r="A371" s="9" t="s">
        <v>515</v>
      </c>
      <c r="B371" s="9" t="s">
        <v>521</v>
      </c>
      <c r="C371" s="10" t="s">
        <v>522</v>
      </c>
      <c r="D371" s="9" t="s">
        <v>234</v>
      </c>
      <c r="E371" s="9" t="s">
        <v>523</v>
      </c>
      <c r="F371" s="11" t="s">
        <v>8</v>
      </c>
      <c r="G371" s="12">
        <v>75379285</v>
      </c>
      <c r="H371" s="12">
        <v>75379285</v>
      </c>
      <c r="I371" s="13"/>
      <c r="J371" s="15"/>
      <c r="K371" s="15"/>
      <c r="L371" s="15"/>
      <c r="M371" s="15"/>
      <c r="N371" s="15"/>
      <c r="O371" s="15"/>
      <c r="P371" s="15"/>
      <c r="Q371" s="15"/>
      <c r="R371" s="15"/>
    </row>
    <row x14ac:dyDescent="0.25" r="372" customHeight="1" ht="20.1">
      <c r="A372" s="9" t="s">
        <v>515</v>
      </c>
      <c r="B372" s="9" t="s">
        <v>25</v>
      </c>
      <c r="C372" s="10"/>
      <c r="D372" s="9" t="s">
        <v>26</v>
      </c>
      <c r="E372" s="9" t="s">
        <v>524</v>
      </c>
      <c r="F372" s="11" t="s">
        <v>8</v>
      </c>
      <c r="G372" s="12">
        <v>19602000</v>
      </c>
      <c r="H372" s="12">
        <v>19602000</v>
      </c>
      <c r="I372" s="13"/>
      <c r="J372" s="15"/>
      <c r="K372" s="15"/>
      <c r="L372" s="15"/>
      <c r="M372" s="15"/>
      <c r="N372" s="15"/>
      <c r="O372" s="15"/>
      <c r="P372" s="15"/>
      <c r="Q372" s="15"/>
      <c r="R372" s="15"/>
    </row>
    <row x14ac:dyDescent="0.25" r="373" customHeight="1" ht="20.1">
      <c r="A373" s="9" t="s">
        <v>515</v>
      </c>
      <c r="B373" s="9" t="s">
        <v>25</v>
      </c>
      <c r="C373" s="10"/>
      <c r="D373" s="9" t="s">
        <v>26</v>
      </c>
      <c r="E373" s="9" t="s">
        <v>525</v>
      </c>
      <c r="F373" s="11" t="s">
        <v>8</v>
      </c>
      <c r="G373" s="12">
        <v>10650000</v>
      </c>
      <c r="H373" s="12">
        <v>10650000</v>
      </c>
      <c r="I373" s="13"/>
      <c r="J373" s="15"/>
      <c r="K373" s="15"/>
      <c r="L373" s="15"/>
      <c r="M373" s="15"/>
      <c r="N373" s="15"/>
      <c r="O373" s="15"/>
      <c r="P373" s="15"/>
      <c r="Q373" s="15"/>
      <c r="R373" s="15"/>
    </row>
    <row x14ac:dyDescent="0.25" r="374" customHeight="1" ht="20.1">
      <c r="A374" s="9" t="s">
        <v>526</v>
      </c>
      <c r="B374" s="9" t="s">
        <v>25</v>
      </c>
      <c r="C374" s="10"/>
      <c r="D374" s="9" t="s">
        <v>30</v>
      </c>
      <c r="E374" s="9" t="s">
        <v>45</v>
      </c>
      <c r="F374" s="11" t="s">
        <v>9</v>
      </c>
      <c r="G374" s="12">
        <v>75045600</v>
      </c>
      <c r="H374" s="14"/>
      <c r="I374" s="12">
        <v>75045600</v>
      </c>
      <c r="J374" s="15"/>
      <c r="K374" s="15"/>
      <c r="L374" s="15"/>
      <c r="M374" s="15"/>
      <c r="N374" s="15"/>
      <c r="O374" s="15"/>
      <c r="P374" s="15"/>
      <c r="Q374" s="15"/>
      <c r="R374" s="15"/>
    </row>
    <row x14ac:dyDescent="0.25" r="375" customHeight="1" ht="20.1">
      <c r="A375" s="9" t="s">
        <v>526</v>
      </c>
      <c r="B375" s="9" t="s">
        <v>25</v>
      </c>
      <c r="C375" s="10"/>
      <c r="D375" s="9" t="s">
        <v>30</v>
      </c>
      <c r="E375" s="9" t="s">
        <v>45</v>
      </c>
      <c r="F375" s="11" t="s">
        <v>12</v>
      </c>
      <c r="G375" s="12">
        <v>44954400</v>
      </c>
      <c r="H375" s="14"/>
      <c r="I375" s="13"/>
      <c r="J375" s="15"/>
      <c r="K375" s="15"/>
      <c r="L375" s="12">
        <v>44954400</v>
      </c>
      <c r="M375" s="15"/>
      <c r="N375" s="15"/>
      <c r="O375" s="15"/>
      <c r="P375" s="15"/>
      <c r="Q375" s="15"/>
      <c r="R375" s="15"/>
    </row>
    <row x14ac:dyDescent="0.25" r="376" customHeight="1" ht="20.1">
      <c r="A376" s="9" t="s">
        <v>526</v>
      </c>
      <c r="B376" s="9" t="s">
        <v>42</v>
      </c>
      <c r="C376" s="10"/>
      <c r="D376" s="9" t="s">
        <v>43</v>
      </c>
      <c r="E376" s="9" t="s">
        <v>527</v>
      </c>
      <c r="F376" s="11" t="s">
        <v>17</v>
      </c>
      <c r="G376" s="12">
        <v>1000000</v>
      </c>
      <c r="H376" s="14"/>
      <c r="I376" s="13"/>
      <c r="J376" s="15"/>
      <c r="K376" s="15"/>
      <c r="L376" s="15"/>
      <c r="M376" s="15"/>
      <c r="N376" s="15"/>
      <c r="O376" s="15"/>
      <c r="P376" s="15"/>
      <c r="Q376" s="12">
        <v>1000000</v>
      </c>
      <c r="R376" s="15"/>
    </row>
    <row x14ac:dyDescent="0.25" r="377" customHeight="1" ht="20.1">
      <c r="A377" s="9" t="s">
        <v>526</v>
      </c>
      <c r="B377" s="9" t="s">
        <v>498</v>
      </c>
      <c r="C377" s="10">
        <v>200007</v>
      </c>
      <c r="D377" s="9" t="s">
        <v>26</v>
      </c>
      <c r="E377" s="9" t="s">
        <v>528</v>
      </c>
      <c r="F377" s="11" t="s">
        <v>10</v>
      </c>
      <c r="G377" s="12">
        <v>1722500</v>
      </c>
      <c r="H377" s="14"/>
      <c r="I377" s="13"/>
      <c r="J377" s="12">
        <v>1722500</v>
      </c>
      <c r="K377" s="15"/>
      <c r="L377" s="15"/>
      <c r="M377" s="15"/>
      <c r="N377" s="15"/>
      <c r="O377" s="15"/>
      <c r="P377" s="15"/>
      <c r="Q377" s="15"/>
      <c r="R377" s="15"/>
    </row>
    <row x14ac:dyDescent="0.25" r="378" customHeight="1" ht="20.1">
      <c r="A378" s="9" t="s">
        <v>526</v>
      </c>
      <c r="B378" s="9" t="s">
        <v>20</v>
      </c>
      <c r="C378" s="10">
        <v>200218</v>
      </c>
      <c r="D378" s="9" t="s">
        <v>26</v>
      </c>
      <c r="E378" s="9" t="s">
        <v>528</v>
      </c>
      <c r="F378" s="11" t="s">
        <v>10</v>
      </c>
      <c r="G378" s="12">
        <v>20000000</v>
      </c>
      <c r="H378" s="14"/>
      <c r="I378" s="13"/>
      <c r="J378" s="12">
        <v>20000000</v>
      </c>
      <c r="K378" s="15"/>
      <c r="L378" s="15"/>
      <c r="M378" s="15"/>
      <c r="N378" s="15"/>
      <c r="O378" s="15"/>
      <c r="P378" s="15"/>
      <c r="Q378" s="15"/>
      <c r="R378" s="15"/>
    </row>
    <row x14ac:dyDescent="0.25" r="379" customHeight="1" ht="20.1">
      <c r="A379" s="9" t="s">
        <v>526</v>
      </c>
      <c r="B379" s="9" t="s">
        <v>419</v>
      </c>
      <c r="C379" s="10">
        <v>200005</v>
      </c>
      <c r="D379" s="9" t="s">
        <v>26</v>
      </c>
      <c r="E379" s="9" t="s">
        <v>528</v>
      </c>
      <c r="F379" s="11" t="s">
        <v>10</v>
      </c>
      <c r="G379" s="12">
        <v>20000000</v>
      </c>
      <c r="H379" s="14"/>
      <c r="I379" s="13"/>
      <c r="J379" s="12">
        <v>20000000</v>
      </c>
      <c r="K379" s="15"/>
      <c r="L379" s="15"/>
      <c r="M379" s="15"/>
      <c r="N379" s="15"/>
      <c r="O379" s="15"/>
      <c r="P379" s="15"/>
      <c r="Q379" s="15"/>
      <c r="R379" s="15"/>
    </row>
    <row x14ac:dyDescent="0.25" r="380" customHeight="1" ht="20.1">
      <c r="A380" s="9" t="s">
        <v>526</v>
      </c>
      <c r="B380" s="9" t="s">
        <v>521</v>
      </c>
      <c r="C380" s="10" t="s">
        <v>529</v>
      </c>
      <c r="D380" s="9" t="s">
        <v>530</v>
      </c>
      <c r="E380" s="9" t="s">
        <v>531</v>
      </c>
      <c r="F380" s="11" t="s">
        <v>10</v>
      </c>
      <c r="G380" s="12">
        <v>96425000</v>
      </c>
      <c r="H380" s="14"/>
      <c r="I380" s="13"/>
      <c r="J380" s="12">
        <v>96425000</v>
      </c>
      <c r="K380" s="15"/>
      <c r="L380" s="15"/>
      <c r="M380" s="15"/>
      <c r="N380" s="15"/>
      <c r="O380" s="15"/>
      <c r="P380" s="15"/>
      <c r="Q380" s="15"/>
      <c r="R380" s="15"/>
    </row>
    <row x14ac:dyDescent="0.25" r="381" customHeight="1" ht="20.1">
      <c r="A381" s="9" t="s">
        <v>526</v>
      </c>
      <c r="B381" s="9" t="s">
        <v>20</v>
      </c>
      <c r="C381" s="10">
        <v>200220</v>
      </c>
      <c r="D381" s="9" t="s">
        <v>21</v>
      </c>
      <c r="E381" s="9" t="s">
        <v>532</v>
      </c>
      <c r="F381" s="11" t="s">
        <v>8</v>
      </c>
      <c r="G381" s="12">
        <v>15432473</v>
      </c>
      <c r="H381" s="12">
        <v>15432473</v>
      </c>
      <c r="I381" s="13"/>
      <c r="J381" s="15"/>
      <c r="K381" s="15"/>
      <c r="L381" s="15"/>
      <c r="M381" s="15"/>
      <c r="N381" s="15"/>
      <c r="O381" s="15"/>
      <c r="P381" s="15"/>
      <c r="Q381" s="15"/>
      <c r="R381" s="15"/>
    </row>
    <row x14ac:dyDescent="0.25" r="382" customHeight="1" ht="20.1">
      <c r="A382" s="9" t="s">
        <v>526</v>
      </c>
      <c r="B382" s="9" t="s">
        <v>20</v>
      </c>
      <c r="C382" s="10">
        <v>200173</v>
      </c>
      <c r="D382" s="9" t="s">
        <v>23</v>
      </c>
      <c r="E382" s="9" t="s">
        <v>533</v>
      </c>
      <c r="F382" s="11" t="s">
        <v>8</v>
      </c>
      <c r="G382" s="12">
        <v>500000</v>
      </c>
      <c r="H382" s="12">
        <v>500000</v>
      </c>
      <c r="I382" s="13"/>
      <c r="J382" s="15"/>
      <c r="K382" s="15"/>
      <c r="L382" s="15"/>
      <c r="M382" s="15"/>
      <c r="N382" s="15"/>
      <c r="O382" s="15"/>
      <c r="P382" s="15"/>
      <c r="Q382" s="15"/>
      <c r="R382" s="15"/>
    </row>
    <row x14ac:dyDescent="0.25" r="383" customHeight="1" ht="20.1">
      <c r="A383" s="9" t="s">
        <v>526</v>
      </c>
      <c r="B383" s="9" t="s">
        <v>20</v>
      </c>
      <c r="C383" s="10">
        <v>200173</v>
      </c>
      <c r="D383" s="9" t="s">
        <v>23</v>
      </c>
      <c r="E383" s="9" t="s">
        <v>534</v>
      </c>
      <c r="F383" s="11" t="s">
        <v>9</v>
      </c>
      <c r="G383" s="12">
        <v>300000</v>
      </c>
      <c r="H383" s="14"/>
      <c r="I383" s="12">
        <v>300000</v>
      </c>
      <c r="J383" s="15"/>
      <c r="K383" s="15"/>
      <c r="L383" s="15"/>
      <c r="M383" s="15"/>
      <c r="N383" s="15"/>
      <c r="O383" s="15"/>
      <c r="P383" s="15"/>
      <c r="Q383" s="15"/>
      <c r="R383" s="15"/>
    </row>
    <row x14ac:dyDescent="0.25" r="384" customHeight="1" ht="20.1">
      <c r="A384" s="9" t="s">
        <v>526</v>
      </c>
      <c r="B384" s="9" t="s">
        <v>20</v>
      </c>
      <c r="C384" s="10">
        <v>200219</v>
      </c>
      <c r="D384" s="9" t="s">
        <v>21</v>
      </c>
      <c r="E384" s="9" t="s">
        <v>535</v>
      </c>
      <c r="F384" s="11" t="s">
        <v>9</v>
      </c>
      <c r="G384" s="12">
        <v>5828317</v>
      </c>
      <c r="H384" s="14"/>
      <c r="I384" s="12">
        <v>5828317</v>
      </c>
      <c r="J384" s="15"/>
      <c r="K384" s="15"/>
      <c r="L384" s="15"/>
      <c r="M384" s="15"/>
      <c r="N384" s="15"/>
      <c r="O384" s="15"/>
      <c r="P384" s="15"/>
      <c r="Q384" s="15"/>
      <c r="R384" s="15"/>
    </row>
    <row x14ac:dyDescent="0.25" r="385" customHeight="1" ht="20.1">
      <c r="A385" s="9" t="s">
        <v>526</v>
      </c>
      <c r="B385" s="9" t="s">
        <v>28</v>
      </c>
      <c r="C385" s="10">
        <v>849291</v>
      </c>
      <c r="D385" s="9" t="s">
        <v>26</v>
      </c>
      <c r="E385" s="9" t="s">
        <v>536</v>
      </c>
      <c r="F385" s="11" t="s">
        <v>8</v>
      </c>
      <c r="G385" s="12">
        <v>15000000</v>
      </c>
      <c r="H385" s="12">
        <v>15000000</v>
      </c>
      <c r="I385" s="13"/>
      <c r="J385" s="15"/>
      <c r="K385" s="15"/>
      <c r="L385" s="15"/>
      <c r="M385" s="15"/>
      <c r="N385" s="15"/>
      <c r="O385" s="15"/>
      <c r="P385" s="15"/>
      <c r="Q385" s="15"/>
      <c r="R385" s="15"/>
    </row>
    <row x14ac:dyDescent="0.25" r="386" customHeight="1" ht="20.1">
      <c r="A386" s="9" t="s">
        <v>526</v>
      </c>
      <c r="B386" s="9" t="s">
        <v>40</v>
      </c>
      <c r="C386" s="10">
        <v>564240</v>
      </c>
      <c r="D386" s="9" t="s">
        <v>26</v>
      </c>
      <c r="E386" s="9" t="s">
        <v>536</v>
      </c>
      <c r="F386" s="11" t="s">
        <v>8</v>
      </c>
      <c r="G386" s="12">
        <v>36300000</v>
      </c>
      <c r="H386" s="12">
        <v>36300000</v>
      </c>
      <c r="I386" s="13"/>
      <c r="J386" s="15"/>
      <c r="K386" s="15"/>
      <c r="L386" s="15"/>
      <c r="M386" s="15"/>
      <c r="N386" s="15"/>
      <c r="O386" s="15"/>
      <c r="P386" s="15"/>
      <c r="Q386" s="15"/>
      <c r="R386" s="15"/>
    </row>
    <row x14ac:dyDescent="0.25" r="387" customHeight="1" ht="20.1">
      <c r="A387" s="9" t="s">
        <v>526</v>
      </c>
      <c r="B387" s="9" t="s">
        <v>40</v>
      </c>
      <c r="C387" s="10">
        <v>564239</v>
      </c>
      <c r="D387" s="9" t="s">
        <v>38</v>
      </c>
      <c r="E387" s="9" t="s">
        <v>537</v>
      </c>
      <c r="F387" s="11" t="s">
        <v>8</v>
      </c>
      <c r="G387" s="12">
        <v>3210000</v>
      </c>
      <c r="H387" s="12">
        <v>3210000</v>
      </c>
      <c r="I387" s="13"/>
      <c r="J387" s="15"/>
      <c r="K387" s="15"/>
      <c r="L387" s="15"/>
      <c r="M387" s="15"/>
      <c r="N387" s="15"/>
      <c r="O387" s="15"/>
      <c r="P387" s="15"/>
      <c r="Q387" s="15"/>
      <c r="R387" s="15"/>
    </row>
    <row x14ac:dyDescent="0.25" r="388" customHeight="1" ht="20.1">
      <c r="A388" s="9" t="s">
        <v>526</v>
      </c>
      <c r="B388" s="9" t="s">
        <v>100</v>
      </c>
      <c r="C388" s="10" t="s">
        <v>538</v>
      </c>
      <c r="D388" s="9" t="s">
        <v>30</v>
      </c>
      <c r="E388" s="9" t="s">
        <v>539</v>
      </c>
      <c r="F388" s="11" t="s">
        <v>8</v>
      </c>
      <c r="G388" s="12">
        <v>22000000</v>
      </c>
      <c r="H388" s="12">
        <v>22000000</v>
      </c>
      <c r="I388" s="13"/>
      <c r="J388" s="15"/>
      <c r="K388" s="15"/>
      <c r="L388" s="15"/>
      <c r="M388" s="15"/>
      <c r="N388" s="15"/>
      <c r="O388" s="15"/>
      <c r="P388" s="15"/>
      <c r="Q388" s="15"/>
      <c r="R388" s="15"/>
    </row>
    <row x14ac:dyDescent="0.25" r="389" customHeight="1" ht="20.1">
      <c r="A389" s="9" t="s">
        <v>526</v>
      </c>
      <c r="B389" s="9" t="s">
        <v>336</v>
      </c>
      <c r="C389" s="10">
        <v>111703</v>
      </c>
      <c r="D389" s="9" t="s">
        <v>30</v>
      </c>
      <c r="E389" s="9" t="s">
        <v>540</v>
      </c>
      <c r="F389" s="11" t="s">
        <v>8</v>
      </c>
      <c r="G389" s="12">
        <v>34268600</v>
      </c>
      <c r="H389" s="12">
        <v>34268600</v>
      </c>
      <c r="I389" s="13"/>
      <c r="J389" s="15"/>
      <c r="K389" s="15"/>
      <c r="L389" s="15"/>
      <c r="M389" s="15"/>
      <c r="N389" s="15"/>
      <c r="O389" s="15"/>
      <c r="P389" s="15"/>
      <c r="Q389" s="15"/>
      <c r="R389" s="15"/>
    </row>
    <row x14ac:dyDescent="0.25" r="390" customHeight="1" ht="20.1">
      <c r="A390" s="9" t="s">
        <v>526</v>
      </c>
      <c r="B390" s="9" t="s">
        <v>42</v>
      </c>
      <c r="C390" s="10">
        <v>200010</v>
      </c>
      <c r="D390" s="9" t="s">
        <v>43</v>
      </c>
      <c r="E390" s="9" t="s">
        <v>541</v>
      </c>
      <c r="F390" s="11" t="s">
        <v>17</v>
      </c>
      <c r="G390" s="12">
        <v>2000000</v>
      </c>
      <c r="H390" s="14"/>
      <c r="I390" s="13"/>
      <c r="J390" s="15"/>
      <c r="K390" s="15"/>
      <c r="L390" s="15"/>
      <c r="M390" s="15"/>
      <c r="N390" s="15"/>
      <c r="O390" s="15"/>
      <c r="P390" s="15"/>
      <c r="Q390" s="12">
        <v>2000000</v>
      </c>
      <c r="R390" s="15"/>
    </row>
    <row x14ac:dyDescent="0.25" r="391" customHeight="1" ht="20.1">
      <c r="A391" s="9" t="s">
        <v>526</v>
      </c>
      <c r="B391" s="9" t="s">
        <v>42</v>
      </c>
      <c r="C391" s="10">
        <v>200010</v>
      </c>
      <c r="D391" s="9" t="s">
        <v>93</v>
      </c>
      <c r="E391" s="9" t="s">
        <v>542</v>
      </c>
      <c r="F391" s="11" t="s">
        <v>12</v>
      </c>
      <c r="G391" s="12">
        <v>500000</v>
      </c>
      <c r="H391" s="14"/>
      <c r="I391" s="13"/>
      <c r="J391" s="15"/>
      <c r="K391" s="15"/>
      <c r="L391" s="12">
        <v>500000</v>
      </c>
      <c r="M391" s="15"/>
      <c r="N391" s="15"/>
      <c r="O391" s="15"/>
      <c r="P391" s="15"/>
      <c r="Q391" s="15"/>
      <c r="R391" s="15"/>
    </row>
    <row x14ac:dyDescent="0.25" r="392" customHeight="1" ht="20.1">
      <c r="A392" s="9" t="s">
        <v>543</v>
      </c>
      <c r="B392" s="9" t="s">
        <v>25</v>
      </c>
      <c r="C392" s="10"/>
      <c r="D392" s="9" t="s">
        <v>26</v>
      </c>
      <c r="E392" s="9" t="s">
        <v>544</v>
      </c>
      <c r="F392" s="11" t="s">
        <v>8</v>
      </c>
      <c r="G392" s="12">
        <v>9000000</v>
      </c>
      <c r="H392" s="12">
        <v>9000000</v>
      </c>
      <c r="I392" s="13"/>
      <c r="J392" s="15"/>
      <c r="K392" s="15"/>
      <c r="L392" s="15"/>
      <c r="M392" s="15"/>
      <c r="N392" s="15"/>
      <c r="O392" s="15"/>
      <c r="P392" s="15"/>
      <c r="Q392" s="15"/>
      <c r="R392" s="15"/>
    </row>
    <row x14ac:dyDescent="0.25" r="393" customHeight="1" ht="20.1">
      <c r="A393" s="9" t="s">
        <v>545</v>
      </c>
      <c r="B393" s="9" t="s">
        <v>25</v>
      </c>
      <c r="C393" s="10"/>
      <c r="D393" s="9" t="s">
        <v>26</v>
      </c>
      <c r="E393" s="9" t="s">
        <v>546</v>
      </c>
      <c r="F393" s="11" t="s">
        <v>8</v>
      </c>
      <c r="G393" s="12">
        <v>11941250</v>
      </c>
      <c r="H393" s="12">
        <v>11941250</v>
      </c>
      <c r="I393" s="13"/>
      <c r="J393" s="15"/>
      <c r="K393" s="15"/>
      <c r="L393" s="15"/>
      <c r="M393" s="15"/>
      <c r="N393" s="15"/>
      <c r="O393" s="15"/>
      <c r="P393" s="15"/>
      <c r="Q393" s="15"/>
      <c r="R393" s="15"/>
    </row>
    <row x14ac:dyDescent="0.25" r="394" customHeight="1" ht="20.1">
      <c r="A394" s="9" t="s">
        <v>545</v>
      </c>
      <c r="B394" s="9" t="s">
        <v>25</v>
      </c>
      <c r="C394" s="10"/>
      <c r="D394" s="9" t="s">
        <v>26</v>
      </c>
      <c r="E394" s="9" t="s">
        <v>547</v>
      </c>
      <c r="F394" s="11" t="s">
        <v>8</v>
      </c>
      <c r="G394" s="12">
        <v>11318750</v>
      </c>
      <c r="H394" s="12">
        <v>11318750</v>
      </c>
      <c r="I394" s="13"/>
      <c r="J394" s="15"/>
      <c r="K394" s="15"/>
      <c r="L394" s="15"/>
      <c r="M394" s="15"/>
      <c r="N394" s="15"/>
      <c r="O394" s="15"/>
      <c r="P394" s="15"/>
      <c r="Q394" s="15"/>
      <c r="R394" s="15"/>
    </row>
    <row x14ac:dyDescent="0.25" r="395" customHeight="1" ht="20.1">
      <c r="A395" s="9" t="s">
        <v>545</v>
      </c>
      <c r="B395" s="9" t="s">
        <v>25</v>
      </c>
      <c r="C395" s="10"/>
      <c r="D395" s="9" t="s">
        <v>30</v>
      </c>
      <c r="E395" s="9" t="s">
        <v>548</v>
      </c>
      <c r="F395" s="11" t="s">
        <v>8</v>
      </c>
      <c r="G395" s="12">
        <v>71472000</v>
      </c>
      <c r="H395" s="12">
        <v>71472000</v>
      </c>
      <c r="I395" s="13"/>
      <c r="J395" s="15"/>
      <c r="K395" s="15"/>
      <c r="L395" s="15"/>
      <c r="M395" s="15"/>
      <c r="N395" s="15"/>
      <c r="O395" s="15"/>
      <c r="P395" s="15"/>
      <c r="Q395" s="15"/>
      <c r="R395" s="15"/>
    </row>
    <row x14ac:dyDescent="0.25" r="396" customHeight="1" ht="20.1">
      <c r="A396" s="9" t="s">
        <v>545</v>
      </c>
      <c r="B396" s="9" t="s">
        <v>20</v>
      </c>
      <c r="C396" s="10">
        <v>200174</v>
      </c>
      <c r="D396" s="9" t="s">
        <v>75</v>
      </c>
      <c r="E396" s="9" t="s">
        <v>549</v>
      </c>
      <c r="F396" s="11" t="s">
        <v>8</v>
      </c>
      <c r="G396" s="12">
        <v>11705475</v>
      </c>
      <c r="H396" s="12">
        <v>11705475</v>
      </c>
      <c r="I396" s="13"/>
      <c r="J396" s="15"/>
      <c r="K396" s="15"/>
      <c r="L396" s="15"/>
      <c r="M396" s="15"/>
      <c r="N396" s="15"/>
      <c r="O396" s="15"/>
      <c r="P396" s="15"/>
      <c r="Q396" s="15"/>
      <c r="R396" s="15"/>
    </row>
    <row x14ac:dyDescent="0.25" r="397" customHeight="1" ht="20.1">
      <c r="A397" s="9" t="s">
        <v>545</v>
      </c>
      <c r="B397" s="9" t="s">
        <v>20</v>
      </c>
      <c r="C397" s="10">
        <v>200174</v>
      </c>
      <c r="D397" s="9" t="s">
        <v>73</v>
      </c>
      <c r="E397" s="9" t="s">
        <v>550</v>
      </c>
      <c r="F397" s="11" t="s">
        <v>10</v>
      </c>
      <c r="G397" s="12">
        <v>11734575</v>
      </c>
      <c r="H397" s="14"/>
      <c r="I397" s="13"/>
      <c r="J397" s="12">
        <v>11734575</v>
      </c>
      <c r="K397" s="15"/>
      <c r="L397" s="15"/>
      <c r="M397" s="15"/>
      <c r="N397" s="15"/>
      <c r="O397" s="15"/>
      <c r="P397" s="15"/>
      <c r="Q397" s="15"/>
      <c r="R397" s="15"/>
    </row>
    <row x14ac:dyDescent="0.25" r="398" customHeight="1" ht="20.1">
      <c r="A398" s="9" t="s">
        <v>545</v>
      </c>
      <c r="B398" s="9" t="s">
        <v>20</v>
      </c>
      <c r="C398" s="10">
        <v>200221</v>
      </c>
      <c r="D398" s="9" t="s">
        <v>63</v>
      </c>
      <c r="E398" s="9" t="s">
        <v>551</v>
      </c>
      <c r="F398" s="11" t="s">
        <v>8</v>
      </c>
      <c r="G398" s="12">
        <v>3663850</v>
      </c>
      <c r="H398" s="12">
        <v>3663850</v>
      </c>
      <c r="I398" s="13"/>
      <c r="J398" s="15"/>
      <c r="K398" s="15"/>
      <c r="L398" s="15"/>
      <c r="M398" s="15"/>
      <c r="N398" s="15"/>
      <c r="O398" s="15"/>
      <c r="P398" s="15"/>
      <c r="Q398" s="15"/>
      <c r="R398" s="15"/>
    </row>
    <row x14ac:dyDescent="0.25" r="399" customHeight="1" ht="20.1">
      <c r="A399" s="9" t="s">
        <v>545</v>
      </c>
      <c r="B399" s="9" t="s">
        <v>91</v>
      </c>
      <c r="C399" s="10" t="s">
        <v>552</v>
      </c>
      <c r="D399" s="9" t="s">
        <v>93</v>
      </c>
      <c r="E399" s="9" t="s">
        <v>553</v>
      </c>
      <c r="F399" s="11" t="s">
        <v>12</v>
      </c>
      <c r="G399" s="12">
        <v>1752200</v>
      </c>
      <c r="H399" s="14"/>
      <c r="I399" s="13"/>
      <c r="J399" s="15"/>
      <c r="K399" s="15"/>
      <c r="L399" s="12">
        <v>1752200</v>
      </c>
      <c r="M399" s="15"/>
      <c r="N399" s="15"/>
      <c r="O399" s="15"/>
      <c r="P399" s="15"/>
      <c r="Q399" s="15"/>
      <c r="R399" s="15"/>
    </row>
    <row x14ac:dyDescent="0.25" r="400" customHeight="1" ht="20.1">
      <c r="A400" s="9" t="s">
        <v>545</v>
      </c>
      <c r="B400" s="9" t="s">
        <v>91</v>
      </c>
      <c r="C400" s="10" t="s">
        <v>552</v>
      </c>
      <c r="D400" s="9" t="s">
        <v>306</v>
      </c>
      <c r="E400" s="9" t="s">
        <v>554</v>
      </c>
      <c r="F400" s="11" t="s">
        <v>308</v>
      </c>
      <c r="G400" s="12">
        <v>747800</v>
      </c>
      <c r="H400" s="14"/>
      <c r="I400" s="13"/>
      <c r="J400" s="15"/>
      <c r="K400" s="15"/>
      <c r="L400" s="15"/>
      <c r="M400" s="15"/>
      <c r="N400" s="15"/>
      <c r="O400" s="15"/>
      <c r="P400" s="12">
        <v>747800</v>
      </c>
      <c r="Q400" s="15"/>
      <c r="R400" s="15"/>
    </row>
    <row x14ac:dyDescent="0.25" r="401" customHeight="1" ht="20.1">
      <c r="A401" s="9" t="s">
        <v>545</v>
      </c>
      <c r="B401" s="9" t="s">
        <v>336</v>
      </c>
      <c r="C401" s="10">
        <v>111705</v>
      </c>
      <c r="D401" s="9" t="s">
        <v>328</v>
      </c>
      <c r="E401" s="9" t="s">
        <v>555</v>
      </c>
      <c r="F401" s="11" t="s">
        <v>13</v>
      </c>
      <c r="G401" s="12">
        <v>6772000</v>
      </c>
      <c r="H401" s="14"/>
      <c r="I401" s="13"/>
      <c r="J401" s="15"/>
      <c r="K401" s="15"/>
      <c r="L401" s="15"/>
      <c r="M401" s="12">
        <v>6772000</v>
      </c>
      <c r="N401" s="15"/>
      <c r="O401" s="15"/>
      <c r="P401" s="15"/>
      <c r="Q401" s="15"/>
      <c r="R401" s="15"/>
    </row>
    <row x14ac:dyDescent="0.25" r="402" customHeight="1" ht="20.1">
      <c r="A402" s="9" t="s">
        <v>545</v>
      </c>
      <c r="B402" s="9" t="s">
        <v>336</v>
      </c>
      <c r="C402" s="10">
        <v>200175</v>
      </c>
      <c r="D402" s="9" t="s">
        <v>556</v>
      </c>
      <c r="E402" s="9" t="s">
        <v>557</v>
      </c>
      <c r="F402" s="11" t="s">
        <v>9</v>
      </c>
      <c r="G402" s="12">
        <v>1060000</v>
      </c>
      <c r="H402" s="14"/>
      <c r="I402" s="12">
        <v>1060000</v>
      </c>
      <c r="J402" s="15"/>
      <c r="K402" s="15"/>
      <c r="L402" s="15"/>
      <c r="M402" s="15"/>
      <c r="N402" s="15"/>
      <c r="O402" s="15"/>
      <c r="P402" s="15"/>
      <c r="Q402" s="15"/>
      <c r="R402" s="15"/>
    </row>
    <row x14ac:dyDescent="0.25" r="403" customHeight="1" ht="20.1">
      <c r="A403" s="9" t="s">
        <v>545</v>
      </c>
      <c r="B403" s="9" t="s">
        <v>336</v>
      </c>
      <c r="C403" s="10">
        <v>200175</v>
      </c>
      <c r="D403" s="9" t="s">
        <v>156</v>
      </c>
      <c r="E403" s="9" t="s">
        <v>558</v>
      </c>
      <c r="F403" s="11" t="s">
        <v>9</v>
      </c>
      <c r="G403" s="12">
        <v>40000</v>
      </c>
      <c r="H403" s="32"/>
      <c r="I403" s="12">
        <v>40000</v>
      </c>
      <c r="J403" s="15"/>
      <c r="K403" s="15"/>
      <c r="L403" s="15"/>
      <c r="M403" s="15"/>
      <c r="N403" s="15"/>
      <c r="O403" s="15"/>
      <c r="P403" s="15"/>
      <c r="Q403" s="15"/>
      <c r="R403" s="15"/>
    </row>
    <row x14ac:dyDescent="0.25" r="404" customHeight="1" ht="20.1">
      <c r="A404" s="9" t="s">
        <v>545</v>
      </c>
      <c r="B404" s="9" t="s">
        <v>25</v>
      </c>
      <c r="C404" s="10"/>
      <c r="D404" s="23" t="s">
        <v>63</v>
      </c>
      <c r="E404" s="9" t="s">
        <v>309</v>
      </c>
      <c r="F404" s="11" t="s">
        <v>8</v>
      </c>
      <c r="G404" s="12">
        <v>81379706</v>
      </c>
      <c r="H404" s="12">
        <v>81379706</v>
      </c>
      <c r="I404" s="13"/>
      <c r="J404" s="15"/>
      <c r="K404" s="15"/>
      <c r="L404" s="15"/>
      <c r="M404" s="15"/>
      <c r="N404" s="15"/>
      <c r="O404" s="15"/>
      <c r="P404" s="15"/>
      <c r="Q404" s="15"/>
      <c r="R404" s="15"/>
    </row>
    <row x14ac:dyDescent="0.25" r="405" customHeight="1" ht="20.1">
      <c r="A405" s="9" t="s">
        <v>545</v>
      </c>
      <c r="B405" s="9" t="s">
        <v>25</v>
      </c>
      <c r="C405" s="10"/>
      <c r="D405" s="9" t="s">
        <v>310</v>
      </c>
      <c r="E405" s="16" t="s">
        <v>559</v>
      </c>
      <c r="F405" s="11" t="s">
        <v>8</v>
      </c>
      <c r="G405" s="12">
        <v>96069900</v>
      </c>
      <c r="H405" s="12">
        <v>96069900</v>
      </c>
      <c r="I405" s="27"/>
      <c r="J405" s="15"/>
      <c r="K405" s="15"/>
      <c r="L405" s="15"/>
      <c r="M405" s="15"/>
      <c r="N405" s="15"/>
      <c r="O405" s="15"/>
      <c r="P405" s="15"/>
      <c r="Q405" s="15"/>
      <c r="R405" s="15"/>
    </row>
    <row x14ac:dyDescent="0.25" r="406" customHeight="1" ht="20.1">
      <c r="A406" s="9" t="s">
        <v>545</v>
      </c>
      <c r="B406" s="9" t="s">
        <v>25</v>
      </c>
      <c r="C406" s="10"/>
      <c r="D406" s="9" t="s">
        <v>38</v>
      </c>
      <c r="E406" s="9" t="s">
        <v>560</v>
      </c>
      <c r="F406" s="11" t="s">
        <v>9</v>
      </c>
      <c r="G406" s="12">
        <v>26059260</v>
      </c>
      <c r="H406" s="14"/>
      <c r="I406" s="12">
        <v>26059260</v>
      </c>
      <c r="J406" s="15"/>
      <c r="K406" s="15"/>
      <c r="L406" s="15"/>
      <c r="M406" s="15"/>
      <c r="N406" s="15"/>
      <c r="O406" s="15"/>
      <c r="P406" s="15"/>
      <c r="Q406" s="15"/>
      <c r="R406" s="15"/>
    </row>
    <row x14ac:dyDescent="0.25" r="407" customHeight="1" ht="20.1">
      <c r="A407" s="9" t="s">
        <v>561</v>
      </c>
      <c r="B407" s="9" t="s">
        <v>20</v>
      </c>
      <c r="C407" s="10">
        <v>200175</v>
      </c>
      <c r="D407" s="9" t="s">
        <v>312</v>
      </c>
      <c r="E407" s="9" t="s">
        <v>562</v>
      </c>
      <c r="F407" s="20" t="s">
        <v>18</v>
      </c>
      <c r="G407" s="12">
        <v>6918620</v>
      </c>
      <c r="H407" s="14"/>
      <c r="I407" s="12">
        <v>6918620</v>
      </c>
      <c r="J407" s="38"/>
      <c r="K407" s="38"/>
      <c r="L407" s="38"/>
      <c r="M407" s="38"/>
      <c r="N407" s="38"/>
      <c r="O407" s="38"/>
      <c r="P407" s="38"/>
      <c r="Q407" s="38"/>
      <c r="R407" s="38"/>
    </row>
    <row x14ac:dyDescent="0.25" r="408" customHeight="1" ht="20.1">
      <c r="A408" s="9" t="s">
        <v>561</v>
      </c>
      <c r="B408" s="9" t="s">
        <v>20</v>
      </c>
      <c r="C408" s="10">
        <v>200175</v>
      </c>
      <c r="D408" s="9" t="s">
        <v>316</v>
      </c>
      <c r="E408" s="9" t="s">
        <v>563</v>
      </c>
      <c r="F408" s="11" t="s">
        <v>18</v>
      </c>
      <c r="G408" s="12">
        <v>383000</v>
      </c>
      <c r="H408" s="14"/>
      <c r="I408" s="38"/>
      <c r="J408" s="38"/>
      <c r="K408" s="38"/>
      <c r="L408" s="38"/>
      <c r="M408" s="38"/>
      <c r="N408" s="38"/>
      <c r="O408" s="38"/>
      <c r="P408" s="38"/>
      <c r="Q408" s="38"/>
      <c r="R408" s="12">
        <v>383000</v>
      </c>
    </row>
    <row x14ac:dyDescent="0.25" r="409" customHeight="1" ht="20.1">
      <c r="A409" s="9" t="s">
        <v>561</v>
      </c>
      <c r="B409" s="9" t="s">
        <v>20</v>
      </c>
      <c r="C409" s="10">
        <v>200175</v>
      </c>
      <c r="D409" s="9" t="s">
        <v>61</v>
      </c>
      <c r="E409" s="9" t="s">
        <v>564</v>
      </c>
      <c r="F409" s="11" t="s">
        <v>18</v>
      </c>
      <c r="G409" s="12">
        <v>321000</v>
      </c>
      <c r="H409" s="14"/>
      <c r="I409" s="38"/>
      <c r="J409" s="38"/>
      <c r="K409" s="38"/>
      <c r="L409" s="38"/>
      <c r="M409" s="38"/>
      <c r="N409" s="38"/>
      <c r="O409" s="38"/>
      <c r="P409" s="38"/>
      <c r="Q409" s="38"/>
      <c r="R409" s="12">
        <v>321000</v>
      </c>
    </row>
    <row x14ac:dyDescent="0.25" r="410" customHeight="1" ht="20.1">
      <c r="A410" s="9" t="s">
        <v>561</v>
      </c>
      <c r="B410" s="9" t="s">
        <v>20</v>
      </c>
      <c r="C410" s="10">
        <v>200175</v>
      </c>
      <c r="D410" s="9" t="s">
        <v>61</v>
      </c>
      <c r="E410" s="17" t="s">
        <v>314</v>
      </c>
      <c r="F410" s="11" t="s">
        <v>18</v>
      </c>
      <c r="G410" s="12">
        <v>742000</v>
      </c>
      <c r="H410" s="14"/>
      <c r="I410" s="38"/>
      <c r="J410" s="38"/>
      <c r="K410" s="38"/>
      <c r="L410" s="38"/>
      <c r="M410" s="38"/>
      <c r="N410" s="38"/>
      <c r="O410" s="38"/>
      <c r="P410" s="38"/>
      <c r="Q410" s="38"/>
      <c r="R410" s="12">
        <v>742000</v>
      </c>
    </row>
    <row x14ac:dyDescent="0.25" r="411" customHeight="1" ht="20.1">
      <c r="A411" s="9" t="s">
        <v>561</v>
      </c>
      <c r="B411" s="9" t="s">
        <v>20</v>
      </c>
      <c r="C411" s="10">
        <v>200175</v>
      </c>
      <c r="D411" s="9" t="s">
        <v>61</v>
      </c>
      <c r="E411" s="17" t="s">
        <v>565</v>
      </c>
      <c r="F411" s="11" t="s">
        <v>18</v>
      </c>
      <c r="G411" s="12">
        <v>23200</v>
      </c>
      <c r="H411" s="14"/>
      <c r="I411" s="38"/>
      <c r="J411" s="38"/>
      <c r="K411" s="38"/>
      <c r="L411" s="38"/>
      <c r="M411" s="38"/>
      <c r="N411" s="38"/>
      <c r="O411" s="38"/>
      <c r="P411" s="38"/>
      <c r="Q411" s="38"/>
      <c r="R411" s="12">
        <v>23200</v>
      </c>
    </row>
    <row x14ac:dyDescent="0.25" r="412" customHeight="1" ht="20.1">
      <c r="A412" s="9" t="s">
        <v>561</v>
      </c>
      <c r="B412" s="9" t="s">
        <v>20</v>
      </c>
      <c r="C412" s="10">
        <v>200175</v>
      </c>
      <c r="D412" s="9" t="s">
        <v>61</v>
      </c>
      <c r="E412" s="17" t="s">
        <v>566</v>
      </c>
      <c r="F412" s="11" t="s">
        <v>18</v>
      </c>
      <c r="G412" s="12">
        <v>3000</v>
      </c>
      <c r="H412" s="14"/>
      <c r="I412" s="38"/>
      <c r="J412" s="38"/>
      <c r="K412" s="38"/>
      <c r="L412" s="38"/>
      <c r="M412" s="38"/>
      <c r="N412" s="38"/>
      <c r="O412" s="38"/>
      <c r="P412" s="38"/>
      <c r="Q412" s="38"/>
      <c r="R412" s="12">
        <v>3000</v>
      </c>
    </row>
    <row x14ac:dyDescent="0.25" r="413" customHeight="1" ht="20.1">
      <c r="A413" s="9" t="s">
        <v>561</v>
      </c>
      <c r="B413" s="9" t="s">
        <v>20</v>
      </c>
      <c r="C413" s="10">
        <v>200175</v>
      </c>
      <c r="D413" s="9" t="s">
        <v>61</v>
      </c>
      <c r="E413" s="17" t="s">
        <v>321</v>
      </c>
      <c r="F413" s="11" t="s">
        <v>18</v>
      </c>
      <c r="G413" s="12">
        <v>478000</v>
      </c>
      <c r="H413" s="14"/>
      <c r="I413" s="38"/>
      <c r="J413" s="38"/>
      <c r="K413" s="38"/>
      <c r="L413" s="38"/>
      <c r="M413" s="38"/>
      <c r="N413" s="38"/>
      <c r="O413" s="38"/>
      <c r="P413" s="38"/>
      <c r="Q413" s="38"/>
      <c r="R413" s="12">
        <v>478000</v>
      </c>
    </row>
    <row x14ac:dyDescent="0.25" r="414" customHeight="1" ht="20.1">
      <c r="A414" s="9" t="s">
        <v>561</v>
      </c>
      <c r="B414" s="9" t="s">
        <v>20</v>
      </c>
      <c r="C414" s="10">
        <v>200175</v>
      </c>
      <c r="D414" s="9" t="s">
        <v>61</v>
      </c>
      <c r="E414" s="17" t="s">
        <v>322</v>
      </c>
      <c r="F414" s="11" t="s">
        <v>18</v>
      </c>
      <c r="G414" s="12">
        <v>8000</v>
      </c>
      <c r="H414" s="14"/>
      <c r="I414" s="38"/>
      <c r="J414" s="38"/>
      <c r="K414" s="38"/>
      <c r="L414" s="38"/>
      <c r="M414" s="38"/>
      <c r="N414" s="38"/>
      <c r="O414" s="38"/>
      <c r="P414" s="38"/>
      <c r="Q414" s="38"/>
      <c r="R414" s="12">
        <v>8000</v>
      </c>
    </row>
    <row x14ac:dyDescent="0.25" r="415" customHeight="1" ht="20.1">
      <c r="A415" s="9" t="s">
        <v>561</v>
      </c>
      <c r="B415" s="9" t="s">
        <v>20</v>
      </c>
      <c r="C415" s="10">
        <v>200175</v>
      </c>
      <c r="D415" s="9" t="s">
        <v>61</v>
      </c>
      <c r="E415" s="17" t="s">
        <v>567</v>
      </c>
      <c r="F415" s="11" t="s">
        <v>18</v>
      </c>
      <c r="G415" s="12">
        <v>74100</v>
      </c>
      <c r="H415" s="14"/>
      <c r="I415" s="38"/>
      <c r="J415" s="38"/>
      <c r="K415" s="38"/>
      <c r="L415" s="38"/>
      <c r="M415" s="38"/>
      <c r="N415" s="38"/>
      <c r="O415" s="38"/>
      <c r="P415" s="38"/>
      <c r="Q415" s="38"/>
      <c r="R415" s="12">
        <v>74100</v>
      </c>
    </row>
    <row x14ac:dyDescent="0.25" r="416" customHeight="1" ht="20.1">
      <c r="A416" s="9" t="s">
        <v>561</v>
      </c>
      <c r="B416" s="9" t="s">
        <v>20</v>
      </c>
      <c r="C416" s="10">
        <v>200175</v>
      </c>
      <c r="D416" s="9" t="s">
        <v>61</v>
      </c>
      <c r="E416" s="17" t="s">
        <v>568</v>
      </c>
      <c r="F416" s="11" t="s">
        <v>18</v>
      </c>
      <c r="G416" s="12">
        <v>11000</v>
      </c>
      <c r="H416" s="14"/>
      <c r="I416" s="27"/>
      <c r="J416" s="38"/>
      <c r="K416" s="38"/>
      <c r="L416" s="38"/>
      <c r="M416" s="38"/>
      <c r="N416" s="38"/>
      <c r="O416" s="38"/>
      <c r="P416" s="38"/>
      <c r="Q416" s="38"/>
      <c r="R416" s="12">
        <v>11000</v>
      </c>
    </row>
    <row x14ac:dyDescent="0.25" r="417" customHeight="1" ht="20.1">
      <c r="A417" s="34" t="s">
        <v>561</v>
      </c>
      <c r="B417" s="34" t="s">
        <v>20</v>
      </c>
      <c r="C417" s="35">
        <v>200222</v>
      </c>
      <c r="D417" s="9" t="s">
        <v>21</v>
      </c>
      <c r="E417" s="34" t="s">
        <v>569</v>
      </c>
      <c r="F417" s="36" t="s">
        <v>8</v>
      </c>
      <c r="G417" s="37">
        <v>3884363</v>
      </c>
      <c r="H417" s="37">
        <v>3884363</v>
      </c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x14ac:dyDescent="0.25" r="418" customHeight="1" ht="20.1">
      <c r="A418" s="9" t="s">
        <v>561</v>
      </c>
      <c r="B418" s="9" t="s">
        <v>20</v>
      </c>
      <c r="C418" s="10">
        <v>200176</v>
      </c>
      <c r="D418" s="9" t="s">
        <v>23</v>
      </c>
      <c r="E418" s="9" t="s">
        <v>570</v>
      </c>
      <c r="F418" s="11" t="s">
        <v>8</v>
      </c>
      <c r="G418" s="12">
        <v>100000</v>
      </c>
      <c r="H418" s="12">
        <v>100000</v>
      </c>
      <c r="I418" s="39"/>
      <c r="J418" s="39"/>
      <c r="K418" s="39"/>
      <c r="L418" s="39"/>
      <c r="M418" s="39"/>
      <c r="N418" s="39"/>
      <c r="O418" s="39"/>
      <c r="P418" s="39"/>
      <c r="Q418" s="39"/>
      <c r="R418" s="39"/>
    </row>
    <row x14ac:dyDescent="0.25" r="419" customHeight="1" ht="20.1">
      <c r="A419" s="9" t="s">
        <v>561</v>
      </c>
      <c r="B419" s="9" t="s">
        <v>40</v>
      </c>
      <c r="C419" s="10">
        <v>564241</v>
      </c>
      <c r="D419" s="9" t="s">
        <v>26</v>
      </c>
      <c r="E419" s="9" t="s">
        <v>571</v>
      </c>
      <c r="F419" s="11" t="s">
        <v>8</v>
      </c>
      <c r="G419" s="12">
        <v>20000000</v>
      </c>
      <c r="H419" s="12">
        <v>20000000</v>
      </c>
      <c r="I419" s="39"/>
      <c r="J419" s="39"/>
      <c r="K419" s="39"/>
      <c r="L419" s="39"/>
      <c r="M419" s="39"/>
      <c r="N419" s="39"/>
      <c r="O419" s="39"/>
      <c r="P419" s="39"/>
      <c r="Q419" s="39"/>
      <c r="R419" s="39"/>
    </row>
    <row x14ac:dyDescent="0.25" r="420" customHeight="1" ht="20.1">
      <c r="A420" s="9" t="s">
        <v>561</v>
      </c>
      <c r="B420" s="9" t="s">
        <v>25</v>
      </c>
      <c r="C420" s="10"/>
      <c r="D420" s="9" t="s">
        <v>30</v>
      </c>
      <c r="E420" s="9" t="s">
        <v>572</v>
      </c>
      <c r="F420" s="11" t="s">
        <v>9</v>
      </c>
      <c r="G420" s="12">
        <f>200178*1837</f>
      </c>
      <c r="H420" s="12"/>
      <c r="I420" s="12">
        <f>200178*1837</f>
      </c>
      <c r="J420" s="39"/>
      <c r="K420" s="39"/>
      <c r="L420" s="39"/>
      <c r="M420" s="39"/>
      <c r="N420" s="39"/>
      <c r="O420" s="39"/>
      <c r="P420" s="39"/>
      <c r="Q420" s="39"/>
      <c r="R420" s="39"/>
    </row>
    <row x14ac:dyDescent="0.25" r="421" customHeight="1" ht="20.1">
      <c r="A421" s="9" t="s">
        <v>561</v>
      </c>
      <c r="B421" s="9" t="s">
        <v>25</v>
      </c>
      <c r="C421" s="10"/>
      <c r="D421" s="9" t="s">
        <v>30</v>
      </c>
      <c r="E421" s="9" t="s">
        <v>573</v>
      </c>
      <c r="F421" s="11" t="s">
        <v>13</v>
      </c>
      <c r="G421" s="12">
        <v>72000000</v>
      </c>
      <c r="H421" s="12"/>
      <c r="I421" s="39"/>
      <c r="J421" s="39"/>
      <c r="K421" s="39"/>
      <c r="L421" s="39"/>
      <c r="M421" s="12">
        <v>72000000</v>
      </c>
      <c r="N421" s="39"/>
      <c r="O421" s="39"/>
      <c r="P421" s="39"/>
      <c r="Q421" s="39"/>
      <c r="R421" s="39"/>
    </row>
    <row x14ac:dyDescent="0.25" r="422" customHeight="1" ht="20.1">
      <c r="A422" s="9" t="s">
        <v>574</v>
      </c>
      <c r="B422" s="9" t="s">
        <v>25</v>
      </c>
      <c r="C422" s="10"/>
      <c r="D422" s="9" t="s">
        <v>26</v>
      </c>
      <c r="E422" s="9" t="s">
        <v>575</v>
      </c>
      <c r="F422" s="11" t="s">
        <v>10</v>
      </c>
      <c r="G422" s="12">
        <v>8052300</v>
      </c>
      <c r="H422" s="12"/>
      <c r="I422" s="39"/>
      <c r="J422" s="12">
        <v>8052300</v>
      </c>
      <c r="K422" s="39"/>
      <c r="L422" s="39"/>
      <c r="M422" s="39"/>
      <c r="N422" s="39"/>
      <c r="O422" s="39"/>
      <c r="P422" s="39"/>
      <c r="Q422" s="39"/>
      <c r="R422" s="39"/>
    </row>
    <row x14ac:dyDescent="0.25" r="423" customHeight="1" ht="20.1">
      <c r="A423" s="9" t="s">
        <v>574</v>
      </c>
      <c r="B423" s="9" t="s">
        <v>25</v>
      </c>
      <c r="C423" s="10"/>
      <c r="D423" s="9" t="s">
        <v>26</v>
      </c>
      <c r="E423" s="9" t="s">
        <v>576</v>
      </c>
      <c r="F423" s="11" t="s">
        <v>10</v>
      </c>
      <c r="G423" s="12">
        <v>12154200</v>
      </c>
      <c r="H423" s="12"/>
      <c r="I423" s="39"/>
      <c r="J423" s="12">
        <v>12154200</v>
      </c>
      <c r="K423" s="39"/>
      <c r="L423" s="39"/>
      <c r="M423" s="39"/>
      <c r="N423" s="39"/>
      <c r="O423" s="39"/>
      <c r="P423" s="39"/>
      <c r="Q423" s="39"/>
      <c r="R423" s="39"/>
    </row>
    <row x14ac:dyDescent="0.25" r="424" customHeight="1" ht="20.1">
      <c r="A424" s="9" t="s">
        <v>574</v>
      </c>
      <c r="B424" s="9" t="s">
        <v>25</v>
      </c>
      <c r="C424" s="10"/>
      <c r="D424" s="9" t="s">
        <v>26</v>
      </c>
      <c r="E424" s="9" t="s">
        <v>577</v>
      </c>
      <c r="F424" s="11" t="s">
        <v>8</v>
      </c>
      <c r="G424" s="12">
        <v>7506500</v>
      </c>
      <c r="H424" s="12">
        <v>7506500</v>
      </c>
      <c r="I424" s="39"/>
      <c r="J424" s="39"/>
      <c r="K424" s="39"/>
      <c r="L424" s="39"/>
      <c r="M424" s="39"/>
      <c r="N424" s="39"/>
      <c r="O424" s="39"/>
      <c r="P424" s="39"/>
      <c r="Q424" s="39"/>
      <c r="R424" s="39"/>
    </row>
    <row x14ac:dyDescent="0.25" r="425" customHeight="1" ht="20.1">
      <c r="A425" s="9" t="s">
        <v>578</v>
      </c>
      <c r="B425" s="9" t="s">
        <v>28</v>
      </c>
      <c r="C425" s="10">
        <v>849292</v>
      </c>
      <c r="D425" s="9" t="s">
        <v>30</v>
      </c>
      <c r="E425" s="9" t="s">
        <v>579</v>
      </c>
      <c r="F425" s="11" t="s">
        <v>8</v>
      </c>
      <c r="G425" s="12">
        <v>39406300</v>
      </c>
      <c r="H425" s="12">
        <v>39406300</v>
      </c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x14ac:dyDescent="0.25" r="426" customHeight="1" ht="20.1">
      <c r="A426" s="9" t="s">
        <v>578</v>
      </c>
      <c r="B426" s="9" t="s">
        <v>151</v>
      </c>
      <c r="C426" s="10" t="s">
        <v>580</v>
      </c>
      <c r="D426" s="9" t="s">
        <v>30</v>
      </c>
      <c r="E426" s="9" t="s">
        <v>581</v>
      </c>
      <c r="F426" s="11" t="s">
        <v>13</v>
      </c>
      <c r="G426" s="12">
        <v>40000000</v>
      </c>
      <c r="H426" s="12"/>
      <c r="I426" s="39"/>
      <c r="J426" s="39"/>
      <c r="K426" s="39"/>
      <c r="L426" s="39"/>
      <c r="M426" s="12">
        <v>40000000</v>
      </c>
      <c r="N426" s="39"/>
      <c r="O426" s="39"/>
      <c r="P426" s="39"/>
      <c r="Q426" s="39"/>
      <c r="R426" s="39"/>
    </row>
    <row x14ac:dyDescent="0.25" r="427" customHeight="1" ht="20.1">
      <c r="A427" s="9" t="s">
        <v>578</v>
      </c>
      <c r="B427" s="9" t="s">
        <v>151</v>
      </c>
      <c r="C427" s="10" t="s">
        <v>582</v>
      </c>
      <c r="D427" s="9" t="s">
        <v>30</v>
      </c>
      <c r="E427" s="9" t="s">
        <v>583</v>
      </c>
      <c r="F427" s="11" t="s">
        <v>13</v>
      </c>
      <c r="G427" s="12">
        <v>12000000</v>
      </c>
      <c r="H427" s="12"/>
      <c r="I427" s="39"/>
      <c r="J427" s="39"/>
      <c r="K427" s="39"/>
      <c r="L427" s="39"/>
      <c r="M427" s="12">
        <v>12000000</v>
      </c>
      <c r="N427" s="39"/>
      <c r="O427" s="39"/>
      <c r="P427" s="39"/>
      <c r="Q427" s="39"/>
      <c r="R427" s="39"/>
    </row>
    <row x14ac:dyDescent="0.25" r="428" customHeight="1" ht="20.1">
      <c r="A428" s="9" t="s">
        <v>578</v>
      </c>
      <c r="B428" s="9" t="s">
        <v>42</v>
      </c>
      <c r="C428" s="10">
        <v>200014</v>
      </c>
      <c r="D428" s="9" t="s">
        <v>123</v>
      </c>
      <c r="E428" s="9" t="s">
        <v>584</v>
      </c>
      <c r="F428" s="11" t="s">
        <v>15</v>
      </c>
      <c r="G428" s="12">
        <v>1000000</v>
      </c>
      <c r="H428" s="12"/>
      <c r="I428" s="39"/>
      <c r="J428" s="39"/>
      <c r="K428" s="39"/>
      <c r="L428" s="39"/>
      <c r="M428" s="39"/>
      <c r="N428" s="39"/>
      <c r="O428" s="12">
        <v>1000000</v>
      </c>
      <c r="P428" s="39"/>
      <c r="Q428" s="39"/>
      <c r="R428" s="39"/>
    </row>
    <row x14ac:dyDescent="0.25" r="429" customHeight="1" ht="20.1">
      <c r="A429" s="9" t="s">
        <v>578</v>
      </c>
      <c r="B429" s="9" t="s">
        <v>380</v>
      </c>
      <c r="C429" s="10">
        <v>6703178</v>
      </c>
      <c r="D429" s="9" t="s">
        <v>246</v>
      </c>
      <c r="E429" s="9" t="s">
        <v>585</v>
      </c>
      <c r="F429" s="11" t="s">
        <v>10</v>
      </c>
      <c r="G429" s="12">
        <v>79760875</v>
      </c>
      <c r="H429" s="12"/>
      <c r="I429" s="39"/>
      <c r="J429" s="12">
        <v>79760875</v>
      </c>
      <c r="K429" s="39"/>
      <c r="L429" s="39"/>
      <c r="M429" s="39"/>
      <c r="N429" s="39"/>
      <c r="O429" s="39"/>
      <c r="P429" s="39"/>
      <c r="Q429" s="39"/>
      <c r="R429" s="39"/>
    </row>
    <row x14ac:dyDescent="0.25" r="430" customHeight="1" ht="20.1">
      <c r="A430" s="9" t="s">
        <v>578</v>
      </c>
      <c r="B430" s="9" t="s">
        <v>42</v>
      </c>
      <c r="C430" s="10"/>
      <c r="D430" s="9" t="s">
        <v>43</v>
      </c>
      <c r="E430" s="9" t="s">
        <v>586</v>
      </c>
      <c r="F430" s="11" t="s">
        <v>17</v>
      </c>
      <c r="G430" s="12">
        <v>1337400</v>
      </c>
      <c r="H430" s="12"/>
      <c r="I430" s="39"/>
      <c r="J430" s="39"/>
      <c r="K430" s="39"/>
      <c r="L430" s="39"/>
      <c r="M430" s="39"/>
      <c r="N430" s="39"/>
      <c r="O430" s="39"/>
      <c r="P430" s="39"/>
      <c r="Q430" s="12">
        <v>1337400</v>
      </c>
      <c r="R430" s="39"/>
    </row>
    <row x14ac:dyDescent="0.25" r="431" customHeight="1" ht="20.1">
      <c r="A431" s="9" t="s">
        <v>578</v>
      </c>
      <c r="B431" s="9" t="s">
        <v>25</v>
      </c>
      <c r="C431" s="10"/>
      <c r="D431" s="9" t="s">
        <v>30</v>
      </c>
      <c r="E431" s="9" t="s">
        <v>573</v>
      </c>
      <c r="F431" s="11" t="s">
        <v>13</v>
      </c>
      <c r="G431" s="12">
        <v>20000000</v>
      </c>
      <c r="H431" s="12"/>
      <c r="I431" s="39"/>
      <c r="J431" s="39"/>
      <c r="K431" s="39"/>
      <c r="L431" s="39"/>
      <c r="M431" s="12">
        <v>20000000</v>
      </c>
      <c r="N431" s="39"/>
      <c r="O431" s="39"/>
      <c r="P431" s="39"/>
      <c r="Q431" s="39"/>
      <c r="R431" s="39"/>
    </row>
    <row x14ac:dyDescent="0.25" r="432" customHeight="1" ht="20.1">
      <c r="A432" s="9" t="s">
        <v>578</v>
      </c>
      <c r="B432" s="9" t="s">
        <v>25</v>
      </c>
      <c r="C432" s="10"/>
      <c r="D432" s="9" t="s">
        <v>26</v>
      </c>
      <c r="E432" s="9" t="s">
        <v>587</v>
      </c>
      <c r="F432" s="11" t="s">
        <v>8</v>
      </c>
      <c r="G432" s="12">
        <v>12004000</v>
      </c>
      <c r="H432" s="12">
        <v>12004000</v>
      </c>
      <c r="I432" s="39"/>
      <c r="J432" s="39"/>
      <c r="K432" s="39"/>
      <c r="L432" s="39"/>
      <c r="M432" s="39"/>
      <c r="N432" s="39"/>
      <c r="O432" s="39"/>
      <c r="P432" s="39"/>
      <c r="Q432" s="39"/>
      <c r="R432" s="39"/>
    </row>
    <row x14ac:dyDescent="0.25" r="433" customHeight="1" ht="20.1">
      <c r="A433" s="9" t="s">
        <v>578</v>
      </c>
      <c r="B433" s="9" t="s">
        <v>25</v>
      </c>
      <c r="C433" s="10"/>
      <c r="D433" s="9" t="s">
        <v>26</v>
      </c>
      <c r="E433" s="9" t="s">
        <v>547</v>
      </c>
      <c r="F433" s="11" t="s">
        <v>8</v>
      </c>
      <c r="G433" s="12">
        <v>8996000</v>
      </c>
      <c r="H433" s="12">
        <v>8996000</v>
      </c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x14ac:dyDescent="0.25" r="434" customHeight="1" ht="20.1">
      <c r="A434" s="9" t="s">
        <v>588</v>
      </c>
      <c r="B434" s="9" t="s">
        <v>20</v>
      </c>
      <c r="C434" s="10">
        <v>200178</v>
      </c>
      <c r="D434" s="23" t="s">
        <v>26</v>
      </c>
      <c r="E434" s="9" t="s">
        <v>589</v>
      </c>
      <c r="F434" s="11" t="s">
        <v>8</v>
      </c>
      <c r="G434" s="12">
        <v>3240000</v>
      </c>
      <c r="H434" s="12">
        <v>3240000</v>
      </c>
      <c r="I434" s="39"/>
      <c r="J434" s="39"/>
      <c r="K434" s="39"/>
      <c r="L434" s="39"/>
      <c r="M434" s="39"/>
      <c r="N434" s="39"/>
      <c r="O434" s="39"/>
      <c r="P434" s="39"/>
      <c r="Q434" s="39"/>
      <c r="R434" s="39"/>
    </row>
    <row x14ac:dyDescent="0.25" r="435" customHeight="1" ht="20.1">
      <c r="A435" s="9" t="s">
        <v>588</v>
      </c>
      <c r="B435" s="9" t="s">
        <v>20</v>
      </c>
      <c r="C435" s="10">
        <v>200179</v>
      </c>
      <c r="D435" s="9" t="s">
        <v>125</v>
      </c>
      <c r="E435" s="9" t="s">
        <v>590</v>
      </c>
      <c r="F435" s="11" t="s">
        <v>9</v>
      </c>
      <c r="G435" s="12">
        <v>750000</v>
      </c>
      <c r="H435" s="12"/>
      <c r="I435" s="12">
        <v>750000</v>
      </c>
      <c r="J435" s="39"/>
      <c r="K435" s="39"/>
      <c r="L435" s="39"/>
      <c r="M435" s="39"/>
      <c r="N435" s="39"/>
      <c r="O435" s="39"/>
      <c r="P435" s="39"/>
      <c r="Q435" s="39"/>
      <c r="R435" s="39"/>
    </row>
    <row x14ac:dyDescent="0.25" r="436" customHeight="1" ht="20.1">
      <c r="A436" s="9" t="s">
        <v>588</v>
      </c>
      <c r="B436" s="9" t="s">
        <v>20</v>
      </c>
      <c r="C436" s="10">
        <v>200179</v>
      </c>
      <c r="D436" s="9" t="s">
        <v>75</v>
      </c>
      <c r="E436" s="9" t="s">
        <v>591</v>
      </c>
      <c r="F436" s="11" t="s">
        <v>13</v>
      </c>
      <c r="G436" s="12">
        <v>300000</v>
      </c>
      <c r="H436" s="12"/>
      <c r="I436" s="39"/>
      <c r="J436" s="39"/>
      <c r="K436" s="39"/>
      <c r="L436" s="39"/>
      <c r="M436" s="12">
        <v>300000</v>
      </c>
      <c r="N436" s="39"/>
      <c r="O436" s="39"/>
      <c r="P436" s="39"/>
      <c r="Q436" s="39"/>
      <c r="R436" s="39"/>
    </row>
    <row x14ac:dyDescent="0.25" r="437" customHeight="1" ht="20.1">
      <c r="A437" s="9" t="s">
        <v>588</v>
      </c>
      <c r="B437" s="9" t="s">
        <v>151</v>
      </c>
      <c r="C437" s="10" t="s">
        <v>592</v>
      </c>
      <c r="D437" s="9" t="s">
        <v>153</v>
      </c>
      <c r="E437" s="9" t="s">
        <v>593</v>
      </c>
      <c r="F437" s="11" t="s">
        <v>9</v>
      </c>
      <c r="G437" s="12">
        <v>500000</v>
      </c>
      <c r="H437" s="12"/>
      <c r="I437" s="12">
        <v>500000</v>
      </c>
      <c r="J437" s="39"/>
      <c r="K437" s="39"/>
      <c r="L437" s="39"/>
      <c r="M437" s="39"/>
      <c r="N437" s="39"/>
      <c r="O437" s="39"/>
      <c r="P437" s="39"/>
      <c r="Q437" s="39"/>
      <c r="R437" s="39"/>
    </row>
    <row x14ac:dyDescent="0.25" r="438" customHeight="1" ht="20.1">
      <c r="A438" s="9" t="s">
        <v>588</v>
      </c>
      <c r="B438" s="9" t="s">
        <v>151</v>
      </c>
      <c r="C438" s="10" t="s">
        <v>592</v>
      </c>
      <c r="D438" s="9" t="s">
        <v>156</v>
      </c>
      <c r="E438" s="9" t="s">
        <v>594</v>
      </c>
      <c r="F438" s="11" t="s">
        <v>9</v>
      </c>
      <c r="G438" s="12">
        <v>150000</v>
      </c>
      <c r="H438" s="12"/>
      <c r="I438" s="12">
        <v>150000</v>
      </c>
      <c r="J438" s="39"/>
      <c r="K438" s="39"/>
      <c r="L438" s="39"/>
      <c r="M438" s="39"/>
      <c r="N438" s="39"/>
      <c r="O438" s="39"/>
      <c r="P438" s="39"/>
      <c r="Q438" s="39"/>
      <c r="R438" s="39"/>
    </row>
    <row x14ac:dyDescent="0.25" r="439" customHeight="1" ht="20.1">
      <c r="A439" s="9" t="s">
        <v>588</v>
      </c>
      <c r="B439" s="9" t="s">
        <v>25</v>
      </c>
      <c r="C439" s="10"/>
      <c r="D439" s="9" t="s">
        <v>30</v>
      </c>
      <c r="E439" s="9" t="s">
        <v>595</v>
      </c>
      <c r="F439" s="11" t="s">
        <v>9</v>
      </c>
      <c r="G439" s="12">
        <v>55000000</v>
      </c>
      <c r="H439" s="12"/>
      <c r="I439" s="12">
        <v>55000000</v>
      </c>
      <c r="J439" s="39"/>
      <c r="K439" s="39"/>
      <c r="L439" s="39"/>
      <c r="M439" s="39"/>
      <c r="N439" s="39"/>
      <c r="O439" s="39"/>
      <c r="P439" s="39"/>
      <c r="Q439" s="39"/>
      <c r="R439" s="39"/>
    </row>
    <row x14ac:dyDescent="0.25" r="440" customHeight="1" ht="20.1">
      <c r="A440" s="9" t="s">
        <v>596</v>
      </c>
      <c r="B440" s="9" t="s">
        <v>25</v>
      </c>
      <c r="C440" s="10"/>
      <c r="D440" s="9" t="s">
        <v>26</v>
      </c>
      <c r="E440" s="9" t="s">
        <v>597</v>
      </c>
      <c r="F440" s="11" t="s">
        <v>10</v>
      </c>
      <c r="G440" s="12">
        <v>16000000</v>
      </c>
      <c r="H440" s="12"/>
      <c r="I440" s="39"/>
      <c r="J440" s="12">
        <v>16000000</v>
      </c>
      <c r="K440" s="39"/>
      <c r="L440" s="39"/>
      <c r="M440" s="39"/>
      <c r="N440" s="39"/>
      <c r="O440" s="39"/>
      <c r="P440" s="39"/>
      <c r="Q440" s="39"/>
      <c r="R440" s="39"/>
    </row>
    <row x14ac:dyDescent="0.25" r="441" customHeight="1" ht="20.1">
      <c r="A441" s="9" t="s">
        <v>598</v>
      </c>
      <c r="B441" s="9" t="s">
        <v>25</v>
      </c>
      <c r="C441" s="10"/>
      <c r="D441" s="9" t="s">
        <v>26</v>
      </c>
      <c r="E441" s="9" t="s">
        <v>599</v>
      </c>
      <c r="F441" s="11" t="s">
        <v>10</v>
      </c>
      <c r="G441" s="12">
        <v>12500000</v>
      </c>
      <c r="H441" s="12"/>
      <c r="I441" s="39"/>
      <c r="J441" s="12">
        <v>12500000</v>
      </c>
      <c r="K441" s="39"/>
      <c r="L441" s="39"/>
      <c r="M441" s="39"/>
      <c r="N441" s="39"/>
      <c r="O441" s="39"/>
      <c r="P441" s="39"/>
      <c r="Q441" s="39"/>
      <c r="R441" s="39"/>
    </row>
    <row x14ac:dyDescent="0.25" r="442" customHeight="1" ht="20.1">
      <c r="A442" s="9" t="s">
        <v>598</v>
      </c>
      <c r="B442" s="9" t="s">
        <v>100</v>
      </c>
      <c r="C442" s="10" t="s">
        <v>600</v>
      </c>
      <c r="D442" s="9" t="s">
        <v>86</v>
      </c>
      <c r="E442" s="9" t="s">
        <v>601</v>
      </c>
      <c r="F442" s="11" t="s">
        <v>8</v>
      </c>
      <c r="G442" s="12">
        <v>8512000</v>
      </c>
      <c r="H442" s="12">
        <v>8512000</v>
      </c>
      <c r="I442" s="39"/>
      <c r="J442" s="39"/>
      <c r="K442" s="39"/>
      <c r="L442" s="39"/>
      <c r="M442" s="39"/>
      <c r="N442" s="39"/>
      <c r="O442" s="39"/>
      <c r="P442" s="39"/>
      <c r="Q442" s="39"/>
      <c r="R442" s="39"/>
    </row>
    <row x14ac:dyDescent="0.25" r="443" customHeight="1" ht="20.1">
      <c r="A443" s="9" t="s">
        <v>598</v>
      </c>
      <c r="B443" s="9" t="s">
        <v>20</v>
      </c>
      <c r="C443" s="10">
        <v>200201</v>
      </c>
      <c r="D443" s="9" t="s">
        <v>602</v>
      </c>
      <c r="E443" s="9" t="s">
        <v>603</v>
      </c>
      <c r="F443" s="11" t="s">
        <v>9</v>
      </c>
      <c r="G443" s="12">
        <v>4060000</v>
      </c>
      <c r="H443" s="12"/>
      <c r="I443" s="12">
        <v>4060000</v>
      </c>
      <c r="J443" s="39"/>
      <c r="K443" s="39"/>
      <c r="L443" s="39"/>
      <c r="M443" s="39"/>
      <c r="N443" s="39"/>
      <c r="O443" s="39"/>
      <c r="P443" s="39"/>
      <c r="Q443" s="39"/>
      <c r="R443" s="39"/>
    </row>
    <row x14ac:dyDescent="0.25" r="444" customHeight="1" ht="20.1">
      <c r="A444" s="9" t="s">
        <v>598</v>
      </c>
      <c r="B444" s="9" t="s">
        <v>20</v>
      </c>
      <c r="C444" s="10">
        <v>200223</v>
      </c>
      <c r="D444" s="9" t="s">
        <v>21</v>
      </c>
      <c r="E444" s="9" t="s">
        <v>604</v>
      </c>
      <c r="F444" s="11" t="s">
        <v>13</v>
      </c>
      <c r="G444" s="12">
        <v>6294158</v>
      </c>
      <c r="H444" s="12"/>
      <c r="I444" s="39"/>
      <c r="J444" s="39"/>
      <c r="K444" s="39"/>
      <c r="L444" s="39"/>
      <c r="M444" s="12">
        <v>6294158</v>
      </c>
      <c r="N444" s="39"/>
      <c r="O444" s="39"/>
      <c r="P444" s="39"/>
      <c r="Q444" s="39"/>
      <c r="R444" s="39"/>
    </row>
    <row x14ac:dyDescent="0.25" r="445" customHeight="1" ht="20.1">
      <c r="A445" s="9" t="s">
        <v>598</v>
      </c>
      <c r="B445" s="9" t="s">
        <v>20</v>
      </c>
      <c r="C445" s="10">
        <v>200180</v>
      </c>
      <c r="D445" s="9" t="s">
        <v>23</v>
      </c>
      <c r="E445" s="9" t="s">
        <v>605</v>
      </c>
      <c r="F445" s="11" t="s">
        <v>13</v>
      </c>
      <c r="G445" s="12">
        <v>100000</v>
      </c>
      <c r="H445" s="12"/>
      <c r="I445" s="39"/>
      <c r="J445" s="39"/>
      <c r="K445" s="39"/>
      <c r="L445" s="39"/>
      <c r="M445" s="12">
        <v>100000</v>
      </c>
      <c r="N445" s="39"/>
      <c r="O445" s="39"/>
      <c r="P445" s="39"/>
      <c r="Q445" s="39"/>
      <c r="R445" s="39"/>
    </row>
    <row x14ac:dyDescent="0.25" r="446" customHeight="1" ht="20.1">
      <c r="A446" s="9" t="s">
        <v>598</v>
      </c>
      <c r="B446" s="9" t="s">
        <v>28</v>
      </c>
      <c r="C446" s="10">
        <v>849293</v>
      </c>
      <c r="D446" s="9" t="s">
        <v>26</v>
      </c>
      <c r="E446" s="9" t="s">
        <v>606</v>
      </c>
      <c r="F446" s="11" t="s">
        <v>10</v>
      </c>
      <c r="G446" s="12">
        <v>62657500</v>
      </c>
      <c r="H446" s="12"/>
      <c r="I446" s="39"/>
      <c r="J446" s="12">
        <v>62657500</v>
      </c>
      <c r="K446" s="39"/>
      <c r="L446" s="39"/>
      <c r="M446" s="39"/>
      <c r="N446" s="39"/>
      <c r="O446" s="39"/>
      <c r="P446" s="39"/>
      <c r="Q446" s="39"/>
      <c r="R446" s="39"/>
    </row>
    <row x14ac:dyDescent="0.25" r="447" customHeight="1" ht="20.1">
      <c r="A447" s="9" t="s">
        <v>598</v>
      </c>
      <c r="B447" s="9" t="s">
        <v>28</v>
      </c>
      <c r="C447" s="10">
        <v>849294</v>
      </c>
      <c r="D447" s="9" t="s">
        <v>26</v>
      </c>
      <c r="E447" s="9" t="s">
        <v>607</v>
      </c>
      <c r="F447" s="11" t="s">
        <v>10</v>
      </c>
      <c r="G447" s="12">
        <v>5610000</v>
      </c>
      <c r="H447" s="12"/>
      <c r="I447" s="39"/>
      <c r="J447" s="12">
        <v>5610000</v>
      </c>
      <c r="K447" s="39"/>
      <c r="L447" s="39"/>
      <c r="M447" s="39"/>
      <c r="N447" s="39"/>
      <c r="O447" s="39"/>
      <c r="P447" s="39"/>
      <c r="Q447" s="39"/>
      <c r="R447" s="39"/>
    </row>
    <row x14ac:dyDescent="0.25" r="448" customHeight="1" ht="20.1">
      <c r="A448" s="9" t="s">
        <v>608</v>
      </c>
      <c r="B448" s="9" t="s">
        <v>609</v>
      </c>
      <c r="C448" s="10"/>
      <c r="D448" s="9" t="s">
        <v>30</v>
      </c>
      <c r="E448" s="9" t="s">
        <v>610</v>
      </c>
      <c r="F448" s="11" t="s">
        <v>9</v>
      </c>
      <c r="G448" s="12">
        <v>50000000</v>
      </c>
      <c r="H448" s="12"/>
      <c r="I448" s="12">
        <v>50000000</v>
      </c>
      <c r="J448" s="39"/>
      <c r="K448" s="39"/>
      <c r="L448" s="39"/>
      <c r="M448" s="39"/>
      <c r="N448" s="39"/>
      <c r="O448" s="39"/>
      <c r="P448" s="39"/>
      <c r="Q448" s="39"/>
      <c r="R448" s="39"/>
    </row>
    <row x14ac:dyDescent="0.25" r="449" customHeight="1" ht="20.1">
      <c r="A449" s="9" t="s">
        <v>608</v>
      </c>
      <c r="B449" s="9" t="s">
        <v>20</v>
      </c>
      <c r="C449" s="10">
        <v>200224</v>
      </c>
      <c r="D449" s="9" t="s">
        <v>21</v>
      </c>
      <c r="E449" s="9" t="s">
        <v>611</v>
      </c>
      <c r="F449" s="11" t="s">
        <v>9</v>
      </c>
      <c r="G449" s="12">
        <v>8657773</v>
      </c>
      <c r="H449" s="12"/>
      <c r="I449" s="12">
        <v>8657773</v>
      </c>
      <c r="J449" s="39"/>
      <c r="K449" s="39"/>
      <c r="L449" s="39"/>
      <c r="M449" s="39"/>
      <c r="N449" s="39"/>
      <c r="O449" s="39"/>
      <c r="P449" s="39"/>
      <c r="Q449" s="39"/>
      <c r="R449" s="39"/>
    </row>
    <row x14ac:dyDescent="0.25" r="450" customHeight="1" ht="20.1">
      <c r="A450" s="9" t="s">
        <v>608</v>
      </c>
      <c r="B450" s="9" t="s">
        <v>20</v>
      </c>
      <c r="C450" s="10">
        <v>200203</v>
      </c>
      <c r="D450" s="9" t="s">
        <v>23</v>
      </c>
      <c r="E450" s="9" t="s">
        <v>612</v>
      </c>
      <c r="F450" s="11" t="s">
        <v>9</v>
      </c>
      <c r="G450" s="12">
        <v>500000</v>
      </c>
      <c r="H450" s="10"/>
      <c r="I450" s="12">
        <v>500000</v>
      </c>
      <c r="J450" s="39"/>
      <c r="K450" s="39"/>
      <c r="L450" s="39"/>
      <c r="M450" s="39"/>
      <c r="N450" s="39"/>
      <c r="O450" s="39"/>
      <c r="P450" s="39"/>
      <c r="Q450" s="39"/>
      <c r="R450" s="39"/>
    </row>
    <row x14ac:dyDescent="0.25" r="451" customHeight="1" ht="20.1">
      <c r="A451" s="9" t="s">
        <v>608</v>
      </c>
      <c r="B451" s="9" t="s">
        <v>20</v>
      </c>
      <c r="C451" s="10">
        <v>200202</v>
      </c>
      <c r="D451" s="9" t="s">
        <v>61</v>
      </c>
      <c r="E451" s="9" t="s">
        <v>613</v>
      </c>
      <c r="F451" s="11" t="s">
        <v>9</v>
      </c>
      <c r="G451" s="12">
        <v>21480</v>
      </c>
      <c r="H451" s="12"/>
      <c r="I451" s="12">
        <v>21480</v>
      </c>
      <c r="J451" s="39"/>
      <c r="K451" s="39"/>
      <c r="L451" s="39"/>
      <c r="M451" s="39"/>
      <c r="N451" s="39"/>
      <c r="O451" s="39"/>
      <c r="P451" s="39"/>
      <c r="Q451" s="39"/>
      <c r="R451" s="39"/>
    </row>
    <row x14ac:dyDescent="0.25" r="452" customHeight="1" ht="20.1">
      <c r="A452" s="9" t="s">
        <v>608</v>
      </c>
      <c r="B452" s="9" t="s">
        <v>20</v>
      </c>
      <c r="C452" s="10">
        <v>200202</v>
      </c>
      <c r="D452" s="9" t="s">
        <v>63</v>
      </c>
      <c r="E452" s="9" t="s">
        <v>614</v>
      </c>
      <c r="F452" s="11" t="s">
        <v>8</v>
      </c>
      <c r="G452" s="12">
        <v>604400</v>
      </c>
      <c r="H452" s="12">
        <v>604400</v>
      </c>
      <c r="I452" s="39"/>
      <c r="J452" s="39"/>
      <c r="K452" s="39"/>
      <c r="L452" s="39"/>
      <c r="M452" s="39"/>
      <c r="N452" s="39"/>
      <c r="O452" s="39"/>
      <c r="P452" s="39"/>
      <c r="Q452" s="39"/>
      <c r="R452" s="39"/>
    </row>
    <row x14ac:dyDescent="0.25" r="453" customHeight="1" ht="20.1">
      <c r="A453" s="9" t="s">
        <v>608</v>
      </c>
      <c r="B453" s="9" t="s">
        <v>20</v>
      </c>
      <c r="C453" s="10">
        <v>200202</v>
      </c>
      <c r="D453" s="9" t="s">
        <v>38</v>
      </c>
      <c r="E453" s="9" t="s">
        <v>373</v>
      </c>
      <c r="F453" s="11" t="s">
        <v>13</v>
      </c>
      <c r="G453" s="12">
        <v>84900</v>
      </c>
      <c r="H453" s="12"/>
      <c r="I453" s="39"/>
      <c r="J453" s="39"/>
      <c r="K453" s="39"/>
      <c r="L453" s="39"/>
      <c r="M453" s="12">
        <v>84900</v>
      </c>
      <c r="N453" s="39"/>
      <c r="O453" s="39"/>
      <c r="P453" s="39"/>
      <c r="Q453" s="39"/>
      <c r="R453" s="39"/>
    </row>
    <row x14ac:dyDescent="0.25" r="454" customHeight="1" ht="20.1">
      <c r="A454" s="9" t="s">
        <v>608</v>
      </c>
      <c r="B454" s="9" t="s">
        <v>20</v>
      </c>
      <c r="C454" s="10">
        <v>200202</v>
      </c>
      <c r="D454" s="9" t="s">
        <v>59</v>
      </c>
      <c r="E454" s="9" t="s">
        <v>614</v>
      </c>
      <c r="F454" s="11" t="s">
        <v>10</v>
      </c>
      <c r="G454" s="12">
        <v>759450</v>
      </c>
      <c r="H454" s="12"/>
      <c r="I454" s="39"/>
      <c r="J454" s="12">
        <v>759450</v>
      </c>
      <c r="K454" s="39"/>
      <c r="L454" s="39"/>
      <c r="M454" s="39"/>
      <c r="N454" s="39"/>
      <c r="O454" s="39"/>
      <c r="P454" s="39"/>
      <c r="Q454" s="39"/>
      <c r="R454" s="39"/>
    </row>
    <row x14ac:dyDescent="0.25" r="455" customHeight="1" ht="20.1">
      <c r="A455" s="9" t="s">
        <v>608</v>
      </c>
      <c r="B455" s="9" t="s">
        <v>20</v>
      </c>
      <c r="C455" s="10">
        <v>200204</v>
      </c>
      <c r="D455" s="9" t="s">
        <v>43</v>
      </c>
      <c r="E455" s="9" t="s">
        <v>615</v>
      </c>
      <c r="F455" s="11" t="s">
        <v>17</v>
      </c>
      <c r="G455" s="12">
        <v>42500000</v>
      </c>
      <c r="H455" s="12"/>
      <c r="I455" s="39"/>
      <c r="J455" s="39"/>
      <c r="K455" s="39"/>
      <c r="L455" s="39"/>
      <c r="M455" s="39"/>
      <c r="N455" s="39"/>
      <c r="O455" s="39"/>
      <c r="P455" s="39"/>
      <c r="Q455" s="12">
        <v>42500000</v>
      </c>
      <c r="R455" s="39"/>
    </row>
    <row x14ac:dyDescent="0.25" r="456" customHeight="1" ht="20.1">
      <c r="A456" s="9" t="s">
        <v>608</v>
      </c>
      <c r="B456" s="9" t="s">
        <v>151</v>
      </c>
      <c r="C456" s="10" t="s">
        <v>616</v>
      </c>
      <c r="D456" s="9" t="s">
        <v>43</v>
      </c>
      <c r="E456" s="9" t="s">
        <v>615</v>
      </c>
      <c r="F456" s="11" t="s">
        <v>17</v>
      </c>
      <c r="G456" s="12">
        <v>50000000</v>
      </c>
      <c r="H456" s="12"/>
      <c r="I456" s="39"/>
      <c r="J456" s="40"/>
      <c r="K456" s="39"/>
      <c r="L456" s="39"/>
      <c r="M456" s="39"/>
      <c r="N456" s="39"/>
      <c r="O456" s="39"/>
      <c r="P456" s="39"/>
      <c r="Q456" s="12">
        <v>50000000</v>
      </c>
      <c r="R456" s="39"/>
    </row>
    <row x14ac:dyDescent="0.25" r="457" customHeight="1" ht="20.1">
      <c r="A457" s="9" t="s">
        <v>608</v>
      </c>
      <c r="B457" s="9" t="s">
        <v>336</v>
      </c>
      <c r="C457" s="10">
        <v>111706</v>
      </c>
      <c r="D457" s="9" t="s">
        <v>43</v>
      </c>
      <c r="E457" s="9" t="s">
        <v>617</v>
      </c>
      <c r="F457" s="11" t="s">
        <v>17</v>
      </c>
      <c r="G457" s="12">
        <v>100000000</v>
      </c>
      <c r="H457" s="12"/>
      <c r="I457" s="39"/>
      <c r="J457" s="40"/>
      <c r="K457" s="39"/>
      <c r="L457" s="39"/>
      <c r="M457" s="39"/>
      <c r="N457" s="39"/>
      <c r="O457" s="39"/>
      <c r="P457" s="39"/>
      <c r="Q457" s="12">
        <v>100000000</v>
      </c>
      <c r="R457" s="39"/>
    </row>
    <row x14ac:dyDescent="0.25" r="458" customHeight="1" ht="20.1">
      <c r="A458" s="9" t="s">
        <v>608</v>
      </c>
      <c r="B458" s="9" t="s">
        <v>100</v>
      </c>
      <c r="C458" s="10" t="s">
        <v>618</v>
      </c>
      <c r="D458" s="9" t="s">
        <v>43</v>
      </c>
      <c r="E458" s="9" t="s">
        <v>617</v>
      </c>
      <c r="F458" s="11" t="s">
        <v>17</v>
      </c>
      <c r="G458" s="12">
        <v>11800000</v>
      </c>
      <c r="H458" s="12"/>
      <c r="I458" s="39"/>
      <c r="J458" s="40"/>
      <c r="K458" s="39"/>
      <c r="L458" s="39"/>
      <c r="M458" s="39"/>
      <c r="N458" s="39"/>
      <c r="O458" s="39"/>
      <c r="P458" s="39"/>
      <c r="Q458" s="12">
        <v>11800000</v>
      </c>
      <c r="R458" s="39"/>
    </row>
    <row x14ac:dyDescent="0.25" r="459" customHeight="1" ht="20.1">
      <c r="A459" s="9" t="s">
        <v>608</v>
      </c>
      <c r="B459" s="9" t="s">
        <v>100</v>
      </c>
      <c r="C459" s="10" t="s">
        <v>618</v>
      </c>
      <c r="D459" s="9" t="s">
        <v>43</v>
      </c>
      <c r="E459" s="9" t="s">
        <v>619</v>
      </c>
      <c r="F459" s="11" t="s">
        <v>17</v>
      </c>
      <c r="G459" s="12">
        <v>10000000</v>
      </c>
      <c r="H459" s="12"/>
      <c r="I459" s="39"/>
      <c r="J459" s="40"/>
      <c r="K459" s="39"/>
      <c r="L459" s="39"/>
      <c r="M459" s="39"/>
      <c r="N459" s="39"/>
      <c r="O459" s="39"/>
      <c r="P459" s="39"/>
      <c r="Q459" s="12">
        <v>10000000</v>
      </c>
      <c r="R459" s="39"/>
    </row>
    <row x14ac:dyDescent="0.25" r="460" customHeight="1" ht="20.1">
      <c r="A460" s="9" t="s">
        <v>608</v>
      </c>
      <c r="B460" s="9" t="s">
        <v>100</v>
      </c>
      <c r="C460" s="10" t="s">
        <v>618</v>
      </c>
      <c r="D460" s="9" t="s">
        <v>43</v>
      </c>
      <c r="E460" s="9" t="s">
        <v>620</v>
      </c>
      <c r="F460" s="11" t="s">
        <v>17</v>
      </c>
      <c r="G460" s="12">
        <v>41186350</v>
      </c>
      <c r="H460" s="12"/>
      <c r="I460" s="39"/>
      <c r="J460" s="40"/>
      <c r="K460" s="39"/>
      <c r="L460" s="39"/>
      <c r="M460" s="39"/>
      <c r="N460" s="39"/>
      <c r="O460" s="39"/>
      <c r="P460" s="39"/>
      <c r="Q460" s="12">
        <v>41186350</v>
      </c>
      <c r="R460" s="39"/>
    </row>
    <row x14ac:dyDescent="0.25" r="461" customHeight="1" ht="20.1">
      <c r="A461" s="9" t="s">
        <v>608</v>
      </c>
      <c r="B461" s="9" t="s">
        <v>25</v>
      </c>
      <c r="C461" s="10"/>
      <c r="D461" s="9" t="s">
        <v>30</v>
      </c>
      <c r="E461" s="9" t="s">
        <v>621</v>
      </c>
      <c r="F461" s="11" t="s">
        <v>13</v>
      </c>
      <c r="G461" s="12">
        <v>26000000</v>
      </c>
      <c r="H461" s="12"/>
      <c r="I461" s="39"/>
      <c r="J461" s="40"/>
      <c r="K461" s="39"/>
      <c r="L461" s="39"/>
      <c r="M461" s="12">
        <v>26000000</v>
      </c>
      <c r="N461" s="39"/>
      <c r="O461" s="39"/>
      <c r="P461" s="39"/>
      <c r="Q461" s="39"/>
      <c r="R461" s="39"/>
    </row>
    <row x14ac:dyDescent="0.25" r="462" customHeight="1" ht="20.1">
      <c r="A462" s="9" t="s">
        <v>622</v>
      </c>
      <c r="B462" s="9" t="s">
        <v>25</v>
      </c>
      <c r="C462" s="10"/>
      <c r="D462" s="9" t="s">
        <v>26</v>
      </c>
      <c r="E462" s="9" t="s">
        <v>623</v>
      </c>
      <c r="F462" s="11" t="s">
        <v>10</v>
      </c>
      <c r="G462" s="12">
        <v>859800</v>
      </c>
      <c r="H462" s="12"/>
      <c r="I462" s="39"/>
      <c r="J462" s="12">
        <v>859800</v>
      </c>
      <c r="K462" s="39"/>
      <c r="L462" s="39"/>
      <c r="M462" s="39"/>
      <c r="N462" s="39"/>
      <c r="O462" s="39"/>
      <c r="P462" s="39"/>
      <c r="Q462" s="39"/>
      <c r="R462" s="39"/>
    </row>
    <row x14ac:dyDescent="0.25" r="463" customHeight="1" ht="20.1">
      <c r="A463" s="9" t="s">
        <v>622</v>
      </c>
      <c r="B463" s="9" t="s">
        <v>25</v>
      </c>
      <c r="C463" s="10"/>
      <c r="D463" s="9" t="s">
        <v>26</v>
      </c>
      <c r="E463" s="9" t="s">
        <v>624</v>
      </c>
      <c r="F463" s="11" t="s">
        <v>10</v>
      </c>
      <c r="G463" s="12">
        <v>34000200</v>
      </c>
      <c r="H463" s="12"/>
      <c r="I463" s="39"/>
      <c r="J463" s="12">
        <v>34000200</v>
      </c>
      <c r="K463" s="39"/>
      <c r="L463" s="39"/>
      <c r="M463" s="39"/>
      <c r="N463" s="39"/>
      <c r="O463" s="39"/>
      <c r="P463" s="39"/>
      <c r="Q463" s="39"/>
      <c r="R463" s="39"/>
    </row>
    <row x14ac:dyDescent="0.25" r="464" customHeight="1" ht="20.1">
      <c r="A464" s="9" t="s">
        <v>622</v>
      </c>
      <c r="B464" s="9" t="s">
        <v>25</v>
      </c>
      <c r="C464" s="10"/>
      <c r="D464" s="9" t="s">
        <v>26</v>
      </c>
      <c r="E464" s="9" t="s">
        <v>625</v>
      </c>
      <c r="F464" s="11" t="s">
        <v>8</v>
      </c>
      <c r="G464" s="12">
        <v>5649500</v>
      </c>
      <c r="H464" s="12">
        <v>5649500</v>
      </c>
      <c r="I464" s="39"/>
      <c r="J464" s="40"/>
      <c r="K464" s="39"/>
      <c r="L464" s="39"/>
      <c r="M464" s="39"/>
      <c r="N464" s="39"/>
      <c r="O464" s="39"/>
      <c r="P464" s="39"/>
      <c r="Q464" s="39"/>
      <c r="R464" s="39"/>
    </row>
    <row x14ac:dyDescent="0.25" r="465" customHeight="1" ht="20.1">
      <c r="A465" s="9" t="s">
        <v>622</v>
      </c>
      <c r="B465" s="9" t="s">
        <v>25</v>
      </c>
      <c r="C465" s="10"/>
      <c r="D465" s="9" t="s">
        <v>26</v>
      </c>
      <c r="E465" s="9" t="s">
        <v>626</v>
      </c>
      <c r="F465" s="11" t="s">
        <v>8</v>
      </c>
      <c r="G465" s="12">
        <v>2927000</v>
      </c>
      <c r="H465" s="12">
        <v>2927000</v>
      </c>
      <c r="I465" s="39"/>
      <c r="J465" s="40"/>
      <c r="K465" s="39"/>
      <c r="L465" s="39"/>
      <c r="M465" s="39"/>
      <c r="N465" s="39"/>
      <c r="O465" s="39"/>
      <c r="P465" s="39"/>
      <c r="Q465" s="39"/>
      <c r="R465" s="39"/>
    </row>
    <row x14ac:dyDescent="0.25" r="466" customHeight="1" ht="20.1">
      <c r="A466" s="9" t="s">
        <v>622</v>
      </c>
      <c r="B466" s="9" t="s">
        <v>25</v>
      </c>
      <c r="C466" s="10"/>
      <c r="D466" s="9" t="s">
        <v>26</v>
      </c>
      <c r="E466" s="9" t="s">
        <v>627</v>
      </c>
      <c r="F466" s="11" t="s">
        <v>8</v>
      </c>
      <c r="G466" s="12">
        <v>13969400</v>
      </c>
      <c r="H466" s="12">
        <v>13969400</v>
      </c>
      <c r="I466" s="39"/>
      <c r="J466" s="40"/>
      <c r="K466" s="39"/>
      <c r="L466" s="39"/>
      <c r="M466" s="39"/>
      <c r="N466" s="39"/>
      <c r="O466" s="39"/>
      <c r="P466" s="39"/>
      <c r="Q466" s="39"/>
      <c r="R466" s="39"/>
    </row>
    <row x14ac:dyDescent="0.25" r="467" customHeight="1" ht="20.1">
      <c r="A467" s="9" t="s">
        <v>622</v>
      </c>
      <c r="B467" s="9" t="s">
        <v>380</v>
      </c>
      <c r="C467" s="10">
        <v>6703179</v>
      </c>
      <c r="D467" s="9" t="s">
        <v>123</v>
      </c>
      <c r="E467" s="9" t="s">
        <v>628</v>
      </c>
      <c r="F467" s="11" t="s">
        <v>15</v>
      </c>
      <c r="G467" s="12">
        <v>3900000</v>
      </c>
      <c r="H467" s="12"/>
      <c r="I467" s="39"/>
      <c r="J467" s="40"/>
      <c r="K467" s="39"/>
      <c r="L467" s="39"/>
      <c r="M467" s="39"/>
      <c r="N467" s="39"/>
      <c r="O467" s="12">
        <v>3900000</v>
      </c>
      <c r="P467" s="39"/>
      <c r="Q467" s="39"/>
      <c r="R467" s="39"/>
    </row>
    <row x14ac:dyDescent="0.25" r="468" customHeight="1" ht="20.1">
      <c r="A468" s="9" t="s">
        <v>622</v>
      </c>
      <c r="B468" s="9" t="s">
        <v>380</v>
      </c>
      <c r="C468" s="10">
        <v>6703180</v>
      </c>
      <c r="D468" s="9" t="s">
        <v>123</v>
      </c>
      <c r="E468" s="9" t="s">
        <v>629</v>
      </c>
      <c r="F468" s="11" t="s">
        <v>15</v>
      </c>
      <c r="G468" s="12">
        <v>2811830</v>
      </c>
      <c r="H468" s="12"/>
      <c r="I468" s="39"/>
      <c r="J468" s="40"/>
      <c r="K468" s="39"/>
      <c r="L468" s="39"/>
      <c r="M468" s="39"/>
      <c r="N468" s="39"/>
      <c r="O468" s="12">
        <v>2811830</v>
      </c>
      <c r="P468" s="39"/>
      <c r="Q468" s="39"/>
      <c r="R468" s="39"/>
    </row>
    <row x14ac:dyDescent="0.25" r="469" customHeight="1" ht="20.1">
      <c r="A469" s="9" t="s">
        <v>622</v>
      </c>
      <c r="B469" s="9" t="s">
        <v>40</v>
      </c>
      <c r="C469" s="10">
        <v>268705</v>
      </c>
      <c r="D469" s="9" t="s">
        <v>26</v>
      </c>
      <c r="E469" s="9" t="s">
        <v>630</v>
      </c>
      <c r="F469" s="11" t="s">
        <v>10</v>
      </c>
      <c r="G469" s="12">
        <v>140787500</v>
      </c>
      <c r="H469" s="12"/>
      <c r="I469" s="39"/>
      <c r="J469" s="12">
        <v>140787500</v>
      </c>
      <c r="K469" s="39"/>
      <c r="L469" s="39"/>
      <c r="M469" s="39"/>
      <c r="N469" s="39"/>
      <c r="O469" s="39"/>
      <c r="P469" s="39"/>
      <c r="Q469" s="39"/>
      <c r="R469" s="39"/>
    </row>
    <row x14ac:dyDescent="0.25" r="470" customHeight="1" ht="20.1">
      <c r="A470" s="9" t="s">
        <v>622</v>
      </c>
      <c r="B470" s="9" t="s">
        <v>40</v>
      </c>
      <c r="C470" s="10" t="s">
        <v>631</v>
      </c>
      <c r="D470" s="9" t="s">
        <v>73</v>
      </c>
      <c r="E470" s="9" t="s">
        <v>632</v>
      </c>
      <c r="F470" s="11" t="s">
        <v>10</v>
      </c>
      <c r="G470" s="12">
        <v>24051150</v>
      </c>
      <c r="H470" s="12"/>
      <c r="I470" s="39"/>
      <c r="J470" s="12">
        <v>24051150</v>
      </c>
      <c r="K470" s="39"/>
      <c r="L470" s="39"/>
      <c r="M470" s="39"/>
      <c r="N470" s="39"/>
      <c r="O470" s="39"/>
      <c r="P470" s="39"/>
      <c r="Q470" s="39"/>
      <c r="R470" s="39"/>
    </row>
    <row x14ac:dyDescent="0.25" r="471" customHeight="1" ht="20.1">
      <c r="A471" s="9" t="s">
        <v>633</v>
      </c>
      <c r="B471" s="9" t="s">
        <v>25</v>
      </c>
      <c r="C471" s="10"/>
      <c r="D471" s="9" t="s">
        <v>26</v>
      </c>
      <c r="E471" s="9" t="s">
        <v>634</v>
      </c>
      <c r="F471" s="11" t="s">
        <v>10</v>
      </c>
      <c r="G471" s="12">
        <v>7513800</v>
      </c>
      <c r="H471" s="12"/>
      <c r="I471" s="39"/>
      <c r="J471" s="12">
        <v>7513800</v>
      </c>
      <c r="K471" s="39"/>
      <c r="L471" s="39"/>
      <c r="M471" s="39"/>
      <c r="N471" s="39"/>
      <c r="O471" s="39"/>
      <c r="P471" s="39"/>
      <c r="Q471" s="39"/>
      <c r="R471" s="39"/>
    </row>
    <row x14ac:dyDescent="0.25" r="472" customHeight="1" ht="20.1">
      <c r="A472" s="9" t="s">
        <v>633</v>
      </c>
      <c r="B472" s="9" t="s">
        <v>25</v>
      </c>
      <c r="C472" s="10"/>
      <c r="D472" s="9" t="s">
        <v>26</v>
      </c>
      <c r="E472" s="9" t="s">
        <v>635</v>
      </c>
      <c r="F472" s="11" t="s">
        <v>10</v>
      </c>
      <c r="G472" s="12">
        <v>7486200</v>
      </c>
      <c r="H472" s="12"/>
      <c r="I472" s="39"/>
      <c r="J472" s="12">
        <v>7486200</v>
      </c>
      <c r="K472" s="39"/>
      <c r="L472" s="39"/>
      <c r="M472" s="39"/>
      <c r="N472" s="39"/>
      <c r="O472" s="39"/>
      <c r="P472" s="39"/>
      <c r="Q472" s="39"/>
      <c r="R472" s="39"/>
    </row>
    <row x14ac:dyDescent="0.25" r="473" customHeight="1" ht="20.1">
      <c r="A473" s="9" t="s">
        <v>633</v>
      </c>
      <c r="B473" s="9" t="s">
        <v>25</v>
      </c>
      <c r="C473" s="10"/>
      <c r="D473" s="9" t="s">
        <v>30</v>
      </c>
      <c r="E473" s="9" t="s">
        <v>595</v>
      </c>
      <c r="F473" s="11" t="s">
        <v>9</v>
      </c>
      <c r="G473" s="12">
        <v>46536000</v>
      </c>
      <c r="H473" s="12"/>
      <c r="I473" s="12">
        <v>46536000</v>
      </c>
      <c r="J473" s="40"/>
      <c r="K473" s="39"/>
      <c r="L473" s="39"/>
      <c r="M473" s="39"/>
      <c r="N473" s="39"/>
      <c r="O473" s="39"/>
      <c r="P473" s="39"/>
      <c r="Q473" s="39"/>
      <c r="R473" s="39"/>
    </row>
    <row x14ac:dyDescent="0.25" r="474" customHeight="1" ht="20.1">
      <c r="A474" s="9" t="s">
        <v>633</v>
      </c>
      <c r="B474" s="9" t="s">
        <v>25</v>
      </c>
      <c r="C474" s="10"/>
      <c r="D474" s="9" t="s">
        <v>30</v>
      </c>
      <c r="E474" s="9" t="s">
        <v>636</v>
      </c>
      <c r="F474" s="11" t="s">
        <v>13</v>
      </c>
      <c r="G474" s="12">
        <v>36000000</v>
      </c>
      <c r="H474" s="12"/>
      <c r="I474" s="39"/>
      <c r="J474" s="40"/>
      <c r="K474" s="39"/>
      <c r="L474" s="39"/>
      <c r="M474" s="12">
        <v>36000000</v>
      </c>
      <c r="N474" s="39"/>
      <c r="O474" s="39"/>
      <c r="P474" s="39"/>
      <c r="Q474" s="39"/>
      <c r="R474" s="39"/>
    </row>
    <row x14ac:dyDescent="0.25" r="475" customHeight="1" ht="20.1">
      <c r="A475" s="9" t="s">
        <v>633</v>
      </c>
      <c r="B475" s="9" t="s">
        <v>25</v>
      </c>
      <c r="C475" s="10"/>
      <c r="D475" s="9" t="s">
        <v>26</v>
      </c>
      <c r="E475" s="9" t="s">
        <v>637</v>
      </c>
      <c r="F475" s="11" t="s">
        <v>8</v>
      </c>
      <c r="G475" s="12">
        <v>8000000</v>
      </c>
      <c r="H475" s="12">
        <v>8000000</v>
      </c>
      <c r="I475" s="39"/>
      <c r="J475" s="40"/>
      <c r="K475" s="39"/>
      <c r="L475" s="39"/>
      <c r="M475" s="39"/>
      <c r="N475" s="39"/>
      <c r="O475" s="39"/>
      <c r="P475" s="39"/>
      <c r="Q475" s="39"/>
      <c r="R475" s="39"/>
    </row>
    <row x14ac:dyDescent="0.25" r="476" customHeight="1" ht="20.1">
      <c r="A476" s="9" t="s">
        <v>638</v>
      </c>
      <c r="B476" s="9" t="s">
        <v>25</v>
      </c>
      <c r="C476" s="10"/>
      <c r="D476" s="9" t="s">
        <v>26</v>
      </c>
      <c r="E476" s="9" t="s">
        <v>639</v>
      </c>
      <c r="F476" s="11" t="s">
        <v>8</v>
      </c>
      <c r="G476" s="12">
        <v>6510000</v>
      </c>
      <c r="H476" s="12">
        <v>6510000</v>
      </c>
      <c r="I476" s="39"/>
      <c r="J476" s="40"/>
      <c r="K476" s="39"/>
      <c r="L476" s="39"/>
      <c r="M476" s="39"/>
      <c r="N476" s="39"/>
      <c r="O476" s="39"/>
      <c r="P476" s="39"/>
      <c r="Q476" s="39"/>
      <c r="R476" s="39"/>
    </row>
    <row x14ac:dyDescent="0.25" r="477" customHeight="1" ht="20.1">
      <c r="A477" s="9" t="s">
        <v>638</v>
      </c>
      <c r="B477" s="9" t="s">
        <v>91</v>
      </c>
      <c r="C477" s="10" t="s">
        <v>640</v>
      </c>
      <c r="D477" s="9" t="s">
        <v>93</v>
      </c>
      <c r="E477" s="9" t="s">
        <v>641</v>
      </c>
      <c r="F477" s="11" t="s">
        <v>12</v>
      </c>
      <c r="G477" s="12">
        <v>705800</v>
      </c>
      <c r="H477" s="12"/>
      <c r="I477" s="39"/>
      <c r="J477" s="40"/>
      <c r="K477" s="39"/>
      <c r="L477" s="12">
        <v>705800</v>
      </c>
      <c r="M477" s="39"/>
      <c r="N477" s="39"/>
      <c r="O477" s="39"/>
      <c r="P477" s="39"/>
      <c r="Q477" s="39"/>
      <c r="R477" s="39"/>
    </row>
    <row x14ac:dyDescent="0.25" r="478" customHeight="1" ht="20.1">
      <c r="A478" s="9" t="s">
        <v>638</v>
      </c>
      <c r="B478" s="9" t="s">
        <v>91</v>
      </c>
      <c r="C478" s="10" t="s">
        <v>640</v>
      </c>
      <c r="D478" s="9" t="s">
        <v>43</v>
      </c>
      <c r="E478" s="9" t="s">
        <v>642</v>
      </c>
      <c r="F478" s="11" t="s">
        <v>17</v>
      </c>
      <c r="G478" s="12">
        <v>350600</v>
      </c>
      <c r="H478" s="12"/>
      <c r="I478" s="39"/>
      <c r="J478" s="40"/>
      <c r="K478" s="39"/>
      <c r="L478" s="39"/>
      <c r="M478" s="39"/>
      <c r="N478" s="39"/>
      <c r="O478" s="39"/>
      <c r="P478" s="39"/>
      <c r="Q478" s="12">
        <v>350600</v>
      </c>
      <c r="R478" s="39"/>
    </row>
    <row x14ac:dyDescent="0.25" r="479" customHeight="1" ht="20.1">
      <c r="A479" s="9" t="s">
        <v>638</v>
      </c>
      <c r="B479" s="9" t="s">
        <v>42</v>
      </c>
      <c r="C479" s="10">
        <v>200017</v>
      </c>
      <c r="D479" s="9" t="s">
        <v>43</v>
      </c>
      <c r="E479" s="9" t="s">
        <v>643</v>
      </c>
      <c r="F479" s="11" t="s">
        <v>17</v>
      </c>
      <c r="G479" s="12">
        <v>6000000</v>
      </c>
      <c r="H479" s="12"/>
      <c r="I479" s="39"/>
      <c r="J479" s="40"/>
      <c r="K479" s="39"/>
      <c r="L479" s="39"/>
      <c r="M479" s="39"/>
      <c r="N479" s="39"/>
      <c r="O479" s="39"/>
      <c r="P479" s="39"/>
      <c r="Q479" s="12">
        <v>6000000</v>
      </c>
      <c r="R479" s="39"/>
    </row>
    <row x14ac:dyDescent="0.25" r="480" customHeight="1" ht="20.1">
      <c r="A480" s="9" t="s">
        <v>638</v>
      </c>
      <c r="B480" s="9" t="s">
        <v>380</v>
      </c>
      <c r="C480" s="10">
        <v>6703181</v>
      </c>
      <c r="D480" s="9" t="s">
        <v>530</v>
      </c>
      <c r="E480" s="9" t="s">
        <v>644</v>
      </c>
      <c r="F480" s="11" t="s">
        <v>10</v>
      </c>
      <c r="G480" s="12">
        <v>9642500</v>
      </c>
      <c r="H480" s="12"/>
      <c r="I480" s="39"/>
      <c r="J480" s="12">
        <v>9642500</v>
      </c>
      <c r="K480" s="39"/>
      <c r="L480" s="39"/>
      <c r="M480" s="39"/>
      <c r="N480" s="39"/>
      <c r="O480" s="39"/>
      <c r="P480" s="39"/>
      <c r="Q480" s="39"/>
      <c r="R480" s="39"/>
    </row>
    <row x14ac:dyDescent="0.25" r="481" customHeight="1" ht="20.1">
      <c r="A481" s="9" t="s">
        <v>638</v>
      </c>
      <c r="B481" s="9" t="s">
        <v>20</v>
      </c>
      <c r="C481" s="10">
        <v>200206</v>
      </c>
      <c r="D481" s="9" t="s">
        <v>96</v>
      </c>
      <c r="E481" s="9" t="s">
        <v>645</v>
      </c>
      <c r="F481" s="11" t="s">
        <v>9</v>
      </c>
      <c r="G481" s="12">
        <v>1000000</v>
      </c>
      <c r="H481" s="12"/>
      <c r="I481" s="12">
        <v>1000000</v>
      </c>
      <c r="J481" s="40"/>
      <c r="K481" s="39"/>
      <c r="L481" s="39"/>
      <c r="M481" s="39"/>
      <c r="N481" s="39"/>
      <c r="O481" s="39"/>
      <c r="P481" s="39"/>
      <c r="Q481" s="39"/>
      <c r="R481" s="39"/>
    </row>
    <row x14ac:dyDescent="0.25" r="482" customHeight="1" ht="20.1">
      <c r="A482" s="9" t="s">
        <v>638</v>
      </c>
      <c r="B482" s="9" t="s">
        <v>20</v>
      </c>
      <c r="C482" s="10">
        <v>200181</v>
      </c>
      <c r="D482" s="9" t="s">
        <v>156</v>
      </c>
      <c r="E482" s="9" t="s">
        <v>646</v>
      </c>
      <c r="F482" s="11" t="s">
        <v>9</v>
      </c>
      <c r="G482" s="12">
        <v>228900</v>
      </c>
      <c r="H482" s="12"/>
      <c r="I482" s="12">
        <v>228900</v>
      </c>
      <c r="J482" s="40"/>
      <c r="K482" s="39"/>
      <c r="L482" s="39"/>
      <c r="M482" s="39"/>
      <c r="N482" s="39"/>
      <c r="O482" s="39"/>
      <c r="P482" s="39"/>
      <c r="Q482" s="39"/>
      <c r="R482" s="39"/>
    </row>
    <row x14ac:dyDescent="0.25" r="483" customHeight="1" ht="20.1">
      <c r="A483" s="9" t="s">
        <v>638</v>
      </c>
      <c r="B483" s="9" t="s">
        <v>20</v>
      </c>
      <c r="C483" s="10">
        <v>200225</v>
      </c>
      <c r="D483" s="9" t="s">
        <v>21</v>
      </c>
      <c r="E483" s="9" t="s">
        <v>647</v>
      </c>
      <c r="F483" s="11" t="s">
        <v>9</v>
      </c>
      <c r="G483" s="12">
        <v>3222038</v>
      </c>
      <c r="H483" s="12"/>
      <c r="I483" s="12">
        <v>3222038</v>
      </c>
      <c r="J483" s="40"/>
      <c r="K483" s="39"/>
      <c r="L483" s="39"/>
      <c r="M483" s="39"/>
      <c r="N483" s="39"/>
      <c r="O483" s="39"/>
      <c r="P483" s="39"/>
      <c r="Q483" s="39"/>
      <c r="R483" s="39"/>
    </row>
    <row x14ac:dyDescent="0.25" r="484" customHeight="1" ht="20.1">
      <c r="A484" s="9" t="s">
        <v>638</v>
      </c>
      <c r="B484" s="9" t="s">
        <v>20</v>
      </c>
      <c r="C484" s="10">
        <v>200205</v>
      </c>
      <c r="D484" s="9" t="s">
        <v>23</v>
      </c>
      <c r="E484" s="9" t="s">
        <v>648</v>
      </c>
      <c r="F484" s="11" t="s">
        <v>9</v>
      </c>
      <c r="G484" s="12">
        <v>200000</v>
      </c>
      <c r="H484" s="12"/>
      <c r="I484" s="12">
        <v>200000</v>
      </c>
      <c r="J484" s="40"/>
      <c r="K484" s="39"/>
      <c r="L484" s="39"/>
      <c r="M484" s="39"/>
      <c r="N484" s="39"/>
      <c r="O484" s="39"/>
      <c r="P484" s="39"/>
      <c r="Q484" s="39"/>
      <c r="R484" s="39"/>
    </row>
    <row x14ac:dyDescent="0.25" r="485" customHeight="1" ht="20.1">
      <c r="A485" s="9" t="s">
        <v>638</v>
      </c>
      <c r="B485" s="9" t="s">
        <v>25</v>
      </c>
      <c r="C485" s="10"/>
      <c r="D485" s="9" t="s">
        <v>30</v>
      </c>
      <c r="E485" s="9" t="s">
        <v>649</v>
      </c>
      <c r="F485" s="11" t="s">
        <v>12</v>
      </c>
      <c r="G485" s="12">
        <v>71000000</v>
      </c>
      <c r="H485" s="12"/>
      <c r="I485" s="39"/>
      <c r="J485" s="40"/>
      <c r="K485" s="39"/>
      <c r="L485" s="12">
        <v>71000000</v>
      </c>
      <c r="M485" s="39"/>
      <c r="N485" s="39"/>
      <c r="O485" s="39"/>
      <c r="P485" s="39"/>
      <c r="Q485" s="39"/>
      <c r="R485" s="39"/>
    </row>
    <row x14ac:dyDescent="0.25" r="486" customHeight="1" ht="20.1">
      <c r="A486" s="9" t="s">
        <v>650</v>
      </c>
      <c r="B486" s="9" t="s">
        <v>20</v>
      </c>
      <c r="C486" s="10">
        <v>200207</v>
      </c>
      <c r="D486" s="9" t="s">
        <v>43</v>
      </c>
      <c r="E486" s="9" t="s">
        <v>651</v>
      </c>
      <c r="F486" s="11" t="s">
        <v>17</v>
      </c>
      <c r="G486" s="12">
        <v>1432000</v>
      </c>
      <c r="H486" s="12"/>
      <c r="I486" s="39"/>
      <c r="J486" s="40"/>
      <c r="K486" s="39"/>
      <c r="L486" s="39"/>
      <c r="M486" s="39"/>
      <c r="N486" s="39"/>
      <c r="O486" s="39"/>
      <c r="P486" s="39"/>
      <c r="Q486" s="12">
        <v>1432000</v>
      </c>
      <c r="R486" s="39"/>
    </row>
    <row x14ac:dyDescent="0.25" r="487" customHeight="1" ht="20.1">
      <c r="A487" s="9" t="s">
        <v>650</v>
      </c>
      <c r="B487" s="9" t="s">
        <v>20</v>
      </c>
      <c r="C487" s="10">
        <v>200207</v>
      </c>
      <c r="D487" s="9" t="s">
        <v>30</v>
      </c>
      <c r="E487" s="9" t="s">
        <v>652</v>
      </c>
      <c r="F487" s="11" t="s">
        <v>9</v>
      </c>
      <c r="G487" s="12">
        <v>48568000</v>
      </c>
      <c r="H487" s="12"/>
      <c r="I487" s="12">
        <v>48568000</v>
      </c>
      <c r="J487" s="40"/>
      <c r="K487" s="39"/>
      <c r="L487" s="39"/>
      <c r="M487" s="39"/>
      <c r="N487" s="39"/>
      <c r="O487" s="39"/>
      <c r="P487" s="39"/>
      <c r="Q487" s="39"/>
      <c r="R487" s="39"/>
    </row>
    <row x14ac:dyDescent="0.25" r="488" customHeight="1" ht="20.1">
      <c r="A488" s="9" t="s">
        <v>650</v>
      </c>
      <c r="B488" s="9" t="s">
        <v>25</v>
      </c>
      <c r="C488" s="10"/>
      <c r="D488" s="9" t="s">
        <v>30</v>
      </c>
      <c r="E488" s="9" t="s">
        <v>653</v>
      </c>
      <c r="F488" s="11" t="s">
        <v>9</v>
      </c>
      <c r="G488" s="12">
        <v>94000000</v>
      </c>
      <c r="H488" s="12"/>
      <c r="I488" s="12">
        <v>94000000</v>
      </c>
      <c r="J488" s="40"/>
      <c r="K488" s="39"/>
      <c r="L488" s="39"/>
      <c r="M488" s="39"/>
      <c r="N488" s="39"/>
      <c r="O488" s="39"/>
      <c r="P488" s="39"/>
      <c r="Q488" s="39"/>
      <c r="R488" s="39"/>
    </row>
    <row x14ac:dyDescent="0.25" r="489" customHeight="1" ht="20.1">
      <c r="A489" s="9" t="s">
        <v>650</v>
      </c>
      <c r="B489" s="9" t="s">
        <v>654</v>
      </c>
      <c r="C489" s="10" t="s">
        <v>655</v>
      </c>
      <c r="D489" s="9" t="s">
        <v>43</v>
      </c>
      <c r="E489" s="9" t="s">
        <v>656</v>
      </c>
      <c r="F489" s="11" t="s">
        <v>17</v>
      </c>
      <c r="G489" s="12">
        <v>15391500</v>
      </c>
      <c r="H489" s="12"/>
      <c r="I489" s="39"/>
      <c r="J489" s="40"/>
      <c r="K489" s="39"/>
      <c r="L489" s="39"/>
      <c r="M489" s="39"/>
      <c r="N489" s="39"/>
      <c r="O489" s="39"/>
      <c r="P489" s="39"/>
      <c r="Q489" s="12">
        <v>15391500</v>
      </c>
      <c r="R489" s="39"/>
    </row>
    <row x14ac:dyDescent="0.25" r="490" customHeight="1" ht="20.1">
      <c r="A490" s="9" t="s">
        <v>650</v>
      </c>
      <c r="B490" s="9" t="s">
        <v>654</v>
      </c>
      <c r="C490" s="10" t="s">
        <v>655</v>
      </c>
      <c r="D490" s="9" t="s">
        <v>86</v>
      </c>
      <c r="E490" s="9" t="s">
        <v>657</v>
      </c>
      <c r="F490" s="11" t="s">
        <v>8</v>
      </c>
      <c r="G490" s="12">
        <v>11023200</v>
      </c>
      <c r="H490" s="12">
        <v>11023200</v>
      </c>
      <c r="I490" s="39"/>
      <c r="J490" s="40"/>
      <c r="K490" s="39"/>
      <c r="L490" s="39"/>
      <c r="M490" s="39"/>
      <c r="N490" s="39"/>
      <c r="O490" s="39"/>
      <c r="P490" s="39"/>
      <c r="Q490" s="39"/>
      <c r="R490" s="39"/>
    </row>
    <row x14ac:dyDescent="0.25" r="491" customHeight="1" ht="20.1">
      <c r="A491" s="9" t="s">
        <v>650</v>
      </c>
      <c r="B491" s="9" t="s">
        <v>40</v>
      </c>
      <c r="C491" s="10">
        <v>564243</v>
      </c>
      <c r="D491" s="23" t="s">
        <v>26</v>
      </c>
      <c r="E491" s="9" t="s">
        <v>658</v>
      </c>
      <c r="F491" s="11" t="s">
        <v>8</v>
      </c>
      <c r="G491" s="12">
        <v>10735917</v>
      </c>
      <c r="H491" s="12">
        <v>10735917</v>
      </c>
      <c r="I491" s="39"/>
      <c r="J491" s="40"/>
      <c r="K491" s="39"/>
      <c r="L491" s="39"/>
      <c r="M491" s="39"/>
      <c r="N491" s="39"/>
      <c r="O491" s="39"/>
      <c r="P491" s="39"/>
      <c r="Q491" s="39"/>
      <c r="R491" s="39"/>
    </row>
    <row x14ac:dyDescent="0.25" r="492" customHeight="1" ht="20.1">
      <c r="A492" s="9" t="s">
        <v>650</v>
      </c>
      <c r="B492" s="9" t="s">
        <v>40</v>
      </c>
      <c r="C492" s="10">
        <v>564242</v>
      </c>
      <c r="D492" s="9" t="s">
        <v>75</v>
      </c>
      <c r="E492" s="9" t="s">
        <v>659</v>
      </c>
      <c r="F492" s="11" t="s">
        <v>8</v>
      </c>
      <c r="G492" s="12">
        <v>14128050</v>
      </c>
      <c r="H492" s="12">
        <v>14128050</v>
      </c>
      <c r="I492" s="39"/>
      <c r="J492" s="40"/>
      <c r="K492" s="39"/>
      <c r="L492" s="39"/>
      <c r="M492" s="39"/>
      <c r="N492" s="39"/>
      <c r="O492" s="39"/>
      <c r="P492" s="39"/>
      <c r="Q492" s="39"/>
      <c r="R492" s="39"/>
    </row>
    <row x14ac:dyDescent="0.25" r="493" customHeight="1" ht="20.1">
      <c r="A493" s="9" t="s">
        <v>650</v>
      </c>
      <c r="B493" s="9" t="s">
        <v>25</v>
      </c>
      <c r="C493" s="10"/>
      <c r="D493" s="9" t="s">
        <v>26</v>
      </c>
      <c r="E493" s="9" t="s">
        <v>660</v>
      </c>
      <c r="F493" s="11" t="s">
        <v>10</v>
      </c>
      <c r="G493" s="12">
        <v>20000000</v>
      </c>
      <c r="H493" s="12"/>
      <c r="I493" s="39"/>
      <c r="J493" s="12">
        <v>20000000</v>
      </c>
      <c r="K493" s="39"/>
      <c r="L493" s="39"/>
      <c r="M493" s="39"/>
      <c r="N493" s="39"/>
      <c r="O493" s="39"/>
      <c r="P493" s="39"/>
      <c r="Q493" s="39"/>
      <c r="R493" s="39"/>
    </row>
    <row x14ac:dyDescent="0.25" r="494" customHeight="1" ht="20.1">
      <c r="A494" s="9" t="s">
        <v>661</v>
      </c>
      <c r="B494" s="9" t="s">
        <v>25</v>
      </c>
      <c r="C494" s="10"/>
      <c r="D494" s="9" t="s">
        <v>26</v>
      </c>
      <c r="E494" s="9" t="s">
        <v>662</v>
      </c>
      <c r="F494" s="11" t="s">
        <v>10</v>
      </c>
      <c r="G494" s="12">
        <v>15000000</v>
      </c>
      <c r="H494" s="12"/>
      <c r="I494" s="39"/>
      <c r="J494" s="12">
        <v>15000000</v>
      </c>
      <c r="K494" s="39"/>
      <c r="L494" s="39"/>
      <c r="M494" s="39"/>
      <c r="N494" s="39"/>
      <c r="O494" s="39"/>
      <c r="P494" s="39"/>
      <c r="Q494" s="39"/>
      <c r="R494" s="39"/>
    </row>
    <row x14ac:dyDescent="0.25" r="495" customHeight="1" ht="20.1">
      <c r="A495" s="9" t="s">
        <v>661</v>
      </c>
      <c r="B495" s="9" t="s">
        <v>40</v>
      </c>
      <c r="C495" s="10">
        <v>564244</v>
      </c>
      <c r="D495" s="9" t="s">
        <v>75</v>
      </c>
      <c r="E495" s="9" t="s">
        <v>663</v>
      </c>
      <c r="F495" s="11" t="s">
        <v>8</v>
      </c>
      <c r="G495" s="12">
        <v>6300000</v>
      </c>
      <c r="H495" s="12">
        <v>6300000</v>
      </c>
      <c r="I495" s="39"/>
      <c r="J495" s="40"/>
      <c r="K495" s="39"/>
      <c r="L495" s="39"/>
      <c r="M495" s="39"/>
      <c r="N495" s="39"/>
      <c r="O495" s="39"/>
      <c r="P495" s="39"/>
      <c r="Q495" s="39"/>
      <c r="R495" s="39"/>
    </row>
    <row x14ac:dyDescent="0.25" r="496" customHeight="1" ht="20.1">
      <c r="A496" s="9" t="s">
        <v>661</v>
      </c>
      <c r="B496" s="9" t="s">
        <v>654</v>
      </c>
      <c r="C496" s="10" t="s">
        <v>664</v>
      </c>
      <c r="D496" s="9" t="s">
        <v>30</v>
      </c>
      <c r="E496" s="9" t="s">
        <v>665</v>
      </c>
      <c r="F496" s="11" t="s">
        <v>9</v>
      </c>
      <c r="G496" s="12">
        <v>10578750</v>
      </c>
      <c r="H496" s="12"/>
      <c r="I496" s="12">
        <v>10578750</v>
      </c>
      <c r="J496" s="40"/>
      <c r="K496" s="39"/>
      <c r="L496" s="39"/>
      <c r="M496" s="39"/>
      <c r="N496" s="39"/>
      <c r="O496" s="39"/>
      <c r="P496" s="39"/>
      <c r="Q496" s="39"/>
      <c r="R496" s="39"/>
    </row>
    <row x14ac:dyDescent="0.25" r="497" customHeight="1" ht="20.1">
      <c r="A497" s="9" t="s">
        <v>661</v>
      </c>
      <c r="B497" s="9" t="s">
        <v>654</v>
      </c>
      <c r="C497" s="10" t="s">
        <v>664</v>
      </c>
      <c r="D497" s="9" t="s">
        <v>43</v>
      </c>
      <c r="E497" s="9" t="s">
        <v>666</v>
      </c>
      <c r="F497" s="11" t="s">
        <v>17</v>
      </c>
      <c r="G497" s="12">
        <v>16529595</v>
      </c>
      <c r="H497" s="12"/>
      <c r="I497" s="39"/>
      <c r="J497" s="40"/>
      <c r="K497" s="39"/>
      <c r="L497" s="39"/>
      <c r="M497" s="39"/>
      <c r="N497" s="39"/>
      <c r="O497" s="39"/>
      <c r="P497" s="39"/>
      <c r="Q497" s="12">
        <v>16529595</v>
      </c>
      <c r="R497" s="39"/>
    </row>
    <row x14ac:dyDescent="0.25" r="498" customHeight="1" ht="20.1">
      <c r="A498" s="9" t="s">
        <v>667</v>
      </c>
      <c r="B498" s="9" t="s">
        <v>20</v>
      </c>
      <c r="C498" s="10">
        <v>200227</v>
      </c>
      <c r="D498" s="9" t="s">
        <v>21</v>
      </c>
      <c r="E498" s="9" t="s">
        <v>668</v>
      </c>
      <c r="F498" s="11" t="s">
        <v>9</v>
      </c>
      <c r="G498" s="12">
        <v>2166366</v>
      </c>
      <c r="H498" s="12"/>
      <c r="I498" s="12">
        <v>2166366</v>
      </c>
      <c r="J498" s="40"/>
      <c r="K498" s="39"/>
      <c r="L498" s="39"/>
      <c r="M498" s="39"/>
      <c r="N498" s="39"/>
      <c r="O498" s="39"/>
      <c r="P498" s="39"/>
      <c r="Q498" s="39"/>
      <c r="R498" s="39"/>
    </row>
    <row x14ac:dyDescent="0.25" r="499" customHeight="1" ht="20.1">
      <c r="A499" s="9" t="s">
        <v>667</v>
      </c>
      <c r="B499" s="9" t="s">
        <v>20</v>
      </c>
      <c r="C499" s="10">
        <v>200227</v>
      </c>
      <c r="D499" s="9" t="s">
        <v>21</v>
      </c>
      <c r="E499" s="9" t="s">
        <v>669</v>
      </c>
      <c r="F499" s="11" t="s">
        <v>8</v>
      </c>
      <c r="G499" s="12">
        <v>3846926</v>
      </c>
      <c r="H499" s="12">
        <v>3846926</v>
      </c>
      <c r="I499" s="39"/>
      <c r="J499" s="40"/>
      <c r="K499" s="39"/>
      <c r="L499" s="39"/>
      <c r="M499" s="39"/>
      <c r="N499" s="39"/>
      <c r="O499" s="39"/>
      <c r="P499" s="39"/>
      <c r="Q499" s="39"/>
      <c r="R499" s="39"/>
    </row>
    <row x14ac:dyDescent="0.25" r="500" customHeight="1" ht="20.1">
      <c r="A500" s="9" t="s">
        <v>667</v>
      </c>
      <c r="B500" s="9" t="s">
        <v>20</v>
      </c>
      <c r="C500" s="10">
        <v>200227</v>
      </c>
      <c r="D500" s="9" t="s">
        <v>21</v>
      </c>
      <c r="E500" s="9" t="s">
        <v>670</v>
      </c>
      <c r="F500" s="11" t="s">
        <v>13</v>
      </c>
      <c r="G500" s="12">
        <v>11442877</v>
      </c>
      <c r="H500" s="12"/>
      <c r="I500" s="39"/>
      <c r="J500" s="40"/>
      <c r="K500" s="39"/>
      <c r="L500" s="39"/>
      <c r="M500" s="12">
        <v>11442877</v>
      </c>
      <c r="N500" s="39"/>
      <c r="O500" s="39"/>
      <c r="P500" s="39"/>
      <c r="Q500" s="39"/>
      <c r="R500" s="39"/>
    </row>
    <row x14ac:dyDescent="0.25" r="501" customHeight="1" ht="20.1">
      <c r="A501" s="9" t="s">
        <v>667</v>
      </c>
      <c r="B501" s="9" t="s">
        <v>20</v>
      </c>
      <c r="C501" s="10">
        <v>200184</v>
      </c>
      <c r="D501" s="9" t="s">
        <v>23</v>
      </c>
      <c r="E501" s="9" t="s">
        <v>671</v>
      </c>
      <c r="F501" s="11" t="s">
        <v>8</v>
      </c>
      <c r="G501" s="12">
        <v>100000</v>
      </c>
      <c r="H501" s="12">
        <v>100000</v>
      </c>
      <c r="I501" s="39"/>
      <c r="J501" s="40"/>
      <c r="K501" s="39"/>
      <c r="L501" s="39"/>
      <c r="M501" s="39"/>
      <c r="N501" s="39"/>
      <c r="O501" s="39"/>
      <c r="P501" s="39"/>
      <c r="Q501" s="39"/>
      <c r="R501" s="39"/>
    </row>
    <row x14ac:dyDescent="0.25" r="502" customHeight="1" ht="20.1">
      <c r="A502" s="9" t="s">
        <v>667</v>
      </c>
      <c r="B502" s="9" t="s">
        <v>20</v>
      </c>
      <c r="C502" s="10">
        <v>200184</v>
      </c>
      <c r="D502" s="9" t="s">
        <v>23</v>
      </c>
      <c r="E502" s="9" t="s">
        <v>672</v>
      </c>
      <c r="F502" s="11" t="s">
        <v>13</v>
      </c>
      <c r="G502" s="12">
        <v>200000</v>
      </c>
      <c r="H502" s="12"/>
      <c r="I502" s="39"/>
      <c r="J502" s="40"/>
      <c r="K502" s="39"/>
      <c r="L502" s="39"/>
      <c r="M502" s="12">
        <v>200000</v>
      </c>
      <c r="N502" s="39"/>
      <c r="O502" s="39"/>
      <c r="P502" s="39"/>
      <c r="Q502" s="39"/>
      <c r="R502" s="39"/>
    </row>
    <row x14ac:dyDescent="0.25" r="503" customHeight="1" ht="20.1">
      <c r="A503" s="9" t="s">
        <v>667</v>
      </c>
      <c r="B503" s="9" t="s">
        <v>20</v>
      </c>
      <c r="C503" s="10">
        <v>200184</v>
      </c>
      <c r="D503" s="9" t="s">
        <v>23</v>
      </c>
      <c r="E503" s="9" t="s">
        <v>673</v>
      </c>
      <c r="F503" s="11" t="s">
        <v>9</v>
      </c>
      <c r="G503" s="12">
        <v>100000</v>
      </c>
      <c r="H503" s="12"/>
      <c r="I503" s="12">
        <v>100000</v>
      </c>
      <c r="J503" s="40"/>
      <c r="K503" s="39"/>
      <c r="L503" s="39"/>
      <c r="M503" s="39"/>
      <c r="N503" s="39"/>
      <c r="O503" s="39"/>
      <c r="P503" s="39"/>
      <c r="Q503" s="39"/>
      <c r="R503" s="39"/>
    </row>
    <row x14ac:dyDescent="0.25" r="504" customHeight="1" ht="20.1">
      <c r="A504" s="9" t="s">
        <v>667</v>
      </c>
      <c r="B504" s="9" t="s">
        <v>20</v>
      </c>
      <c r="C504" s="10">
        <v>200226</v>
      </c>
      <c r="D504" s="9" t="s">
        <v>38</v>
      </c>
      <c r="E504" s="9" t="s">
        <v>674</v>
      </c>
      <c r="F504" s="11" t="s">
        <v>9</v>
      </c>
      <c r="G504" s="12">
        <v>240000</v>
      </c>
      <c r="H504" s="12"/>
      <c r="I504" s="12">
        <v>240000</v>
      </c>
      <c r="J504" s="40"/>
      <c r="K504" s="39"/>
      <c r="L504" s="39"/>
      <c r="M504" s="39"/>
      <c r="N504" s="39"/>
      <c r="O504" s="39"/>
      <c r="P504" s="39"/>
      <c r="Q504" s="39"/>
      <c r="R504" s="39"/>
    </row>
    <row x14ac:dyDescent="0.25" r="505" customHeight="1" ht="20.1">
      <c r="A505" s="9" t="s">
        <v>667</v>
      </c>
      <c r="B505" s="9" t="s">
        <v>40</v>
      </c>
      <c r="C505" s="10">
        <v>564245</v>
      </c>
      <c r="D505" s="9" t="s">
        <v>73</v>
      </c>
      <c r="E505" s="9" t="s">
        <v>675</v>
      </c>
      <c r="F505" s="11" t="s">
        <v>10</v>
      </c>
      <c r="G505" s="12">
        <v>15081075</v>
      </c>
      <c r="H505" s="12"/>
      <c r="I505" s="39"/>
      <c r="J505" s="12">
        <v>15081075</v>
      </c>
      <c r="K505" s="39"/>
      <c r="L505" s="39"/>
      <c r="M505" s="39"/>
      <c r="N505" s="39"/>
      <c r="O505" s="39"/>
      <c r="P505" s="39"/>
      <c r="Q505" s="39"/>
      <c r="R505" s="39"/>
    </row>
    <row x14ac:dyDescent="0.25" r="506" customHeight="1" ht="20.1">
      <c r="A506" s="9" t="s">
        <v>667</v>
      </c>
      <c r="B506" s="9" t="s">
        <v>40</v>
      </c>
      <c r="C506" s="10">
        <v>564245</v>
      </c>
      <c r="D506" s="9" t="s">
        <v>75</v>
      </c>
      <c r="E506" s="9" t="s">
        <v>676</v>
      </c>
      <c r="F506" s="11" t="s">
        <v>8</v>
      </c>
      <c r="G506" s="12">
        <v>29981480</v>
      </c>
      <c r="H506" s="12">
        <v>29981480</v>
      </c>
      <c r="I506" s="39"/>
      <c r="J506" s="40"/>
      <c r="K506" s="39"/>
      <c r="L506" s="39"/>
      <c r="M506" s="39"/>
      <c r="N506" s="39"/>
      <c r="O506" s="39"/>
      <c r="P506" s="39"/>
      <c r="Q506" s="39"/>
      <c r="R506" s="39"/>
    </row>
    <row x14ac:dyDescent="0.25" r="507" customHeight="1" ht="20.1">
      <c r="A507" s="9" t="s">
        <v>667</v>
      </c>
      <c r="B507" s="9" t="s">
        <v>20</v>
      </c>
      <c r="C507" s="10">
        <v>200185</v>
      </c>
      <c r="D507" s="9" t="s">
        <v>26</v>
      </c>
      <c r="E507" s="9" t="s">
        <v>677</v>
      </c>
      <c r="F507" s="11" t="s">
        <v>8</v>
      </c>
      <c r="G507" s="12">
        <v>22000000</v>
      </c>
      <c r="H507" s="12">
        <v>22000000</v>
      </c>
      <c r="I507" s="39"/>
      <c r="J507" s="40"/>
      <c r="K507" s="39"/>
      <c r="L507" s="39"/>
      <c r="M507" s="39"/>
      <c r="N507" s="39"/>
      <c r="O507" s="39"/>
      <c r="P507" s="39"/>
      <c r="Q507" s="39"/>
      <c r="R507" s="39"/>
    </row>
    <row x14ac:dyDescent="0.25" r="508" customHeight="1" ht="20.1">
      <c r="A508" s="9" t="s">
        <v>667</v>
      </c>
      <c r="B508" s="9" t="s">
        <v>42</v>
      </c>
      <c r="C508" s="10">
        <v>200018</v>
      </c>
      <c r="D508" s="9" t="s">
        <v>43</v>
      </c>
      <c r="E508" s="9" t="s">
        <v>678</v>
      </c>
      <c r="F508" s="11" t="s">
        <v>17</v>
      </c>
      <c r="G508" s="12">
        <v>300000</v>
      </c>
      <c r="H508" s="12"/>
      <c r="I508" s="39"/>
      <c r="J508" s="40"/>
      <c r="K508" s="39"/>
      <c r="L508" s="39"/>
      <c r="M508" s="39"/>
      <c r="N508" s="39"/>
      <c r="O508" s="39"/>
      <c r="P508" s="39"/>
      <c r="Q508" s="12">
        <v>300000</v>
      </c>
      <c r="R508" s="39"/>
    </row>
    <row x14ac:dyDescent="0.25" r="509" customHeight="1" ht="20.1">
      <c r="A509" s="9" t="s">
        <v>667</v>
      </c>
      <c r="B509" s="9" t="s">
        <v>25</v>
      </c>
      <c r="C509" s="10"/>
      <c r="D509" s="9" t="s">
        <v>26</v>
      </c>
      <c r="E509" s="9" t="s">
        <v>679</v>
      </c>
      <c r="F509" s="11" t="s">
        <v>8</v>
      </c>
      <c r="G509" s="12">
        <v>11000000</v>
      </c>
      <c r="H509" s="12">
        <v>11000000</v>
      </c>
      <c r="I509" s="39"/>
      <c r="J509" s="40"/>
      <c r="K509" s="39"/>
      <c r="L509" s="39"/>
      <c r="M509" s="39"/>
      <c r="N509" s="39"/>
      <c r="O509" s="39"/>
      <c r="P509" s="39"/>
      <c r="Q509" s="39"/>
      <c r="R509" s="39"/>
    </row>
    <row x14ac:dyDescent="0.25" r="510" customHeight="1" ht="20.1">
      <c r="A510" s="9" t="s">
        <v>680</v>
      </c>
      <c r="B510" s="9" t="s">
        <v>25</v>
      </c>
      <c r="C510" s="10"/>
      <c r="D510" s="9" t="s">
        <v>26</v>
      </c>
      <c r="E510" s="9" t="s">
        <v>681</v>
      </c>
      <c r="F510" s="11" t="s">
        <v>8</v>
      </c>
      <c r="G510" s="12">
        <v>12140000</v>
      </c>
      <c r="H510" s="12">
        <v>12140000</v>
      </c>
      <c r="I510" s="39"/>
      <c r="J510" s="40"/>
      <c r="K510" s="39"/>
      <c r="L510" s="39"/>
      <c r="M510" s="39"/>
      <c r="N510" s="39"/>
      <c r="O510" s="39"/>
      <c r="P510" s="39"/>
      <c r="Q510" s="39"/>
      <c r="R510" s="39"/>
    </row>
    <row x14ac:dyDescent="0.25" r="511" customHeight="1" ht="20.1">
      <c r="A511" s="9" t="s">
        <v>680</v>
      </c>
      <c r="B511" s="9" t="s">
        <v>25</v>
      </c>
      <c r="C511" s="10"/>
      <c r="D511" s="9" t="s">
        <v>26</v>
      </c>
      <c r="E511" s="9" t="s">
        <v>682</v>
      </c>
      <c r="F511" s="11" t="s">
        <v>10</v>
      </c>
      <c r="G511" s="12">
        <v>523800</v>
      </c>
      <c r="H511" s="12"/>
      <c r="I511" s="39"/>
      <c r="J511" s="12">
        <v>523800</v>
      </c>
      <c r="K511" s="39"/>
      <c r="L511" s="39"/>
      <c r="M511" s="39"/>
      <c r="N511" s="39"/>
      <c r="O511" s="39"/>
      <c r="P511" s="39"/>
      <c r="Q511" s="39"/>
      <c r="R511" s="39"/>
    </row>
    <row x14ac:dyDescent="0.25" r="512" customHeight="1" ht="20.1">
      <c r="A512" s="9" t="s">
        <v>680</v>
      </c>
      <c r="B512" s="9" t="s">
        <v>25</v>
      </c>
      <c r="C512" s="10"/>
      <c r="D512" s="9" t="s">
        <v>26</v>
      </c>
      <c r="E512" s="9" t="s">
        <v>683</v>
      </c>
      <c r="F512" s="11" t="s">
        <v>10</v>
      </c>
      <c r="G512" s="12">
        <v>23665700</v>
      </c>
      <c r="H512" s="12"/>
      <c r="I512" s="39"/>
      <c r="J512" s="12">
        <v>23665700</v>
      </c>
      <c r="K512" s="39"/>
      <c r="L512" s="39"/>
      <c r="M512" s="39"/>
      <c r="N512" s="39"/>
      <c r="O512" s="39"/>
      <c r="P512" s="39"/>
      <c r="Q512" s="39"/>
      <c r="R512" s="39"/>
    </row>
    <row x14ac:dyDescent="0.25" r="513" customHeight="1" ht="20.1">
      <c r="A513" s="9" t="s">
        <v>680</v>
      </c>
      <c r="B513" s="9" t="s">
        <v>25</v>
      </c>
      <c r="C513" s="10"/>
      <c r="D513" s="9" t="s">
        <v>26</v>
      </c>
      <c r="E513" s="9" t="s">
        <v>684</v>
      </c>
      <c r="F513" s="11" t="s">
        <v>8</v>
      </c>
      <c r="G513" s="12">
        <v>15615000</v>
      </c>
      <c r="H513" s="12">
        <v>15615000</v>
      </c>
      <c r="I513" s="39"/>
      <c r="J513" s="40"/>
      <c r="K513" s="39"/>
      <c r="L513" s="39"/>
      <c r="M513" s="39"/>
      <c r="N513" s="39"/>
      <c r="O513" s="39"/>
      <c r="P513" s="39"/>
      <c r="Q513" s="39"/>
      <c r="R513" s="39"/>
    </row>
    <row x14ac:dyDescent="0.25" r="514" customHeight="1" ht="20.1">
      <c r="A514" s="9" t="s">
        <v>680</v>
      </c>
      <c r="B514" s="9" t="s">
        <v>336</v>
      </c>
      <c r="C514" s="10" t="s">
        <v>685</v>
      </c>
      <c r="D514" s="9" t="s">
        <v>156</v>
      </c>
      <c r="E514" s="9" t="s">
        <v>686</v>
      </c>
      <c r="F514" s="11" t="s">
        <v>9</v>
      </c>
      <c r="G514" s="12">
        <v>100000</v>
      </c>
      <c r="H514" s="12"/>
      <c r="I514" s="12">
        <v>100000</v>
      </c>
      <c r="J514" s="40"/>
      <c r="K514" s="39"/>
      <c r="L514" s="39"/>
      <c r="M514" s="39"/>
      <c r="N514" s="39"/>
      <c r="O514" s="39"/>
      <c r="P514" s="39"/>
      <c r="Q514" s="39"/>
      <c r="R514" s="39"/>
    </row>
    <row x14ac:dyDescent="0.25" r="515" customHeight="1" ht="20.1">
      <c r="A515" s="9" t="s">
        <v>680</v>
      </c>
      <c r="B515" s="9" t="s">
        <v>91</v>
      </c>
      <c r="C515" s="10" t="s">
        <v>687</v>
      </c>
      <c r="D515" s="9" t="s">
        <v>93</v>
      </c>
      <c r="E515" s="9" t="s">
        <v>688</v>
      </c>
      <c r="F515" s="11" t="s">
        <v>12</v>
      </c>
      <c r="G515" s="12">
        <v>359600</v>
      </c>
      <c r="H515" s="12"/>
      <c r="I515" s="39"/>
      <c r="J515" s="40"/>
      <c r="K515" s="39"/>
      <c r="L515" s="12">
        <v>359600</v>
      </c>
      <c r="M515" s="39"/>
      <c r="N515" s="39"/>
      <c r="O515" s="39"/>
      <c r="P515" s="39"/>
      <c r="Q515" s="39"/>
      <c r="R515" s="39"/>
    </row>
    <row x14ac:dyDescent="0.25" r="516" customHeight="1" ht="20.1">
      <c r="A516" s="9" t="s">
        <v>680</v>
      </c>
      <c r="B516" s="9" t="s">
        <v>91</v>
      </c>
      <c r="C516" s="10" t="s">
        <v>687</v>
      </c>
      <c r="D516" s="9" t="s">
        <v>96</v>
      </c>
      <c r="E516" s="9" t="s">
        <v>689</v>
      </c>
      <c r="F516" s="11" t="s">
        <v>308</v>
      </c>
      <c r="G516" s="12">
        <v>75000</v>
      </c>
      <c r="H516" s="12"/>
      <c r="I516" s="39"/>
      <c r="J516" s="40"/>
      <c r="K516" s="39"/>
      <c r="L516" s="39"/>
      <c r="M516" s="39"/>
      <c r="N516" s="39"/>
      <c r="O516" s="39"/>
      <c r="P516" s="12">
        <v>75000</v>
      </c>
      <c r="Q516" s="39"/>
      <c r="R516" s="39"/>
    </row>
    <row x14ac:dyDescent="0.25" r="517" customHeight="1" ht="20.1">
      <c r="A517" s="9" t="s">
        <v>680</v>
      </c>
      <c r="B517" s="9" t="s">
        <v>380</v>
      </c>
      <c r="C517" s="10">
        <v>703182</v>
      </c>
      <c r="D517" s="9" t="s">
        <v>264</v>
      </c>
      <c r="E517" s="9" t="s">
        <v>690</v>
      </c>
      <c r="F517" s="11" t="s">
        <v>10</v>
      </c>
      <c r="G517" s="12">
        <v>52863125.1</v>
      </c>
      <c r="H517" s="12"/>
      <c r="I517" s="39"/>
      <c r="J517" s="12">
        <v>52863125.1</v>
      </c>
      <c r="K517" s="39"/>
      <c r="L517" s="39"/>
      <c r="M517" s="39"/>
      <c r="N517" s="39"/>
      <c r="O517" s="39"/>
      <c r="P517" s="39"/>
      <c r="Q517" s="39"/>
      <c r="R517" s="39"/>
    </row>
    <row x14ac:dyDescent="0.25" r="518" customHeight="1" ht="20.1">
      <c r="A518" s="9" t="s">
        <v>680</v>
      </c>
      <c r="B518" s="9" t="s">
        <v>42</v>
      </c>
      <c r="C518" s="10">
        <v>200228</v>
      </c>
      <c r="D518" s="9" t="s">
        <v>270</v>
      </c>
      <c r="E518" s="9" t="s">
        <v>690</v>
      </c>
      <c r="F518" s="11" t="s">
        <v>8</v>
      </c>
      <c r="G518" s="12">
        <v>115309327.42</v>
      </c>
      <c r="H518" s="12">
        <v>115309327.42</v>
      </c>
      <c r="I518" s="39"/>
      <c r="J518" s="40"/>
      <c r="K518" s="39"/>
      <c r="L518" s="39"/>
      <c r="M518" s="39"/>
      <c r="N518" s="39"/>
      <c r="O518" s="39"/>
      <c r="P518" s="39"/>
      <c r="Q518" s="39"/>
      <c r="R518" s="39"/>
    </row>
    <row x14ac:dyDescent="0.25" r="519" customHeight="1" ht="20.1">
      <c r="A519" s="9" t="s">
        <v>680</v>
      </c>
      <c r="B519" s="9" t="s">
        <v>40</v>
      </c>
      <c r="C519" s="10">
        <v>564246</v>
      </c>
      <c r="D519" s="9" t="s">
        <v>26</v>
      </c>
      <c r="E519" s="9" t="s">
        <v>691</v>
      </c>
      <c r="F519" s="11" t="s">
        <v>8</v>
      </c>
      <c r="G519" s="12">
        <v>2117600</v>
      </c>
      <c r="H519" s="12">
        <v>2117600</v>
      </c>
      <c r="I519" s="39"/>
      <c r="J519" s="40"/>
      <c r="K519" s="39"/>
      <c r="L519" s="39"/>
      <c r="M519" s="39"/>
      <c r="N519" s="39"/>
      <c r="O519" s="39"/>
      <c r="P519" s="39"/>
      <c r="Q519" s="39"/>
      <c r="R519" s="39"/>
    </row>
    <row x14ac:dyDescent="0.25" r="520" customHeight="1" ht="20.1">
      <c r="A520" s="9" t="s">
        <v>680</v>
      </c>
      <c r="B520" s="9" t="s">
        <v>40</v>
      </c>
      <c r="C520" s="10">
        <v>564247</v>
      </c>
      <c r="D520" s="23" t="s">
        <v>26</v>
      </c>
      <c r="E520" s="9" t="s">
        <v>692</v>
      </c>
      <c r="F520" s="11" t="s">
        <v>8</v>
      </c>
      <c r="G520" s="12">
        <v>10510500</v>
      </c>
      <c r="H520" s="12">
        <v>10510500</v>
      </c>
      <c r="I520" s="39"/>
      <c r="J520" s="40"/>
      <c r="K520" s="39"/>
      <c r="L520" s="39"/>
      <c r="M520" s="39"/>
      <c r="N520" s="39"/>
      <c r="O520" s="39"/>
      <c r="P520" s="39"/>
      <c r="Q520" s="39"/>
      <c r="R520" s="39"/>
    </row>
    <row x14ac:dyDescent="0.25" r="521" customHeight="1" ht="20.1">
      <c r="A521" s="9" t="s">
        <v>680</v>
      </c>
      <c r="B521" s="9" t="s">
        <v>40</v>
      </c>
      <c r="C521" s="10">
        <v>564248</v>
      </c>
      <c r="D521" s="9" t="s">
        <v>26</v>
      </c>
      <c r="E521" s="9" t="s">
        <v>693</v>
      </c>
      <c r="F521" s="11" t="s">
        <v>8</v>
      </c>
      <c r="G521" s="12">
        <v>31145000</v>
      </c>
      <c r="H521" s="12">
        <v>31145000</v>
      </c>
      <c r="I521" s="39"/>
      <c r="J521" s="40"/>
      <c r="K521" s="39"/>
      <c r="L521" s="39"/>
      <c r="M521" s="39"/>
      <c r="N521" s="39"/>
      <c r="O521" s="39"/>
      <c r="P521" s="39"/>
      <c r="Q521" s="39"/>
      <c r="R521" s="39"/>
    </row>
    <row x14ac:dyDescent="0.25" r="522" customHeight="1" ht="20.1">
      <c r="A522" s="9" t="s">
        <v>694</v>
      </c>
      <c r="B522" s="9" t="s">
        <v>25</v>
      </c>
      <c r="C522" s="10"/>
      <c r="D522" s="9" t="s">
        <v>26</v>
      </c>
      <c r="E522" s="9" t="s">
        <v>695</v>
      </c>
      <c r="F522" s="11" t="s">
        <v>10</v>
      </c>
      <c r="G522" s="12">
        <v>11000000</v>
      </c>
      <c r="H522" s="12"/>
      <c r="I522" s="39"/>
      <c r="J522" s="12">
        <v>11000000</v>
      </c>
      <c r="K522" s="39"/>
      <c r="L522" s="39"/>
      <c r="M522" s="39"/>
      <c r="N522" s="39"/>
      <c r="O522" s="39"/>
      <c r="P522" s="39"/>
      <c r="Q522" s="39"/>
      <c r="R522" s="39"/>
    </row>
    <row x14ac:dyDescent="0.25" r="523" customHeight="1" ht="20.1">
      <c r="A523" s="9" t="s">
        <v>696</v>
      </c>
      <c r="B523" s="9" t="s">
        <v>25</v>
      </c>
      <c r="C523" s="10"/>
      <c r="D523" s="9" t="s">
        <v>26</v>
      </c>
      <c r="E523" s="9" t="s">
        <v>697</v>
      </c>
      <c r="F523" s="11" t="s">
        <v>10</v>
      </c>
      <c r="G523" s="12">
        <v>9000000</v>
      </c>
      <c r="H523" s="12"/>
      <c r="I523" s="39"/>
      <c r="J523" s="12">
        <v>9000000</v>
      </c>
      <c r="K523" s="39"/>
      <c r="L523" s="39"/>
      <c r="M523" s="39"/>
      <c r="N523" s="39"/>
      <c r="O523" s="39"/>
      <c r="P523" s="39"/>
      <c r="Q523" s="39"/>
      <c r="R523" s="39"/>
    </row>
    <row x14ac:dyDescent="0.25" r="524" customHeight="1" ht="20.1">
      <c r="A524" s="9" t="s">
        <v>696</v>
      </c>
      <c r="B524" s="9" t="s">
        <v>20</v>
      </c>
      <c r="C524" s="10">
        <v>200208</v>
      </c>
      <c r="D524" s="9" t="s">
        <v>23</v>
      </c>
      <c r="E524" s="9" t="s">
        <v>698</v>
      </c>
      <c r="F524" s="11" t="s">
        <v>9</v>
      </c>
      <c r="G524" s="12">
        <v>100000</v>
      </c>
      <c r="H524" s="12"/>
      <c r="I524" s="12">
        <v>100000</v>
      </c>
      <c r="J524" s="39"/>
      <c r="K524" s="39"/>
      <c r="L524" s="39"/>
      <c r="M524" s="39"/>
      <c r="N524" s="39"/>
      <c r="O524" s="39"/>
      <c r="P524" s="39"/>
      <c r="Q524" s="39"/>
      <c r="R524" s="39"/>
    </row>
    <row x14ac:dyDescent="0.25" r="525" customHeight="1" ht="20.1">
      <c r="A525" s="9" t="s">
        <v>696</v>
      </c>
      <c r="B525" s="9" t="s">
        <v>20</v>
      </c>
      <c r="C525" s="10">
        <v>200208</v>
      </c>
      <c r="D525" s="9" t="s">
        <v>23</v>
      </c>
      <c r="E525" s="9" t="s">
        <v>699</v>
      </c>
      <c r="F525" s="11" t="s">
        <v>12</v>
      </c>
      <c r="G525" s="12">
        <v>100000</v>
      </c>
      <c r="H525" s="12"/>
      <c r="I525" s="39"/>
      <c r="J525" s="39"/>
      <c r="K525" s="39"/>
      <c r="L525" s="12">
        <v>100000</v>
      </c>
      <c r="M525" s="39"/>
      <c r="N525" s="39"/>
      <c r="O525" s="39"/>
      <c r="P525" s="39"/>
      <c r="Q525" s="39"/>
      <c r="R525" s="39"/>
    </row>
    <row x14ac:dyDescent="0.25" r="526" customHeight="1" ht="20.1">
      <c r="A526" s="9" t="s">
        <v>696</v>
      </c>
      <c r="B526" s="9" t="s">
        <v>20</v>
      </c>
      <c r="C526" s="10">
        <v>200208</v>
      </c>
      <c r="D526" s="9" t="s">
        <v>23</v>
      </c>
      <c r="E526" s="9" t="s">
        <v>700</v>
      </c>
      <c r="F526" s="11" t="s">
        <v>8</v>
      </c>
      <c r="G526" s="12">
        <v>500000</v>
      </c>
      <c r="H526" s="12">
        <v>500000</v>
      </c>
      <c r="I526" s="39"/>
      <c r="J526" s="39"/>
      <c r="K526" s="39"/>
      <c r="L526" s="39"/>
      <c r="M526" s="39"/>
      <c r="N526" s="39"/>
      <c r="O526" s="39"/>
      <c r="P526" s="39"/>
      <c r="Q526" s="39"/>
      <c r="R526" s="39"/>
    </row>
    <row x14ac:dyDescent="0.25" r="527" customHeight="1" ht="20.1">
      <c r="A527" s="9" t="s">
        <v>696</v>
      </c>
      <c r="B527" s="9" t="s">
        <v>20</v>
      </c>
      <c r="C527" s="10">
        <v>200229</v>
      </c>
      <c r="D527" s="9" t="s">
        <v>23</v>
      </c>
      <c r="E527" s="9" t="s">
        <v>700</v>
      </c>
      <c r="F527" s="11" t="s">
        <v>8</v>
      </c>
      <c r="G527" s="12">
        <v>19148556</v>
      </c>
      <c r="H527" s="12">
        <v>19148556</v>
      </c>
      <c r="I527" s="39"/>
      <c r="J527" s="39"/>
      <c r="K527" s="39"/>
      <c r="L527" s="39"/>
      <c r="M527" s="39"/>
      <c r="N527" s="39"/>
      <c r="O527" s="39"/>
      <c r="P527" s="39"/>
      <c r="Q527" s="39"/>
      <c r="R527" s="39"/>
    </row>
    <row x14ac:dyDescent="0.25" r="528" customHeight="1" ht="20.1">
      <c r="A528" s="9" t="s">
        <v>696</v>
      </c>
      <c r="B528" s="9" t="s">
        <v>20</v>
      </c>
      <c r="C528" s="10">
        <v>200229</v>
      </c>
      <c r="D528" s="9" t="s">
        <v>21</v>
      </c>
      <c r="E528" s="9" t="s">
        <v>701</v>
      </c>
      <c r="F528" s="11" t="s">
        <v>9</v>
      </c>
      <c r="G528" s="12">
        <v>1962772</v>
      </c>
      <c r="H528" s="12"/>
      <c r="I528" s="12">
        <v>1962772</v>
      </c>
      <c r="J528" s="39"/>
      <c r="K528" s="39"/>
      <c r="L528" s="39"/>
      <c r="M528" s="39"/>
      <c r="N528" s="39"/>
      <c r="O528" s="39"/>
      <c r="P528" s="39"/>
      <c r="Q528" s="39"/>
      <c r="R528" s="39"/>
    </row>
    <row x14ac:dyDescent="0.25" r="529" customHeight="1" ht="20.1">
      <c r="A529" s="9" t="s">
        <v>696</v>
      </c>
      <c r="B529" s="9" t="s">
        <v>20</v>
      </c>
      <c r="C529" s="10">
        <v>200229</v>
      </c>
      <c r="D529" s="9" t="s">
        <v>21</v>
      </c>
      <c r="E529" s="9" t="s">
        <v>702</v>
      </c>
      <c r="F529" s="11" t="s">
        <v>12</v>
      </c>
      <c r="G529" s="12">
        <v>6116858</v>
      </c>
      <c r="H529" s="12"/>
      <c r="I529" s="39"/>
      <c r="J529" s="39"/>
      <c r="K529" s="39"/>
      <c r="L529" s="12">
        <v>6116858</v>
      </c>
      <c r="M529" s="39"/>
      <c r="N529" s="39"/>
      <c r="O529" s="39"/>
      <c r="P529" s="39"/>
      <c r="Q529" s="39"/>
      <c r="R529" s="39"/>
    </row>
    <row x14ac:dyDescent="0.25" r="530" customHeight="1" ht="20.1">
      <c r="A530" s="9" t="s">
        <v>696</v>
      </c>
      <c r="B530" s="9" t="s">
        <v>336</v>
      </c>
      <c r="C530" s="10">
        <v>111707</v>
      </c>
      <c r="D530" s="9" t="s">
        <v>30</v>
      </c>
      <c r="E530" s="9" t="s">
        <v>649</v>
      </c>
      <c r="F530" s="11" t="s">
        <v>12</v>
      </c>
      <c r="G530" s="12">
        <v>55000000</v>
      </c>
      <c r="H530" s="12"/>
      <c r="I530" s="39"/>
      <c r="J530" s="39"/>
      <c r="K530" s="39"/>
      <c r="L530" s="12">
        <v>55000000</v>
      </c>
      <c r="M530" s="39"/>
      <c r="N530" s="39"/>
      <c r="O530" s="39"/>
      <c r="P530" s="39"/>
      <c r="Q530" s="39"/>
      <c r="R530" s="39"/>
    </row>
    <row x14ac:dyDescent="0.25" r="531" customHeight="1" ht="20.1">
      <c r="A531" s="9" t="s">
        <v>696</v>
      </c>
      <c r="B531" s="9" t="s">
        <v>336</v>
      </c>
      <c r="C531" s="10">
        <v>111707</v>
      </c>
      <c r="D531" s="9" t="s">
        <v>30</v>
      </c>
      <c r="E531" s="9" t="s">
        <v>703</v>
      </c>
      <c r="F531" s="11" t="s">
        <v>9</v>
      </c>
      <c r="G531" s="12">
        <v>13783705</v>
      </c>
      <c r="H531" s="12"/>
      <c r="I531" s="12">
        <v>45000000</v>
      </c>
      <c r="J531" s="39"/>
      <c r="K531" s="39"/>
      <c r="L531" s="39"/>
      <c r="M531" s="39"/>
      <c r="N531" s="39"/>
      <c r="O531" s="39"/>
      <c r="P531" s="39"/>
      <c r="Q531" s="39"/>
      <c r="R531" s="39"/>
    </row>
    <row x14ac:dyDescent="0.25" r="532" customHeight="1" ht="20.1">
      <c r="A532" s="9" t="s">
        <v>696</v>
      </c>
      <c r="B532" s="9" t="s">
        <v>336</v>
      </c>
      <c r="C532" s="10">
        <v>111707</v>
      </c>
      <c r="D532" s="9" t="s">
        <v>704</v>
      </c>
      <c r="E532" s="9" t="s">
        <v>703</v>
      </c>
      <c r="F532" s="11" t="s">
        <v>9</v>
      </c>
      <c r="G532" s="12">
        <v>31216295</v>
      </c>
      <c r="H532" s="12"/>
      <c r="I532" s="12"/>
      <c r="J532" s="39"/>
      <c r="K532" s="39"/>
      <c r="L532" s="39"/>
      <c r="M532" s="39"/>
      <c r="N532" s="39"/>
      <c r="O532" s="39"/>
      <c r="P532" s="39"/>
      <c r="Q532" s="39"/>
      <c r="R532" s="39"/>
    </row>
    <row x14ac:dyDescent="0.25" r="533" customHeight="1" ht="20.1">
      <c r="A533" s="9" t="s">
        <v>696</v>
      </c>
      <c r="B533" s="9" t="s">
        <v>28</v>
      </c>
      <c r="C533" s="10">
        <v>849296</v>
      </c>
      <c r="D533" s="9" t="s">
        <v>215</v>
      </c>
      <c r="E533" s="9" t="s">
        <v>705</v>
      </c>
      <c r="F533" s="11" t="s">
        <v>9</v>
      </c>
      <c r="G533" s="12">
        <v>1000000</v>
      </c>
      <c r="H533" s="12"/>
      <c r="I533" s="12">
        <v>1000000</v>
      </c>
      <c r="J533" s="39"/>
      <c r="K533" s="39"/>
      <c r="L533" s="39"/>
      <c r="M533" s="39"/>
      <c r="N533" s="39"/>
      <c r="O533" s="39"/>
      <c r="P533" s="39"/>
      <c r="Q533" s="39"/>
      <c r="R533" s="39"/>
    </row>
    <row x14ac:dyDescent="0.25" r="534" customHeight="1" ht="20.1">
      <c r="A534" s="9" t="s">
        <v>696</v>
      </c>
      <c r="B534" s="9" t="s">
        <v>485</v>
      </c>
      <c r="C534" s="10"/>
      <c r="D534" s="9" t="s">
        <v>486</v>
      </c>
      <c r="E534" s="9" t="s">
        <v>706</v>
      </c>
      <c r="F534" s="11" t="s">
        <v>13</v>
      </c>
      <c r="G534" s="12">
        <v>70000</v>
      </c>
      <c r="H534" s="12"/>
      <c r="I534" s="39"/>
      <c r="J534" s="39"/>
      <c r="K534" s="39"/>
      <c r="L534" s="39"/>
      <c r="M534" s="12">
        <v>70000</v>
      </c>
      <c r="N534" s="39"/>
      <c r="O534" s="39"/>
      <c r="P534" s="39"/>
      <c r="Q534" s="39"/>
      <c r="R534" s="39"/>
    </row>
    <row x14ac:dyDescent="0.25" r="535" customHeight="1" ht="20.1">
      <c r="A535" s="9" t="s">
        <v>696</v>
      </c>
      <c r="B535" s="9" t="s">
        <v>51</v>
      </c>
      <c r="C535" s="10" t="s">
        <v>707</v>
      </c>
      <c r="D535" s="9" t="s">
        <v>43</v>
      </c>
      <c r="E535" s="9" t="s">
        <v>708</v>
      </c>
      <c r="F535" s="11" t="s">
        <v>17</v>
      </c>
      <c r="G535" s="12">
        <v>1096400</v>
      </c>
      <c r="H535" s="12"/>
      <c r="I535" s="39"/>
      <c r="J535" s="39"/>
      <c r="K535" s="39"/>
      <c r="L535" s="39"/>
      <c r="M535" s="39"/>
      <c r="N535" s="39"/>
      <c r="O535" s="39"/>
      <c r="P535" s="39"/>
      <c r="Q535" s="12">
        <v>1096400</v>
      </c>
      <c r="R535" s="39"/>
    </row>
    <row x14ac:dyDescent="0.25" r="536" customHeight="1" ht="20.1">
      <c r="A536" s="9" t="s">
        <v>696</v>
      </c>
      <c r="B536" s="9" t="s">
        <v>42</v>
      </c>
      <c r="C536" s="10">
        <v>200019</v>
      </c>
      <c r="D536" s="9" t="s">
        <v>43</v>
      </c>
      <c r="E536" s="9" t="s">
        <v>709</v>
      </c>
      <c r="F536" s="11" t="s">
        <v>17</v>
      </c>
      <c r="G536" s="12">
        <v>800000</v>
      </c>
      <c r="H536" s="12"/>
      <c r="I536" s="39"/>
      <c r="J536" s="39"/>
      <c r="K536" s="39"/>
      <c r="L536" s="39"/>
      <c r="M536" s="39"/>
      <c r="N536" s="39"/>
      <c r="O536" s="39"/>
      <c r="P536" s="39"/>
      <c r="Q536" s="12">
        <v>800000</v>
      </c>
      <c r="R536" s="39"/>
    </row>
    <row x14ac:dyDescent="0.25" r="537" customHeight="1" ht="20.1">
      <c r="A537" s="9" t="s">
        <v>696</v>
      </c>
      <c r="B537" s="9" t="s">
        <v>20</v>
      </c>
      <c r="C537" s="10">
        <v>200209</v>
      </c>
      <c r="D537" s="9" t="s">
        <v>75</v>
      </c>
      <c r="E537" s="9" t="s">
        <v>710</v>
      </c>
      <c r="F537" s="11" t="s">
        <v>8</v>
      </c>
      <c r="G537" s="12">
        <v>6418952</v>
      </c>
      <c r="H537" s="12">
        <v>6418952</v>
      </c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x14ac:dyDescent="0.25" r="538" customHeight="1" ht="20.1">
      <c r="A538" s="9" t="s">
        <v>696</v>
      </c>
      <c r="B538" s="9" t="s">
        <v>28</v>
      </c>
      <c r="C538" s="10">
        <v>849295</v>
      </c>
      <c r="D538" s="28" t="s">
        <v>226</v>
      </c>
      <c r="E538" s="9" t="s">
        <v>711</v>
      </c>
      <c r="F538" s="11" t="s">
        <v>10</v>
      </c>
      <c r="G538" s="12">
        <v>70000000</v>
      </c>
      <c r="H538" s="12"/>
      <c r="I538" s="39"/>
      <c r="J538" s="12">
        <v>70000000</v>
      </c>
      <c r="K538" s="39"/>
      <c r="L538" s="39"/>
      <c r="M538" s="39"/>
      <c r="N538" s="39"/>
      <c r="O538" s="39"/>
      <c r="P538" s="39"/>
      <c r="Q538" s="39"/>
      <c r="R538" s="39"/>
    </row>
    <row x14ac:dyDescent="0.25" r="539" customHeight="1" ht="20.1">
      <c r="A539" s="9" t="s">
        <v>696</v>
      </c>
      <c r="B539" s="9" t="s">
        <v>28</v>
      </c>
      <c r="C539" s="10">
        <v>849297</v>
      </c>
      <c r="D539" s="9" t="s">
        <v>712</v>
      </c>
      <c r="E539" s="9" t="s">
        <v>713</v>
      </c>
      <c r="F539" s="11" t="s">
        <v>10</v>
      </c>
      <c r="G539" s="12">
        <v>1000000</v>
      </c>
      <c r="H539" s="12"/>
      <c r="I539" s="39"/>
      <c r="J539" s="12">
        <v>1000000</v>
      </c>
      <c r="K539" s="39"/>
      <c r="L539" s="39"/>
      <c r="M539" s="39"/>
      <c r="N539" s="39"/>
      <c r="O539" s="39"/>
      <c r="P539" s="39"/>
      <c r="Q539" s="39"/>
      <c r="R539" s="39"/>
    </row>
    <row x14ac:dyDescent="0.25" r="540" customHeight="1" ht="20.1">
      <c r="A540" s="9" t="s">
        <v>714</v>
      </c>
      <c r="B540" s="9" t="s">
        <v>498</v>
      </c>
      <c r="C540" s="10">
        <v>200008</v>
      </c>
      <c r="D540" s="9" t="s">
        <v>246</v>
      </c>
      <c r="E540" s="9" t="s">
        <v>715</v>
      </c>
      <c r="F540" s="11" t="s">
        <v>10</v>
      </c>
      <c r="G540" s="12">
        <v>9681475</v>
      </c>
      <c r="H540" s="12"/>
      <c r="I540" s="39"/>
      <c r="J540" s="12">
        <v>9681475</v>
      </c>
      <c r="K540" s="39"/>
      <c r="L540" s="39"/>
      <c r="M540" s="39"/>
      <c r="N540" s="39"/>
      <c r="O540" s="39"/>
      <c r="P540" s="39"/>
      <c r="Q540" s="39"/>
      <c r="R540" s="39"/>
    </row>
    <row x14ac:dyDescent="0.25" r="541" customHeight="1" ht="20.1">
      <c r="A541" s="9" t="s">
        <v>714</v>
      </c>
      <c r="B541" s="9" t="s">
        <v>419</v>
      </c>
      <c r="C541" s="10">
        <v>200006</v>
      </c>
      <c r="D541" s="9" t="s">
        <v>246</v>
      </c>
      <c r="E541" s="9" t="s">
        <v>715</v>
      </c>
      <c r="F541" s="11" t="s">
        <v>10</v>
      </c>
      <c r="G541" s="12">
        <v>20000000</v>
      </c>
      <c r="H541" s="12"/>
      <c r="I541" s="39"/>
      <c r="J541" s="12">
        <v>20000000</v>
      </c>
      <c r="K541" s="39"/>
      <c r="L541" s="39"/>
      <c r="M541" s="39"/>
      <c r="N541" s="39"/>
      <c r="O541" s="39"/>
      <c r="P541" s="39"/>
      <c r="Q541" s="39"/>
      <c r="R541" s="39"/>
    </row>
    <row x14ac:dyDescent="0.25" r="542" customHeight="1" ht="20.1">
      <c r="A542" s="9" t="s">
        <v>714</v>
      </c>
      <c r="B542" s="9" t="s">
        <v>20</v>
      </c>
      <c r="C542" s="10">
        <v>200230</v>
      </c>
      <c r="D542" s="9" t="s">
        <v>246</v>
      </c>
      <c r="E542" s="9" t="s">
        <v>715</v>
      </c>
      <c r="F542" s="11" t="s">
        <v>10</v>
      </c>
      <c r="G542" s="12">
        <v>20000000</v>
      </c>
      <c r="H542" s="12"/>
      <c r="I542" s="39"/>
      <c r="J542" s="12">
        <v>20000000</v>
      </c>
      <c r="K542" s="39"/>
      <c r="L542" s="39"/>
      <c r="M542" s="39"/>
      <c r="N542" s="39"/>
      <c r="O542" s="39"/>
      <c r="P542" s="39"/>
      <c r="Q542" s="39"/>
      <c r="R542" s="39"/>
    </row>
    <row x14ac:dyDescent="0.25" r="543" customHeight="1" ht="20.1">
      <c r="A543" s="9" t="s">
        <v>714</v>
      </c>
      <c r="B543" s="9" t="s">
        <v>20</v>
      </c>
      <c r="C543" s="10">
        <v>20001907</v>
      </c>
      <c r="D543" s="9" t="s">
        <v>246</v>
      </c>
      <c r="E543" s="9" t="s">
        <v>715</v>
      </c>
      <c r="F543" s="11" t="s">
        <v>10</v>
      </c>
      <c r="G543" s="12">
        <v>20000000</v>
      </c>
      <c r="H543" s="12"/>
      <c r="I543" s="39"/>
      <c r="J543" s="12">
        <v>20000000</v>
      </c>
      <c r="K543" s="39"/>
      <c r="L543" s="39"/>
      <c r="M543" s="39"/>
      <c r="N543" s="39"/>
      <c r="O543" s="39"/>
      <c r="P543" s="39"/>
      <c r="Q543" s="39"/>
      <c r="R543" s="39"/>
    </row>
    <row x14ac:dyDescent="0.25" r="544" customHeight="1" ht="20.1">
      <c r="A544" s="9" t="s">
        <v>714</v>
      </c>
      <c r="B544" s="9" t="s">
        <v>40</v>
      </c>
      <c r="C544" s="10">
        <v>564249</v>
      </c>
      <c r="D544" s="9" t="s">
        <v>73</v>
      </c>
      <c r="E544" s="9" t="s">
        <v>716</v>
      </c>
      <c r="F544" s="11" t="s">
        <v>10</v>
      </c>
      <c r="G544" s="12">
        <v>15306600</v>
      </c>
      <c r="H544" s="12"/>
      <c r="I544" s="39"/>
      <c r="J544" s="12">
        <v>15306600</v>
      </c>
      <c r="K544" s="39"/>
      <c r="L544" s="39"/>
      <c r="M544" s="39"/>
      <c r="N544" s="39"/>
      <c r="O544" s="39"/>
      <c r="P544" s="39"/>
      <c r="Q544" s="39"/>
      <c r="R544" s="39"/>
    </row>
    <row x14ac:dyDescent="0.25" r="545" customHeight="1" ht="20.1">
      <c r="A545" s="9" t="s">
        <v>714</v>
      </c>
      <c r="B545" s="9" t="s">
        <v>40</v>
      </c>
      <c r="C545" s="10">
        <v>564249</v>
      </c>
      <c r="D545" s="9" t="s">
        <v>75</v>
      </c>
      <c r="E545" s="9" t="s">
        <v>717</v>
      </c>
      <c r="F545" s="11" t="s">
        <v>8</v>
      </c>
      <c r="G545" s="12">
        <v>14273550</v>
      </c>
      <c r="H545" s="12">
        <v>14273550</v>
      </c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x14ac:dyDescent="0.25" r="546" customHeight="1" ht="20.1">
      <c r="A546" s="9" t="s">
        <v>714</v>
      </c>
      <c r="B546" s="9" t="s">
        <v>51</v>
      </c>
      <c r="C546" s="10" t="s">
        <v>718</v>
      </c>
      <c r="D546" s="9" t="s">
        <v>21</v>
      </c>
      <c r="E546" s="9" t="s">
        <v>719</v>
      </c>
      <c r="F546" s="11" t="s">
        <v>8</v>
      </c>
      <c r="G546" s="12">
        <v>5463149</v>
      </c>
      <c r="H546" s="12">
        <v>5463149</v>
      </c>
      <c r="I546" s="39"/>
      <c r="J546" s="39"/>
      <c r="K546" s="39"/>
      <c r="L546" s="39"/>
      <c r="M546" s="39"/>
      <c r="N546" s="39"/>
      <c r="O546" s="39"/>
      <c r="P546" s="39"/>
      <c r="Q546" s="39"/>
      <c r="R546" s="39"/>
    </row>
    <row x14ac:dyDescent="0.25" r="547" customHeight="1" ht="20.1">
      <c r="A547" s="9" t="s">
        <v>720</v>
      </c>
      <c r="B547" s="9" t="s">
        <v>25</v>
      </c>
      <c r="C547" s="10"/>
      <c r="D547" s="9" t="s">
        <v>30</v>
      </c>
      <c r="E547" s="9" t="s">
        <v>721</v>
      </c>
      <c r="F547" s="11" t="s">
        <v>9</v>
      </c>
      <c r="G547" s="12">
        <f>31354*1980</f>
      </c>
      <c r="H547" s="12"/>
      <c r="I547" s="12">
        <f>31354*1980</f>
      </c>
      <c r="J547" s="39"/>
      <c r="K547" s="39"/>
      <c r="L547" s="39"/>
      <c r="M547" s="39"/>
      <c r="N547" s="39"/>
      <c r="O547" s="39"/>
      <c r="P547" s="39"/>
      <c r="Q547" s="39"/>
      <c r="R547" s="39"/>
    </row>
    <row x14ac:dyDescent="0.25" r="548" customHeight="1" ht="20.1">
      <c r="A548" s="9" t="s">
        <v>720</v>
      </c>
      <c r="B548" s="9" t="s">
        <v>20</v>
      </c>
      <c r="C548" s="10">
        <v>200186</v>
      </c>
      <c r="D548" s="9" t="s">
        <v>722</v>
      </c>
      <c r="E548" s="9" t="s">
        <v>723</v>
      </c>
      <c r="F548" s="11" t="s">
        <v>9</v>
      </c>
      <c r="G548" s="12">
        <v>5000000</v>
      </c>
      <c r="H548" s="12"/>
      <c r="I548" s="12">
        <v>5000000</v>
      </c>
      <c r="J548" s="39"/>
      <c r="K548" s="39"/>
      <c r="L548" s="39"/>
      <c r="M548" s="39"/>
      <c r="N548" s="39"/>
      <c r="O548" s="39"/>
      <c r="P548" s="39"/>
      <c r="Q548" s="39"/>
      <c r="R548" s="39"/>
    </row>
    <row x14ac:dyDescent="0.25" r="549" customHeight="1" ht="20.1">
      <c r="A549" s="9" t="s">
        <v>720</v>
      </c>
      <c r="B549" s="9" t="s">
        <v>151</v>
      </c>
      <c r="C549" s="10" t="s">
        <v>724</v>
      </c>
      <c r="D549" s="9" t="s">
        <v>722</v>
      </c>
      <c r="E549" s="9" t="s">
        <v>725</v>
      </c>
      <c r="F549" s="11" t="s">
        <v>9</v>
      </c>
      <c r="G549" s="12">
        <v>100000000</v>
      </c>
      <c r="H549" s="12"/>
      <c r="I549" s="12">
        <v>100000000</v>
      </c>
      <c r="J549" s="39"/>
      <c r="K549" s="39"/>
      <c r="L549" s="39"/>
      <c r="M549" s="39"/>
      <c r="N549" s="39"/>
      <c r="O549" s="39"/>
      <c r="P549" s="39"/>
      <c r="Q549" s="39"/>
      <c r="R549" s="39"/>
    </row>
    <row x14ac:dyDescent="0.25" r="550" customHeight="1" ht="20.1">
      <c r="A550" s="9" t="s">
        <v>720</v>
      </c>
      <c r="B550" s="9" t="s">
        <v>28</v>
      </c>
      <c r="C550" s="10">
        <v>849298</v>
      </c>
      <c r="D550" s="9" t="s">
        <v>23</v>
      </c>
      <c r="E550" s="9" t="s">
        <v>726</v>
      </c>
      <c r="F550" s="11" t="s">
        <v>9</v>
      </c>
      <c r="G550" s="12">
        <v>400000</v>
      </c>
      <c r="H550" s="12"/>
      <c r="I550" s="12">
        <v>400000</v>
      </c>
      <c r="J550" s="39"/>
      <c r="K550" s="39"/>
      <c r="L550" s="39"/>
      <c r="M550" s="39"/>
      <c r="N550" s="39"/>
      <c r="O550" s="39"/>
      <c r="P550" s="39"/>
      <c r="Q550" s="39"/>
      <c r="R550" s="39"/>
    </row>
    <row x14ac:dyDescent="0.25" r="551" customHeight="1" ht="20.1">
      <c r="A551" s="9" t="s">
        <v>720</v>
      </c>
      <c r="B551" s="9" t="s">
        <v>25</v>
      </c>
      <c r="C551" s="10"/>
      <c r="D551" s="9" t="s">
        <v>26</v>
      </c>
      <c r="E551" s="9" t="s">
        <v>727</v>
      </c>
      <c r="F551" s="11" t="s">
        <v>10</v>
      </c>
      <c r="G551" s="12">
        <v>1588300</v>
      </c>
      <c r="H551" s="12"/>
      <c r="I551" s="39"/>
      <c r="J551" s="12">
        <v>1588300</v>
      </c>
      <c r="K551" s="39"/>
      <c r="L551" s="39"/>
      <c r="M551" s="39"/>
      <c r="N551" s="39"/>
      <c r="O551" s="39"/>
      <c r="P551" s="39"/>
      <c r="Q551" s="39"/>
      <c r="R551" s="39"/>
    </row>
    <row x14ac:dyDescent="0.25" r="552" customHeight="1" ht="20.1">
      <c r="A552" s="9" t="s">
        <v>720</v>
      </c>
      <c r="B552" s="9" t="s">
        <v>40</v>
      </c>
      <c r="C552" s="10">
        <v>564250</v>
      </c>
      <c r="D552" s="9" t="s">
        <v>77</v>
      </c>
      <c r="E552" s="9" t="s">
        <v>728</v>
      </c>
      <c r="F552" s="11" t="s">
        <v>8</v>
      </c>
      <c r="G552" s="12">
        <v>8564400</v>
      </c>
      <c r="H552" s="12">
        <v>8564400</v>
      </c>
      <c r="I552" s="39"/>
      <c r="J552" s="39"/>
      <c r="K552" s="39"/>
      <c r="L552" s="39"/>
      <c r="M552" s="39"/>
      <c r="N552" s="39"/>
      <c r="O552" s="39"/>
      <c r="P552" s="39"/>
      <c r="Q552" s="39"/>
      <c r="R552" s="39"/>
    </row>
    <row x14ac:dyDescent="0.25" r="553" customHeight="1" ht="20.1">
      <c r="A553" s="9" t="s">
        <v>720</v>
      </c>
      <c r="B553" s="9" t="s">
        <v>336</v>
      </c>
      <c r="C553" s="10">
        <v>111708</v>
      </c>
      <c r="D553" s="9" t="s">
        <v>30</v>
      </c>
      <c r="E553" s="9" t="s">
        <v>729</v>
      </c>
      <c r="F553" s="11" t="s">
        <v>8</v>
      </c>
      <c r="G553" s="12">
        <v>37769600</v>
      </c>
      <c r="H553" s="12">
        <v>37769600</v>
      </c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x14ac:dyDescent="0.25" r="554" customHeight="1" ht="20.1">
      <c r="A554" s="9" t="s">
        <v>720</v>
      </c>
      <c r="B554" s="9" t="s">
        <v>20</v>
      </c>
      <c r="C554" s="10">
        <v>200186</v>
      </c>
      <c r="D554" s="9" t="s">
        <v>43</v>
      </c>
      <c r="E554" s="9" t="s">
        <v>730</v>
      </c>
      <c r="F554" s="11" t="s">
        <v>17</v>
      </c>
      <c r="G554" s="12">
        <v>3572000</v>
      </c>
      <c r="H554" s="12"/>
      <c r="I554" s="39"/>
      <c r="J554" s="39"/>
      <c r="K554" s="39"/>
      <c r="L554" s="39"/>
      <c r="M554" s="39"/>
      <c r="N554" s="39"/>
      <c r="O554" s="39"/>
      <c r="P554" s="39"/>
      <c r="Q554" s="12">
        <v>3572000</v>
      </c>
      <c r="R554" s="39"/>
    </row>
    <row x14ac:dyDescent="0.25" r="555" customHeight="1" ht="20.1">
      <c r="A555" s="9" t="s">
        <v>720</v>
      </c>
      <c r="B555" s="9" t="s">
        <v>25</v>
      </c>
      <c r="C555" s="10"/>
      <c r="D555" s="9" t="s">
        <v>26</v>
      </c>
      <c r="E555" s="9" t="s">
        <v>731</v>
      </c>
      <c r="F555" s="11" t="s">
        <v>8</v>
      </c>
      <c r="G555" s="12">
        <v>10911700</v>
      </c>
      <c r="H555" s="12">
        <v>10911700</v>
      </c>
      <c r="I555" s="39"/>
      <c r="J555" s="39"/>
      <c r="K555" s="39"/>
      <c r="L555" s="39"/>
      <c r="M555" s="39"/>
      <c r="N555" s="39"/>
      <c r="O555" s="39"/>
      <c r="P555" s="39"/>
      <c r="Q555" s="39"/>
      <c r="R555" s="39"/>
    </row>
    <row x14ac:dyDescent="0.25" r="556" customHeight="1" ht="20.1">
      <c r="A556" s="9" t="s">
        <v>732</v>
      </c>
      <c r="B556" s="9" t="s">
        <v>25</v>
      </c>
      <c r="C556" s="10"/>
      <c r="D556" s="9" t="s">
        <v>704</v>
      </c>
      <c r="E556" s="9" t="s">
        <v>733</v>
      </c>
      <c r="F556" s="11" t="s">
        <v>9</v>
      </c>
      <c r="G556" s="12">
        <v>48000000</v>
      </c>
      <c r="H556" s="12"/>
      <c r="I556" s="12">
        <v>48000000</v>
      </c>
      <c r="J556" s="39"/>
      <c r="K556" s="39"/>
      <c r="L556" s="39"/>
      <c r="M556" s="39"/>
      <c r="N556" s="39"/>
      <c r="O556" s="39"/>
      <c r="P556" s="39"/>
      <c r="Q556" s="39"/>
      <c r="R556" s="39"/>
    </row>
    <row x14ac:dyDescent="0.25" r="557" customHeight="1" ht="20.1">
      <c r="A557" s="9" t="s">
        <v>732</v>
      </c>
      <c r="B557" s="9" t="s">
        <v>20</v>
      </c>
      <c r="C557" s="10">
        <v>200188</v>
      </c>
      <c r="D557" s="9" t="s">
        <v>191</v>
      </c>
      <c r="E557" s="9" t="s">
        <v>734</v>
      </c>
      <c r="F557" s="11" t="s">
        <v>9</v>
      </c>
      <c r="G557" s="12">
        <v>2204000</v>
      </c>
      <c r="H557" s="12"/>
      <c r="I557" s="12">
        <v>2204000</v>
      </c>
      <c r="J557" s="39"/>
      <c r="K557" s="39"/>
      <c r="L557" s="39"/>
      <c r="M557" s="39"/>
      <c r="N557" s="39"/>
      <c r="O557" s="39"/>
      <c r="P557" s="39"/>
      <c r="Q557" s="39"/>
      <c r="R557" s="39"/>
    </row>
    <row x14ac:dyDescent="0.25" r="558" customHeight="1" ht="20.1">
      <c r="A558" s="9" t="s">
        <v>732</v>
      </c>
      <c r="B558" s="9" t="s">
        <v>20</v>
      </c>
      <c r="C558" s="10">
        <v>200188</v>
      </c>
      <c r="D558" s="9" t="s">
        <v>191</v>
      </c>
      <c r="E558" s="9" t="s">
        <v>735</v>
      </c>
      <c r="F558" s="11" t="s">
        <v>8</v>
      </c>
      <c r="G558" s="12">
        <v>874000</v>
      </c>
      <c r="H558" s="12">
        <v>874000</v>
      </c>
      <c r="I558" s="39"/>
      <c r="J558" s="39"/>
      <c r="K558" s="39"/>
      <c r="L558" s="39"/>
      <c r="M558" s="39"/>
      <c r="N558" s="39"/>
      <c r="O558" s="39"/>
      <c r="P558" s="39"/>
      <c r="Q558" s="39"/>
      <c r="R558" s="39"/>
    </row>
    <row x14ac:dyDescent="0.25" r="559" customHeight="1" ht="20.1">
      <c r="A559" s="9" t="s">
        <v>732</v>
      </c>
      <c r="B559" s="9" t="s">
        <v>20</v>
      </c>
      <c r="C559" s="10">
        <v>200188</v>
      </c>
      <c r="D559" s="9" t="s">
        <v>191</v>
      </c>
      <c r="E559" s="9" t="s">
        <v>736</v>
      </c>
      <c r="F559" s="11" t="s">
        <v>12</v>
      </c>
      <c r="G559" s="12">
        <v>522000</v>
      </c>
      <c r="H559" s="12"/>
      <c r="I559" s="39"/>
      <c r="J559" s="39"/>
      <c r="K559" s="39"/>
      <c r="L559" s="12">
        <v>522000</v>
      </c>
      <c r="M559" s="39"/>
      <c r="N559" s="39"/>
      <c r="O559" s="39"/>
      <c r="P559" s="39"/>
      <c r="Q559" s="39"/>
      <c r="R559" s="39"/>
    </row>
    <row x14ac:dyDescent="0.25" r="560" customHeight="1" ht="20.1">
      <c r="A560" s="9" t="s">
        <v>732</v>
      </c>
      <c r="B560" s="9" t="s">
        <v>20</v>
      </c>
      <c r="C560" s="10">
        <v>200188</v>
      </c>
      <c r="D560" s="9" t="s">
        <v>191</v>
      </c>
      <c r="E560" s="9" t="s">
        <v>735</v>
      </c>
      <c r="F560" s="11" t="s">
        <v>12</v>
      </c>
      <c r="G560" s="12">
        <v>467000</v>
      </c>
      <c r="H560" s="12"/>
      <c r="I560" s="39"/>
      <c r="J560" s="39"/>
      <c r="K560" s="39"/>
      <c r="L560" s="12">
        <v>467000</v>
      </c>
      <c r="M560" s="39"/>
      <c r="N560" s="39"/>
      <c r="O560" s="39"/>
      <c r="P560" s="39"/>
      <c r="Q560" s="39"/>
      <c r="R560" s="39"/>
    </row>
    <row x14ac:dyDescent="0.25" r="561" customHeight="1" ht="20.1">
      <c r="A561" s="9" t="s">
        <v>732</v>
      </c>
      <c r="B561" s="9" t="s">
        <v>20</v>
      </c>
      <c r="C561" s="10">
        <v>200188</v>
      </c>
      <c r="D561" s="9" t="s">
        <v>191</v>
      </c>
      <c r="E561" s="9" t="s">
        <v>737</v>
      </c>
      <c r="F561" s="11" t="s">
        <v>13</v>
      </c>
      <c r="G561" s="12">
        <v>427000</v>
      </c>
      <c r="H561" s="12"/>
      <c r="I561" s="39"/>
      <c r="J561" s="39"/>
      <c r="K561" s="39"/>
      <c r="L561" s="39"/>
      <c r="M561" s="12">
        <v>427000</v>
      </c>
      <c r="N561" s="39"/>
      <c r="O561" s="39"/>
      <c r="P561" s="39"/>
      <c r="Q561" s="39"/>
      <c r="R561" s="39"/>
    </row>
    <row x14ac:dyDescent="0.25" r="562" customHeight="1" ht="20.1">
      <c r="A562" s="9" t="s">
        <v>732</v>
      </c>
      <c r="B562" s="9" t="s">
        <v>20</v>
      </c>
      <c r="C562" s="10">
        <v>200187</v>
      </c>
      <c r="D562" s="9" t="s">
        <v>23</v>
      </c>
      <c r="E562" s="9" t="s">
        <v>738</v>
      </c>
      <c r="F562" s="11" t="s">
        <v>9</v>
      </c>
      <c r="G562" s="12">
        <v>1334576</v>
      </c>
      <c r="H562" s="12"/>
      <c r="I562" s="12">
        <v>1334576</v>
      </c>
      <c r="J562" s="39"/>
      <c r="K562" s="39"/>
      <c r="L562" s="39"/>
      <c r="M562" s="39"/>
      <c r="N562" s="39"/>
      <c r="O562" s="39"/>
      <c r="P562" s="39"/>
      <c r="Q562" s="39"/>
      <c r="R562" s="39"/>
    </row>
    <row x14ac:dyDescent="0.25" r="563" customHeight="1" ht="20.1">
      <c r="A563" s="9" t="s">
        <v>732</v>
      </c>
      <c r="B563" s="9" t="s">
        <v>20</v>
      </c>
      <c r="C563" s="10">
        <v>200187</v>
      </c>
      <c r="D563" s="9" t="s">
        <v>23</v>
      </c>
      <c r="E563" s="9" t="s">
        <v>739</v>
      </c>
      <c r="F563" s="11" t="s">
        <v>8</v>
      </c>
      <c r="G563" s="12">
        <v>1113758</v>
      </c>
      <c r="H563" s="12">
        <v>1113758</v>
      </c>
      <c r="I563" s="39"/>
      <c r="J563" s="39"/>
      <c r="K563" s="39"/>
      <c r="L563" s="39"/>
      <c r="M563" s="39"/>
      <c r="N563" s="39"/>
      <c r="O563" s="39"/>
      <c r="P563" s="39"/>
      <c r="Q563" s="39"/>
      <c r="R563" s="39"/>
    </row>
    <row x14ac:dyDescent="0.25" r="564" customHeight="1" ht="20.1">
      <c r="A564" s="9" t="s">
        <v>732</v>
      </c>
      <c r="B564" s="9" t="s">
        <v>20</v>
      </c>
      <c r="C564" s="10">
        <v>200187</v>
      </c>
      <c r="D564" s="9" t="s">
        <v>23</v>
      </c>
      <c r="E564" s="9" t="s">
        <v>740</v>
      </c>
      <c r="F564" s="11" t="s">
        <v>12</v>
      </c>
      <c r="G564" s="12">
        <v>312434</v>
      </c>
      <c r="H564" s="12"/>
      <c r="I564" s="39"/>
      <c r="J564" s="39"/>
      <c r="K564" s="39"/>
      <c r="L564" s="12">
        <v>312434</v>
      </c>
      <c r="M564" s="39"/>
      <c r="N564" s="39"/>
      <c r="O564" s="39"/>
      <c r="P564" s="39"/>
      <c r="Q564" s="39"/>
      <c r="R564" s="39"/>
    </row>
    <row x14ac:dyDescent="0.25" r="565" customHeight="1" ht="20.1">
      <c r="A565" s="9" t="s">
        <v>732</v>
      </c>
      <c r="B565" s="9" t="s">
        <v>20</v>
      </c>
      <c r="C565" s="10">
        <v>200187</v>
      </c>
      <c r="D565" s="9" t="s">
        <v>23</v>
      </c>
      <c r="E565" s="9" t="s">
        <v>741</v>
      </c>
      <c r="F565" s="11" t="s">
        <v>12</v>
      </c>
      <c r="G565" s="12">
        <v>351873</v>
      </c>
      <c r="H565" s="12"/>
      <c r="I565" s="39"/>
      <c r="J565" s="39"/>
      <c r="K565" s="39"/>
      <c r="L565" s="12">
        <v>351873</v>
      </c>
      <c r="M565" s="39"/>
      <c r="N565" s="39"/>
      <c r="O565" s="39"/>
      <c r="P565" s="39"/>
      <c r="Q565" s="39"/>
      <c r="R565" s="39"/>
    </row>
    <row x14ac:dyDescent="0.25" r="566" customHeight="1" ht="20.1">
      <c r="A566" s="9" t="s">
        <v>732</v>
      </c>
      <c r="B566" s="9" t="s">
        <v>20</v>
      </c>
      <c r="C566" s="10">
        <v>200187</v>
      </c>
      <c r="D566" s="9" t="s">
        <v>23</v>
      </c>
      <c r="E566" s="9" t="s">
        <v>742</v>
      </c>
      <c r="F566" s="11" t="s">
        <v>13</v>
      </c>
      <c r="G566" s="12">
        <v>225740</v>
      </c>
      <c r="H566" s="12"/>
      <c r="I566" s="39"/>
      <c r="J566" s="39"/>
      <c r="K566" s="39"/>
      <c r="L566" s="39"/>
      <c r="M566" s="12">
        <v>225740</v>
      </c>
      <c r="N566" s="39"/>
      <c r="O566" s="39"/>
      <c r="P566" s="39"/>
      <c r="Q566" s="39"/>
      <c r="R566" s="39"/>
    </row>
    <row x14ac:dyDescent="0.25" r="567" customHeight="1" ht="20.1">
      <c r="A567" s="9" t="s">
        <v>732</v>
      </c>
      <c r="B567" s="9" t="s">
        <v>20</v>
      </c>
      <c r="C567" s="10">
        <v>200187</v>
      </c>
      <c r="D567" s="9" t="s">
        <v>23</v>
      </c>
      <c r="E567" s="9" t="s">
        <v>743</v>
      </c>
      <c r="F567" s="11" t="s">
        <v>13</v>
      </c>
      <c r="G567" s="12">
        <v>177006</v>
      </c>
      <c r="H567" s="12"/>
      <c r="I567" s="39"/>
      <c r="J567" s="39"/>
      <c r="K567" s="39"/>
      <c r="L567" s="39"/>
      <c r="M567" s="12">
        <v>177006</v>
      </c>
      <c r="N567" s="39"/>
      <c r="O567" s="39"/>
      <c r="P567" s="39"/>
      <c r="Q567" s="39"/>
      <c r="R567" s="39"/>
    </row>
    <row x14ac:dyDescent="0.25" r="568" customHeight="1" ht="20.1">
      <c r="A568" s="9" t="s">
        <v>732</v>
      </c>
      <c r="B568" s="9" t="s">
        <v>28</v>
      </c>
      <c r="C568" s="10">
        <v>849299</v>
      </c>
      <c r="D568" s="9" t="s">
        <v>30</v>
      </c>
      <c r="E568" s="9" t="s">
        <v>744</v>
      </c>
      <c r="F568" s="11" t="s">
        <v>9</v>
      </c>
      <c r="G568" s="12">
        <v>62080920</v>
      </c>
      <c r="H568" s="12"/>
      <c r="I568" s="12">
        <v>62080920</v>
      </c>
      <c r="J568" s="39"/>
      <c r="K568" s="39"/>
      <c r="L568" s="39"/>
      <c r="M568" s="39"/>
      <c r="N568" s="39"/>
      <c r="O568" s="39"/>
      <c r="P568" s="39"/>
      <c r="Q568" s="39"/>
      <c r="R568" s="39"/>
    </row>
    <row x14ac:dyDescent="0.25" r="569" customHeight="1" ht="20.1">
      <c r="A569" s="9" t="s">
        <v>732</v>
      </c>
      <c r="B569" s="9" t="s">
        <v>51</v>
      </c>
      <c r="C569" s="10" t="s">
        <v>745</v>
      </c>
      <c r="D569" s="9" t="s">
        <v>234</v>
      </c>
      <c r="E569" s="9" t="s">
        <v>746</v>
      </c>
      <c r="F569" s="11" t="s">
        <v>8</v>
      </c>
      <c r="G569" s="12">
        <v>58386050</v>
      </c>
      <c r="H569" s="12">
        <v>58386050</v>
      </c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x14ac:dyDescent="0.25" r="570" customHeight="1" ht="20.1">
      <c r="A570" s="9" t="s">
        <v>732</v>
      </c>
      <c r="B570" s="9" t="s">
        <v>25</v>
      </c>
      <c r="C570" s="10"/>
      <c r="D570" s="9" t="s">
        <v>704</v>
      </c>
      <c r="E570" s="9" t="s">
        <v>747</v>
      </c>
      <c r="F570" s="11" t="s">
        <v>9</v>
      </c>
      <c r="G570" s="12">
        <v>40000000</v>
      </c>
      <c r="H570" s="12"/>
      <c r="I570" s="12">
        <v>40000000</v>
      </c>
      <c r="J570" s="39"/>
      <c r="K570" s="39"/>
      <c r="L570" s="39"/>
      <c r="M570" s="39"/>
      <c r="N570" s="39"/>
      <c r="O570" s="39"/>
      <c r="P570" s="39"/>
      <c r="Q570" s="39"/>
      <c r="R570" s="39"/>
    </row>
    <row x14ac:dyDescent="0.25" r="571" customHeight="1" ht="20.1">
      <c r="A571" s="9" t="s">
        <v>732</v>
      </c>
      <c r="B571" s="9" t="s">
        <v>380</v>
      </c>
      <c r="C571" s="10">
        <v>6703184</v>
      </c>
      <c r="D571" s="24" t="s">
        <v>71</v>
      </c>
      <c r="E571" s="9" t="s">
        <v>748</v>
      </c>
      <c r="F571" s="11" t="s">
        <v>10</v>
      </c>
      <c r="G571" s="12">
        <v>3142972</v>
      </c>
      <c r="H571" s="12"/>
      <c r="I571" s="39"/>
      <c r="J571" s="12">
        <v>3142972</v>
      </c>
      <c r="K571" s="39"/>
      <c r="L571" s="39"/>
      <c r="M571" s="39"/>
      <c r="N571" s="39"/>
      <c r="O571" s="39"/>
      <c r="P571" s="39"/>
      <c r="Q571" s="39"/>
      <c r="R571" s="39"/>
    </row>
    <row x14ac:dyDescent="0.25" r="572" customHeight="1" ht="20.1">
      <c r="A572" s="9" t="s">
        <v>732</v>
      </c>
      <c r="B572" s="9" t="s">
        <v>380</v>
      </c>
      <c r="C572" s="10">
        <v>6703183</v>
      </c>
      <c r="D572" s="24" t="s">
        <v>71</v>
      </c>
      <c r="E572" s="9" t="s">
        <v>749</v>
      </c>
      <c r="F572" s="11" t="s">
        <v>10</v>
      </c>
      <c r="G572" s="12">
        <v>3101430</v>
      </c>
      <c r="H572" s="12"/>
      <c r="I572" s="39"/>
      <c r="J572" s="12">
        <v>3101430</v>
      </c>
      <c r="K572" s="39"/>
      <c r="L572" s="39"/>
      <c r="M572" s="39"/>
      <c r="N572" s="39"/>
      <c r="O572" s="39"/>
      <c r="P572" s="39"/>
      <c r="Q572" s="39"/>
      <c r="R572" s="39"/>
    </row>
    <row x14ac:dyDescent="0.25" r="573" customHeight="1" ht="20.1">
      <c r="A573" s="9" t="s">
        <v>732</v>
      </c>
      <c r="B573" s="9" t="s">
        <v>25</v>
      </c>
      <c r="C573" s="10"/>
      <c r="D573" s="9" t="s">
        <v>704</v>
      </c>
      <c r="E573" s="9" t="s">
        <v>649</v>
      </c>
      <c r="F573" s="11" t="s">
        <v>12</v>
      </c>
      <c r="G573" s="12">
        <v>34000000</v>
      </c>
      <c r="H573" s="12"/>
      <c r="I573" s="39"/>
      <c r="J573" s="39"/>
      <c r="K573" s="39"/>
      <c r="L573" s="12">
        <v>34000000</v>
      </c>
      <c r="M573" s="39"/>
      <c r="N573" s="39"/>
      <c r="O573" s="39"/>
      <c r="P573" s="39"/>
      <c r="Q573" s="39"/>
      <c r="R573" s="39"/>
    </row>
    <row x14ac:dyDescent="0.25" r="574" customHeight="1" ht="20.1">
      <c r="A574" s="9" t="s">
        <v>750</v>
      </c>
      <c r="B574" s="9" t="s">
        <v>40</v>
      </c>
      <c r="C574" s="10" t="s">
        <v>751</v>
      </c>
      <c r="D574" s="9" t="s">
        <v>75</v>
      </c>
      <c r="E574" s="9" t="s">
        <v>752</v>
      </c>
      <c r="F574" s="11" t="s">
        <v>8</v>
      </c>
      <c r="G574" s="12">
        <v>15636950</v>
      </c>
      <c r="H574" s="12">
        <v>15636950</v>
      </c>
      <c r="I574" s="39"/>
      <c r="J574" s="39"/>
      <c r="K574" s="39"/>
      <c r="L574" s="39"/>
      <c r="M574" s="39"/>
      <c r="N574" s="39"/>
      <c r="O574" s="39"/>
      <c r="P574" s="39"/>
      <c r="Q574" s="39"/>
      <c r="R574" s="39"/>
    </row>
    <row x14ac:dyDescent="0.25" r="575" customHeight="1" ht="20.1">
      <c r="A575" s="9" t="s">
        <v>750</v>
      </c>
      <c r="B575" s="9" t="s">
        <v>40</v>
      </c>
      <c r="C575" s="10">
        <v>604701</v>
      </c>
      <c r="D575" s="23" t="s">
        <v>26</v>
      </c>
      <c r="E575" s="9" t="s">
        <v>753</v>
      </c>
      <c r="F575" s="11" t="s">
        <v>8</v>
      </c>
      <c r="G575" s="12">
        <v>4655980</v>
      </c>
      <c r="H575" s="12">
        <v>4655980</v>
      </c>
      <c r="I575" s="39"/>
      <c r="J575" s="39"/>
      <c r="K575" s="39"/>
      <c r="L575" s="39"/>
      <c r="M575" s="39"/>
      <c r="N575" s="39"/>
      <c r="O575" s="39"/>
      <c r="P575" s="39"/>
      <c r="Q575" s="39"/>
      <c r="R575" s="39"/>
    </row>
    <row x14ac:dyDescent="0.25" r="576" customHeight="1" ht="20.1">
      <c r="A576" s="9" t="s">
        <v>750</v>
      </c>
      <c r="B576" s="9" t="s">
        <v>28</v>
      </c>
      <c r="C576" s="10">
        <v>849300</v>
      </c>
      <c r="D576" s="28" t="s">
        <v>226</v>
      </c>
      <c r="E576" s="9" t="s">
        <v>754</v>
      </c>
      <c r="F576" s="11" t="s">
        <v>10</v>
      </c>
      <c r="G576" s="12">
        <v>51000000</v>
      </c>
      <c r="H576" s="12"/>
      <c r="I576" s="39"/>
      <c r="J576" s="12">
        <v>51000000</v>
      </c>
      <c r="K576" s="39"/>
      <c r="L576" s="39"/>
      <c r="M576" s="39"/>
      <c r="N576" s="39"/>
      <c r="O576" s="39"/>
      <c r="P576" s="39"/>
      <c r="Q576" s="39"/>
      <c r="R576" s="39"/>
    </row>
    <row x14ac:dyDescent="0.25" r="577" customHeight="1" ht="20.1">
      <c r="A577" s="9" t="s">
        <v>750</v>
      </c>
      <c r="B577" s="9" t="s">
        <v>42</v>
      </c>
      <c r="C577" s="10">
        <v>200021</v>
      </c>
      <c r="D577" s="9" t="s">
        <v>43</v>
      </c>
      <c r="E577" s="9" t="s">
        <v>755</v>
      </c>
      <c r="F577" s="11" t="s">
        <v>17</v>
      </c>
      <c r="G577" s="12">
        <v>5000000</v>
      </c>
      <c r="H577" s="12"/>
      <c r="I577" s="39"/>
      <c r="J577" s="39"/>
      <c r="K577" s="39"/>
      <c r="L577" s="39"/>
      <c r="M577" s="39"/>
      <c r="N577" s="39"/>
      <c r="O577" s="39"/>
      <c r="P577" s="39"/>
      <c r="Q577" s="12">
        <v>5000000</v>
      </c>
      <c r="R577" s="39"/>
    </row>
    <row x14ac:dyDescent="0.25" r="578" customHeight="1" ht="20.1">
      <c r="A578" s="9" t="s">
        <v>750</v>
      </c>
      <c r="B578" s="9" t="s">
        <v>151</v>
      </c>
      <c r="C578" s="10" t="s">
        <v>756</v>
      </c>
      <c r="D578" s="9" t="s">
        <v>156</v>
      </c>
      <c r="E578" s="9" t="s">
        <v>757</v>
      </c>
      <c r="F578" s="11" t="s">
        <v>9</v>
      </c>
      <c r="G578" s="12">
        <v>246800</v>
      </c>
      <c r="H578" s="12"/>
      <c r="I578" s="12">
        <v>246800</v>
      </c>
      <c r="J578" s="39"/>
      <c r="K578" s="39"/>
      <c r="L578" s="39"/>
      <c r="M578" s="39"/>
      <c r="N578" s="39"/>
      <c r="O578" s="39"/>
      <c r="P578" s="39"/>
      <c r="Q578" s="39"/>
      <c r="R578" s="39"/>
    </row>
    <row x14ac:dyDescent="0.25" r="579" customHeight="1" ht="20.1">
      <c r="A579" s="9" t="s">
        <v>750</v>
      </c>
      <c r="B579" s="9" t="s">
        <v>485</v>
      </c>
      <c r="C579" s="10"/>
      <c r="D579" s="9" t="s">
        <v>38</v>
      </c>
      <c r="E579" s="9" t="s">
        <v>758</v>
      </c>
      <c r="F579" s="11" t="s">
        <v>9</v>
      </c>
      <c r="G579" s="12">
        <v>63000</v>
      </c>
      <c r="H579" s="12"/>
      <c r="I579" s="12">
        <v>63000</v>
      </c>
      <c r="J579" s="39"/>
      <c r="K579" s="39"/>
      <c r="L579" s="39"/>
      <c r="M579" s="39"/>
      <c r="N579" s="39"/>
      <c r="O579" s="39"/>
      <c r="P579" s="39"/>
      <c r="Q579" s="39"/>
      <c r="R579" s="39"/>
    </row>
    <row x14ac:dyDescent="0.25" r="580" customHeight="1" ht="20.1">
      <c r="A580" s="9" t="s">
        <v>750</v>
      </c>
      <c r="B580" s="9" t="s">
        <v>42</v>
      </c>
      <c r="C580" s="10" t="s">
        <v>140</v>
      </c>
      <c r="D580" s="9" t="s">
        <v>43</v>
      </c>
      <c r="E580" s="9" t="s">
        <v>759</v>
      </c>
      <c r="F580" s="11" t="s">
        <v>17</v>
      </c>
      <c r="G580" s="12">
        <v>50000</v>
      </c>
      <c r="H580" s="12"/>
      <c r="I580" s="39"/>
      <c r="J580" s="39"/>
      <c r="K580" s="39"/>
      <c r="L580" s="39"/>
      <c r="M580" s="39"/>
      <c r="N580" s="39"/>
      <c r="O580" s="39"/>
      <c r="P580" s="39"/>
      <c r="Q580" s="12">
        <v>50000</v>
      </c>
      <c r="R580" s="39"/>
    </row>
    <row x14ac:dyDescent="0.25" r="581" customHeight="1" ht="20.1">
      <c r="A581" s="9" t="s">
        <v>750</v>
      </c>
      <c r="B581" s="9" t="s">
        <v>91</v>
      </c>
      <c r="C581" s="10" t="s">
        <v>140</v>
      </c>
      <c r="D581" s="9" t="s">
        <v>93</v>
      </c>
      <c r="E581" s="9" t="s">
        <v>760</v>
      </c>
      <c r="F581" s="11" t="s">
        <v>12</v>
      </c>
      <c r="G581" s="12">
        <v>285400</v>
      </c>
      <c r="H581" s="12"/>
      <c r="I581" s="39"/>
      <c r="J581" s="39"/>
      <c r="K581" s="39"/>
      <c r="L581" s="12">
        <v>285400</v>
      </c>
      <c r="M581" s="39"/>
      <c r="N581" s="39"/>
      <c r="O581" s="39"/>
      <c r="P581" s="39"/>
      <c r="Q581" s="39"/>
      <c r="R581" s="39"/>
    </row>
    <row x14ac:dyDescent="0.25" r="582" customHeight="1" ht="20.1">
      <c r="A582" s="9" t="s">
        <v>761</v>
      </c>
      <c r="B582" s="9" t="s">
        <v>25</v>
      </c>
      <c r="C582" s="10"/>
      <c r="D582" s="9" t="s">
        <v>26</v>
      </c>
      <c r="E582" s="9" t="s">
        <v>762</v>
      </c>
      <c r="F582" s="11" t="s">
        <v>8</v>
      </c>
      <c r="G582" s="12">
        <v>27643000</v>
      </c>
      <c r="H582" s="12">
        <v>27643000</v>
      </c>
      <c r="I582" s="39"/>
      <c r="J582" s="39"/>
      <c r="K582" s="39"/>
      <c r="L582" s="39"/>
      <c r="M582" s="39"/>
      <c r="N582" s="39"/>
      <c r="O582" s="39"/>
      <c r="P582" s="39"/>
      <c r="Q582" s="39"/>
      <c r="R582" s="39"/>
    </row>
    <row x14ac:dyDescent="0.25" r="583" customHeight="1" ht="20.1">
      <c r="A583" s="9" t="s">
        <v>763</v>
      </c>
      <c r="B583" s="9" t="s">
        <v>25</v>
      </c>
      <c r="C583" s="10"/>
      <c r="D583" s="9" t="s">
        <v>26</v>
      </c>
      <c r="E583" s="9" t="s">
        <v>764</v>
      </c>
      <c r="F583" s="11" t="s">
        <v>8</v>
      </c>
      <c r="G583" s="12">
        <v>2585300</v>
      </c>
      <c r="H583" s="12">
        <v>2585300</v>
      </c>
      <c r="I583" s="39"/>
      <c r="J583" s="39"/>
      <c r="K583" s="39"/>
      <c r="L583" s="39"/>
      <c r="M583" s="39"/>
      <c r="N583" s="39"/>
      <c r="O583" s="39"/>
      <c r="P583" s="39"/>
      <c r="Q583" s="39"/>
      <c r="R583" s="39"/>
    </row>
    <row x14ac:dyDescent="0.25" r="584" customHeight="1" ht="20.1">
      <c r="A584" s="9" t="s">
        <v>763</v>
      </c>
      <c r="B584" s="9" t="s">
        <v>25</v>
      </c>
      <c r="C584" s="10"/>
      <c r="D584" s="9" t="s">
        <v>704</v>
      </c>
      <c r="E584" s="9" t="s">
        <v>747</v>
      </c>
      <c r="F584" s="11" t="s">
        <v>9</v>
      </c>
      <c r="G584" s="12">
        <v>45000000</v>
      </c>
      <c r="H584" s="12"/>
      <c r="I584" s="12">
        <v>45000000</v>
      </c>
      <c r="J584" s="39"/>
      <c r="K584" s="39"/>
      <c r="L584" s="39"/>
      <c r="M584" s="39"/>
      <c r="N584" s="39"/>
      <c r="O584" s="39"/>
      <c r="P584" s="39"/>
      <c r="Q584" s="39"/>
      <c r="R584" s="39"/>
    </row>
    <row x14ac:dyDescent="0.25" r="585" customHeight="1" ht="20.1">
      <c r="A585" s="9" t="s">
        <v>763</v>
      </c>
      <c r="B585" s="9" t="s">
        <v>20</v>
      </c>
      <c r="C585" s="10">
        <v>200210</v>
      </c>
      <c r="D585" s="9" t="s">
        <v>156</v>
      </c>
      <c r="E585" s="9" t="s">
        <v>765</v>
      </c>
      <c r="F585" s="11" t="s">
        <v>9</v>
      </c>
      <c r="G585" s="12">
        <v>643500</v>
      </c>
      <c r="H585" s="12"/>
      <c r="I585" s="12">
        <v>643500</v>
      </c>
      <c r="J585" s="39"/>
      <c r="K585" s="39"/>
      <c r="L585" s="39"/>
      <c r="M585" s="39"/>
      <c r="N585" s="39"/>
      <c r="O585" s="39"/>
      <c r="P585" s="39"/>
      <c r="Q585" s="39"/>
      <c r="R585" s="39"/>
    </row>
    <row x14ac:dyDescent="0.25" r="586" customHeight="1" ht="20.1">
      <c r="A586" s="9" t="s">
        <v>763</v>
      </c>
      <c r="B586" s="9" t="s">
        <v>25</v>
      </c>
      <c r="C586" s="10"/>
      <c r="D586" s="9" t="s">
        <v>704</v>
      </c>
      <c r="E586" s="9" t="s">
        <v>766</v>
      </c>
      <c r="F586" s="11" t="s">
        <v>9</v>
      </c>
      <c r="G586" s="12">
        <v>55000000</v>
      </c>
      <c r="H586" s="12"/>
      <c r="I586" s="12">
        <v>55000000</v>
      </c>
      <c r="J586" s="39"/>
      <c r="K586" s="39"/>
      <c r="L586" s="39"/>
      <c r="M586" s="39"/>
      <c r="N586" s="39"/>
      <c r="O586" s="39"/>
      <c r="P586" s="39"/>
      <c r="Q586" s="39"/>
      <c r="R586" s="39"/>
    </row>
    <row x14ac:dyDescent="0.25" r="587" customHeight="1" ht="20.1">
      <c r="A587" s="9" t="s">
        <v>763</v>
      </c>
      <c r="B587" s="9" t="s">
        <v>28</v>
      </c>
      <c r="C587" s="10">
        <v>849301</v>
      </c>
      <c r="D587" s="9" t="s">
        <v>26</v>
      </c>
      <c r="E587" s="9" t="s">
        <v>767</v>
      </c>
      <c r="F587" s="11" t="s">
        <v>10</v>
      </c>
      <c r="G587" s="12">
        <v>76403250</v>
      </c>
      <c r="H587" s="12"/>
      <c r="I587" s="39"/>
      <c r="J587" s="12">
        <v>76403250</v>
      </c>
      <c r="K587" s="39"/>
      <c r="L587" s="39"/>
      <c r="M587" s="39"/>
      <c r="N587" s="39"/>
      <c r="O587" s="39"/>
      <c r="P587" s="39"/>
      <c r="Q587" s="39"/>
      <c r="R587" s="39"/>
    </row>
    <row x14ac:dyDescent="0.25" r="588" customHeight="1" ht="20.1">
      <c r="A588" s="9" t="s">
        <v>763</v>
      </c>
      <c r="B588" s="9" t="s">
        <v>51</v>
      </c>
      <c r="C588" s="10" t="s">
        <v>768</v>
      </c>
      <c r="D588" s="9" t="s">
        <v>26</v>
      </c>
      <c r="E588" s="9" t="s">
        <v>767</v>
      </c>
      <c r="F588" s="11" t="s">
        <v>10</v>
      </c>
      <c r="G588" s="12">
        <v>76403250</v>
      </c>
      <c r="H588" s="12"/>
      <c r="I588" s="39"/>
      <c r="J588" s="12">
        <v>76403250</v>
      </c>
      <c r="K588" s="39"/>
      <c r="L588" s="39"/>
      <c r="M588" s="39"/>
      <c r="N588" s="39"/>
      <c r="O588" s="39"/>
      <c r="P588" s="39"/>
      <c r="Q588" s="39"/>
      <c r="R588" s="39"/>
    </row>
    <row x14ac:dyDescent="0.25" r="589" customHeight="1" ht="20.1">
      <c r="A589" s="9" t="s">
        <v>763</v>
      </c>
      <c r="B589" s="9" t="s">
        <v>25</v>
      </c>
      <c r="C589" s="10"/>
      <c r="D589" s="9" t="s">
        <v>30</v>
      </c>
      <c r="E589" s="9" t="s">
        <v>769</v>
      </c>
      <c r="F589" s="11" t="s">
        <v>9</v>
      </c>
      <c r="G589" s="12">
        <f>8390*2050</f>
      </c>
      <c r="H589" s="12"/>
      <c r="I589" s="12">
        <f>8390*2050</f>
      </c>
      <c r="J589" s="39"/>
      <c r="K589" s="39"/>
      <c r="L589" s="39"/>
      <c r="M589" s="39"/>
      <c r="N589" s="39"/>
      <c r="O589" s="39"/>
      <c r="P589" s="39"/>
      <c r="Q589" s="39"/>
      <c r="R589" s="39"/>
    </row>
    <row x14ac:dyDescent="0.25" r="590" customHeight="1" ht="20.1">
      <c r="A590" s="9" t="s">
        <v>763</v>
      </c>
      <c r="B590" s="9" t="s">
        <v>25</v>
      </c>
      <c r="C590" s="10"/>
      <c r="D590" s="9" t="s">
        <v>26</v>
      </c>
      <c r="E590" s="9" t="s">
        <v>770</v>
      </c>
      <c r="F590" s="11" t="s">
        <v>10</v>
      </c>
      <c r="G590" s="12">
        <v>8414700</v>
      </c>
      <c r="H590" s="12"/>
      <c r="I590" s="39"/>
      <c r="J590" s="12">
        <v>8414700</v>
      </c>
      <c r="K590" s="39"/>
      <c r="L590" s="39"/>
      <c r="M590" s="39"/>
      <c r="N590" s="39"/>
      <c r="O590" s="39"/>
      <c r="P590" s="39"/>
      <c r="Q590" s="39"/>
      <c r="R590" s="39"/>
    </row>
    <row x14ac:dyDescent="0.25" r="591" customHeight="1" ht="20.1">
      <c r="A591" s="9" t="s">
        <v>771</v>
      </c>
      <c r="B591" s="9" t="s">
        <v>25</v>
      </c>
      <c r="C591" s="10"/>
      <c r="D591" s="9" t="s">
        <v>26</v>
      </c>
      <c r="E591" s="9" t="s">
        <v>772</v>
      </c>
      <c r="F591" s="11" t="s">
        <v>10</v>
      </c>
      <c r="G591" s="12">
        <v>15000000</v>
      </c>
      <c r="H591" s="12"/>
      <c r="I591" s="39"/>
      <c r="J591" s="12">
        <v>15000000</v>
      </c>
      <c r="K591" s="39"/>
      <c r="L591" s="39"/>
      <c r="M591" s="39"/>
      <c r="N591" s="39"/>
      <c r="O591" s="39"/>
      <c r="P591" s="39"/>
      <c r="Q591" s="39"/>
      <c r="R591" s="39"/>
    </row>
    <row x14ac:dyDescent="0.25" r="592" customHeight="1" ht="20.1">
      <c r="A592" s="9" t="s">
        <v>771</v>
      </c>
      <c r="B592" s="9" t="s">
        <v>42</v>
      </c>
      <c r="C592" s="10">
        <v>200023</v>
      </c>
      <c r="D592" s="9" t="s">
        <v>43</v>
      </c>
      <c r="E592" s="9" t="s">
        <v>773</v>
      </c>
      <c r="F592" s="11" t="s">
        <v>17</v>
      </c>
      <c r="G592" s="12">
        <v>3969000</v>
      </c>
      <c r="H592" s="12"/>
      <c r="I592" s="39"/>
      <c r="J592" s="39"/>
      <c r="K592" s="39"/>
      <c r="L592" s="39"/>
      <c r="M592" s="39"/>
      <c r="N592" s="39"/>
      <c r="O592" s="39"/>
      <c r="P592" s="39"/>
      <c r="Q592" s="12">
        <v>3969000</v>
      </c>
      <c r="R592" s="39"/>
    </row>
    <row x14ac:dyDescent="0.25" r="593" customHeight="1" ht="20.1">
      <c r="A593" s="9" t="s">
        <v>771</v>
      </c>
      <c r="B593" s="9" t="s">
        <v>42</v>
      </c>
      <c r="C593" s="10">
        <v>200022</v>
      </c>
      <c r="D593" s="9" t="s">
        <v>43</v>
      </c>
      <c r="E593" s="9" t="s">
        <v>774</v>
      </c>
      <c r="F593" s="11" t="s">
        <v>17</v>
      </c>
      <c r="G593" s="12">
        <v>600000</v>
      </c>
      <c r="H593" s="12"/>
      <c r="I593" s="39"/>
      <c r="J593" s="39"/>
      <c r="K593" s="39"/>
      <c r="L593" s="39"/>
      <c r="M593" s="39"/>
      <c r="N593" s="39"/>
      <c r="O593" s="39"/>
      <c r="P593" s="39"/>
      <c r="Q593" s="12">
        <v>600000</v>
      </c>
      <c r="R593" s="39"/>
    </row>
    <row x14ac:dyDescent="0.25" r="594" customHeight="1" ht="20.1">
      <c r="A594" s="9" t="s">
        <v>771</v>
      </c>
      <c r="B594" s="9" t="s">
        <v>20</v>
      </c>
      <c r="C594" s="10">
        <v>200211</v>
      </c>
      <c r="D594" s="9" t="s">
        <v>75</v>
      </c>
      <c r="E594" s="9" t="s">
        <v>775</v>
      </c>
      <c r="F594" s="11" t="s">
        <v>8</v>
      </c>
      <c r="G594" s="12">
        <v>5683335</v>
      </c>
      <c r="H594" s="12">
        <v>5683335</v>
      </c>
      <c r="I594" s="39"/>
      <c r="J594" s="39"/>
      <c r="K594" s="39"/>
      <c r="L594" s="39"/>
      <c r="M594" s="39"/>
      <c r="N594" s="39"/>
      <c r="O594" s="39"/>
      <c r="P594" s="39"/>
      <c r="Q594" s="39"/>
      <c r="R594" s="39"/>
    </row>
    <row x14ac:dyDescent="0.25" r="595" customHeight="1" ht="20.1">
      <c r="A595" s="9" t="s">
        <v>771</v>
      </c>
      <c r="B595" s="9" t="s">
        <v>20</v>
      </c>
      <c r="C595" s="10">
        <v>200211</v>
      </c>
      <c r="D595" s="9" t="s">
        <v>73</v>
      </c>
      <c r="E595" s="9" t="s">
        <v>775</v>
      </c>
      <c r="F595" s="11" t="s">
        <v>10</v>
      </c>
      <c r="G595" s="12">
        <v>13778850</v>
      </c>
      <c r="H595" s="12"/>
      <c r="I595" s="39"/>
      <c r="J595" s="12">
        <v>13778850</v>
      </c>
      <c r="K595" s="39"/>
      <c r="L595" s="39"/>
      <c r="M595" s="39"/>
      <c r="N595" s="39"/>
      <c r="O595" s="39"/>
      <c r="P595" s="39"/>
      <c r="Q595" s="39"/>
      <c r="R595" s="39"/>
    </row>
    <row x14ac:dyDescent="0.25" r="596" customHeight="1" ht="20.1">
      <c r="A596" s="9" t="s">
        <v>771</v>
      </c>
      <c r="B596" s="9" t="s">
        <v>40</v>
      </c>
      <c r="C596" s="10">
        <v>604703</v>
      </c>
      <c r="D596" s="9" t="s">
        <v>75</v>
      </c>
      <c r="E596" s="9" t="s">
        <v>775</v>
      </c>
      <c r="F596" s="11" t="s">
        <v>8</v>
      </c>
      <c r="G596" s="12">
        <v>22400000</v>
      </c>
      <c r="H596" s="12">
        <v>22400000</v>
      </c>
      <c r="I596" s="39"/>
      <c r="J596" s="39"/>
      <c r="K596" s="39"/>
      <c r="L596" s="39"/>
      <c r="M596" s="39"/>
      <c r="N596" s="39"/>
      <c r="O596" s="39"/>
      <c r="P596" s="39"/>
      <c r="Q596" s="39"/>
      <c r="R596" s="39"/>
    </row>
    <row x14ac:dyDescent="0.25" r="597" customHeight="1" ht="20.1">
      <c r="A597" s="9" t="s">
        <v>771</v>
      </c>
      <c r="B597" s="9" t="s">
        <v>485</v>
      </c>
      <c r="C597" s="10"/>
      <c r="D597" s="9" t="s">
        <v>486</v>
      </c>
      <c r="E597" s="9" t="s">
        <v>776</v>
      </c>
      <c r="F597" s="11" t="s">
        <v>13</v>
      </c>
      <c r="G597" s="12">
        <v>43000</v>
      </c>
      <c r="H597" s="12"/>
      <c r="I597" s="39"/>
      <c r="J597" s="39"/>
      <c r="K597" s="39"/>
      <c r="L597" s="39"/>
      <c r="M597" s="12">
        <v>43000</v>
      </c>
      <c r="N597" s="39"/>
      <c r="O597" s="39"/>
      <c r="P597" s="39"/>
      <c r="Q597" s="39"/>
      <c r="R597" s="39"/>
    </row>
    <row x14ac:dyDescent="0.25" r="598" customHeight="1" ht="20.1">
      <c r="A598" s="9" t="s">
        <v>771</v>
      </c>
      <c r="B598" s="9" t="s">
        <v>25</v>
      </c>
      <c r="C598" s="10"/>
      <c r="D598" s="28" t="s">
        <v>226</v>
      </c>
      <c r="E598" s="9" t="s">
        <v>777</v>
      </c>
      <c r="F598" s="11" t="s">
        <v>10</v>
      </c>
      <c r="G598" s="12">
        <v>13426000</v>
      </c>
      <c r="H598" s="12"/>
      <c r="I598" s="39"/>
      <c r="J598" s="12">
        <v>13426000</v>
      </c>
      <c r="K598" s="39"/>
      <c r="L598" s="39"/>
      <c r="M598" s="39"/>
      <c r="N598" s="39"/>
      <c r="O598" s="39"/>
      <c r="P598" s="39"/>
      <c r="Q598" s="39"/>
      <c r="R598" s="39"/>
    </row>
    <row x14ac:dyDescent="0.25" r="599" customHeight="1" ht="20.1">
      <c r="A599" s="9" t="s">
        <v>771</v>
      </c>
      <c r="B599" s="9" t="s">
        <v>28</v>
      </c>
      <c r="C599" s="10">
        <v>849302</v>
      </c>
      <c r="D599" s="28" t="s">
        <v>226</v>
      </c>
      <c r="E599" s="9" t="s">
        <v>778</v>
      </c>
      <c r="F599" s="11" t="s">
        <v>10</v>
      </c>
      <c r="G599" s="12">
        <v>30000000</v>
      </c>
      <c r="H599" s="12"/>
      <c r="I599" s="39"/>
      <c r="J599" s="12">
        <v>30000000</v>
      </c>
      <c r="K599" s="39"/>
      <c r="L599" s="39"/>
      <c r="M599" s="39"/>
      <c r="N599" s="39"/>
      <c r="O599" s="39"/>
      <c r="P599" s="39"/>
      <c r="Q599" s="39"/>
      <c r="R599" s="39"/>
    </row>
    <row x14ac:dyDescent="0.25" r="600" customHeight="1" ht="20.1">
      <c r="A600" s="9" t="s">
        <v>771</v>
      </c>
      <c r="B600" s="9" t="s">
        <v>42</v>
      </c>
      <c r="C600" s="10">
        <v>20000097</v>
      </c>
      <c r="D600" s="9" t="s">
        <v>153</v>
      </c>
      <c r="E600" s="9" t="s">
        <v>779</v>
      </c>
      <c r="F600" s="11" t="s">
        <v>9</v>
      </c>
      <c r="G600" s="12">
        <v>2000000</v>
      </c>
      <c r="H600" s="12"/>
      <c r="I600" s="12">
        <v>2000000</v>
      </c>
      <c r="J600" s="39"/>
      <c r="K600" s="39"/>
      <c r="L600" s="39"/>
      <c r="M600" s="39"/>
      <c r="N600" s="39"/>
      <c r="O600" s="39"/>
      <c r="P600" s="39"/>
      <c r="Q600" s="39"/>
      <c r="R600" s="39"/>
    </row>
    <row x14ac:dyDescent="0.25" r="601" customHeight="1" ht="20.1">
      <c r="A601" s="9" t="s">
        <v>771</v>
      </c>
      <c r="B601" s="9" t="s">
        <v>20</v>
      </c>
      <c r="C601" s="10">
        <v>200234</v>
      </c>
      <c r="D601" s="9" t="s">
        <v>21</v>
      </c>
      <c r="E601" s="9" t="s">
        <v>780</v>
      </c>
      <c r="F601" s="11" t="s">
        <v>9</v>
      </c>
      <c r="G601" s="12">
        <v>7761089</v>
      </c>
      <c r="H601" s="12"/>
      <c r="I601" s="12">
        <v>7761089</v>
      </c>
      <c r="J601" s="39"/>
      <c r="K601" s="39"/>
      <c r="L601" s="39"/>
      <c r="M601" s="39"/>
      <c r="N601" s="39"/>
      <c r="O601" s="39"/>
      <c r="P601" s="39"/>
      <c r="Q601" s="39"/>
      <c r="R601" s="39"/>
    </row>
    <row x14ac:dyDescent="0.25" r="602" customHeight="1" ht="20.1">
      <c r="A602" s="9" t="s">
        <v>771</v>
      </c>
      <c r="B602" s="9" t="s">
        <v>20</v>
      </c>
      <c r="C602" s="10">
        <v>200213</v>
      </c>
      <c r="D602" s="9" t="s">
        <v>23</v>
      </c>
      <c r="E602" s="9" t="s">
        <v>781</v>
      </c>
      <c r="F602" s="11" t="s">
        <v>9</v>
      </c>
      <c r="G602" s="12">
        <v>400000</v>
      </c>
      <c r="H602" s="12"/>
      <c r="I602" s="12">
        <v>400000</v>
      </c>
      <c r="J602" s="39"/>
      <c r="K602" s="39"/>
      <c r="L602" s="39"/>
      <c r="M602" s="39"/>
      <c r="N602" s="39"/>
      <c r="O602" s="39"/>
      <c r="P602" s="39"/>
      <c r="Q602" s="39"/>
      <c r="R602" s="39"/>
    </row>
    <row x14ac:dyDescent="0.25" r="603" customHeight="1" ht="20.1">
      <c r="A603" s="9" t="s">
        <v>771</v>
      </c>
      <c r="B603" s="9" t="s">
        <v>358</v>
      </c>
      <c r="C603" s="10">
        <v>857052</v>
      </c>
      <c r="D603" s="9" t="s">
        <v>43</v>
      </c>
      <c r="E603" s="9" t="s">
        <v>782</v>
      </c>
      <c r="F603" s="11" t="s">
        <v>17</v>
      </c>
      <c r="G603" s="12">
        <v>693400</v>
      </c>
      <c r="H603" s="12"/>
      <c r="I603" s="39"/>
      <c r="J603" s="39"/>
      <c r="K603" s="39"/>
      <c r="L603" s="39"/>
      <c r="M603" s="39"/>
      <c r="N603" s="39"/>
      <c r="O603" s="39"/>
      <c r="P603" s="39"/>
      <c r="Q603" s="12">
        <v>693400</v>
      </c>
      <c r="R603" s="39"/>
    </row>
    <row x14ac:dyDescent="0.25" r="604" customHeight="1" ht="20.1">
      <c r="A604" s="9" t="s">
        <v>771</v>
      </c>
      <c r="B604" s="9" t="s">
        <v>358</v>
      </c>
      <c r="C604" s="10">
        <v>857052</v>
      </c>
      <c r="D604" s="9" t="s">
        <v>93</v>
      </c>
      <c r="E604" s="9" t="s">
        <v>783</v>
      </c>
      <c r="F604" s="11" t="s">
        <v>12</v>
      </c>
      <c r="G604" s="12">
        <v>2306600</v>
      </c>
      <c r="H604" s="12"/>
      <c r="I604" s="39"/>
      <c r="J604" s="39"/>
      <c r="K604" s="39"/>
      <c r="L604" s="12">
        <v>2306600</v>
      </c>
      <c r="M604" s="39"/>
      <c r="N604" s="39"/>
      <c r="O604" s="39"/>
      <c r="P604" s="39"/>
      <c r="Q604" s="39"/>
      <c r="R604" s="39"/>
    </row>
    <row x14ac:dyDescent="0.25" r="605" customHeight="1" ht="20.1">
      <c r="A605" s="9" t="s">
        <v>784</v>
      </c>
      <c r="B605" s="9" t="s">
        <v>20</v>
      </c>
      <c r="C605" s="10">
        <v>200214</v>
      </c>
      <c r="D605" s="9" t="s">
        <v>38</v>
      </c>
      <c r="E605" s="9" t="s">
        <v>785</v>
      </c>
      <c r="F605" s="11" t="s">
        <v>8</v>
      </c>
      <c r="G605" s="12">
        <v>287500</v>
      </c>
      <c r="H605" s="12">
        <v>287500</v>
      </c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x14ac:dyDescent="0.25" r="606" customHeight="1" ht="20.1">
      <c r="A606" s="9" t="s">
        <v>784</v>
      </c>
      <c r="B606" s="9" t="s">
        <v>20</v>
      </c>
      <c r="C606" s="10">
        <v>200214</v>
      </c>
      <c r="D606" s="9" t="s">
        <v>786</v>
      </c>
      <c r="E606" s="9" t="s">
        <v>785</v>
      </c>
      <c r="F606" s="11" t="s">
        <v>10</v>
      </c>
      <c r="G606" s="12">
        <v>287500</v>
      </c>
      <c r="H606" s="12"/>
      <c r="I606" s="39"/>
      <c r="J606" s="12">
        <v>287500</v>
      </c>
      <c r="K606" s="39"/>
      <c r="L606" s="39"/>
      <c r="M606" s="39"/>
      <c r="N606" s="39"/>
      <c r="O606" s="39"/>
      <c r="P606" s="39"/>
      <c r="Q606" s="39"/>
      <c r="R606" s="39"/>
    </row>
    <row x14ac:dyDescent="0.25" r="607" customHeight="1" ht="20.1">
      <c r="A607" s="9" t="s">
        <v>784</v>
      </c>
      <c r="B607" s="9" t="s">
        <v>20</v>
      </c>
      <c r="C607" s="10">
        <v>200215</v>
      </c>
      <c r="D607" s="9" t="s">
        <v>712</v>
      </c>
      <c r="E607" s="9" t="s">
        <v>787</v>
      </c>
      <c r="F607" s="11" t="s">
        <v>10</v>
      </c>
      <c r="G607" s="12">
        <v>3340000</v>
      </c>
      <c r="H607" s="12"/>
      <c r="I607" s="39"/>
      <c r="J607" s="12">
        <v>3340000</v>
      </c>
      <c r="K607" s="39"/>
      <c r="L607" s="39"/>
      <c r="M607" s="39"/>
      <c r="N607" s="39"/>
      <c r="O607" s="39"/>
      <c r="P607" s="39"/>
      <c r="Q607" s="39"/>
      <c r="R607" s="39"/>
    </row>
    <row x14ac:dyDescent="0.25" r="608" customHeight="1" ht="20.1">
      <c r="A608" s="9" t="s">
        <v>784</v>
      </c>
      <c r="B608" s="9" t="s">
        <v>151</v>
      </c>
      <c r="C608" s="10" t="s">
        <v>788</v>
      </c>
      <c r="D608" s="9" t="s">
        <v>722</v>
      </c>
      <c r="E608" s="9" t="s">
        <v>789</v>
      </c>
      <c r="F608" s="11" t="s">
        <v>9</v>
      </c>
      <c r="G608" s="12">
        <v>100000000</v>
      </c>
      <c r="H608" s="12"/>
      <c r="I608" s="12">
        <v>100000000</v>
      </c>
      <c r="J608" s="39"/>
      <c r="K608" s="39"/>
      <c r="L608" s="39"/>
      <c r="M608" s="39"/>
      <c r="N608" s="39"/>
      <c r="O608" s="39"/>
      <c r="P608" s="39"/>
      <c r="Q608" s="39"/>
      <c r="R608" s="39"/>
    </row>
    <row x14ac:dyDescent="0.25" r="609" customHeight="1" ht="20.1">
      <c r="A609" s="9" t="s">
        <v>790</v>
      </c>
      <c r="B609" s="9" t="s">
        <v>20</v>
      </c>
      <c r="C609" s="10">
        <v>200235</v>
      </c>
      <c r="D609" s="9" t="s">
        <v>21</v>
      </c>
      <c r="E609" s="9" t="s">
        <v>791</v>
      </c>
      <c r="F609" s="11" t="s">
        <v>9</v>
      </c>
      <c r="G609" s="12">
        <v>2574075</v>
      </c>
      <c r="H609" s="12"/>
      <c r="I609" s="12">
        <v>2574075</v>
      </c>
      <c r="J609" s="39"/>
      <c r="K609" s="39"/>
      <c r="L609" s="39"/>
      <c r="M609" s="39"/>
      <c r="N609" s="39"/>
      <c r="O609" s="39"/>
      <c r="P609" s="39"/>
      <c r="Q609" s="39"/>
      <c r="R609" s="39"/>
    </row>
    <row x14ac:dyDescent="0.25" r="610" customHeight="1" ht="20.1">
      <c r="A610" s="9" t="s">
        <v>790</v>
      </c>
      <c r="B610" s="9" t="s">
        <v>20</v>
      </c>
      <c r="C610" s="10">
        <v>200216</v>
      </c>
      <c r="D610" s="9" t="s">
        <v>556</v>
      </c>
      <c r="E610" s="9" t="s">
        <v>792</v>
      </c>
      <c r="F610" s="11" t="s">
        <v>9</v>
      </c>
      <c r="G610" s="12">
        <v>1324200</v>
      </c>
      <c r="H610" s="12"/>
      <c r="I610" s="12">
        <v>1324200</v>
      </c>
      <c r="J610" s="39"/>
      <c r="K610" s="39"/>
      <c r="L610" s="39"/>
      <c r="M610" s="39"/>
      <c r="N610" s="39"/>
      <c r="O610" s="39"/>
      <c r="P610" s="39"/>
      <c r="Q610" s="39"/>
      <c r="R610" s="39"/>
    </row>
    <row x14ac:dyDescent="0.25" r="611" customHeight="1" ht="20.1">
      <c r="A611" s="9" t="s">
        <v>790</v>
      </c>
      <c r="B611" s="9" t="s">
        <v>20</v>
      </c>
      <c r="C611" s="10">
        <v>200190</v>
      </c>
      <c r="D611" s="9" t="s">
        <v>23</v>
      </c>
      <c r="E611" s="9" t="s">
        <v>793</v>
      </c>
      <c r="F611" s="11" t="s">
        <v>9</v>
      </c>
      <c r="G611" s="12">
        <v>400000</v>
      </c>
      <c r="H611" s="12"/>
      <c r="I611" s="12">
        <v>400000</v>
      </c>
      <c r="J611" s="39"/>
      <c r="K611" s="39"/>
      <c r="L611" s="39"/>
      <c r="M611" s="39"/>
      <c r="N611" s="39"/>
      <c r="O611" s="39"/>
      <c r="P611" s="39"/>
      <c r="Q611" s="39"/>
      <c r="R611" s="39"/>
    </row>
    <row x14ac:dyDescent="0.25" r="612" customHeight="1" ht="20.1">
      <c r="A612" s="9" t="s">
        <v>790</v>
      </c>
      <c r="B612" s="9" t="s">
        <v>20</v>
      </c>
      <c r="C612" s="10">
        <v>200190</v>
      </c>
      <c r="D612" s="9" t="s">
        <v>23</v>
      </c>
      <c r="E612" s="9" t="s">
        <v>794</v>
      </c>
      <c r="F612" s="11" t="s">
        <v>12</v>
      </c>
      <c r="G612" s="12">
        <v>200000</v>
      </c>
      <c r="H612" s="12"/>
      <c r="I612" s="39"/>
      <c r="J612" s="39"/>
      <c r="K612" s="39"/>
      <c r="L612" s="12">
        <v>200000</v>
      </c>
      <c r="M612" s="39"/>
      <c r="N612" s="39"/>
      <c r="O612" s="39"/>
      <c r="P612" s="39"/>
      <c r="Q612" s="39"/>
      <c r="R612" s="39"/>
    </row>
    <row x14ac:dyDescent="0.25" r="613" customHeight="1" ht="20.1">
      <c r="A613" s="9" t="s">
        <v>790</v>
      </c>
      <c r="B613" s="9" t="s">
        <v>42</v>
      </c>
      <c r="C613" s="10">
        <v>200024</v>
      </c>
      <c r="D613" s="9" t="s">
        <v>43</v>
      </c>
      <c r="E613" s="9" t="s">
        <v>795</v>
      </c>
      <c r="F613" s="11" t="s">
        <v>17</v>
      </c>
      <c r="G613" s="12">
        <v>1364400</v>
      </c>
      <c r="H613" s="12"/>
      <c r="I613" s="39"/>
      <c r="J613" s="39"/>
      <c r="K613" s="39"/>
      <c r="L613" s="39"/>
      <c r="M613" s="39"/>
      <c r="N613" s="39"/>
      <c r="O613" s="39"/>
      <c r="P613" s="39"/>
      <c r="Q613" s="12">
        <v>1364400</v>
      </c>
      <c r="R613" s="39"/>
    </row>
    <row x14ac:dyDescent="0.25" r="614" customHeight="1" ht="20.1">
      <c r="A614" s="9" t="s">
        <v>790</v>
      </c>
      <c r="B614" s="9" t="s">
        <v>20</v>
      </c>
      <c r="C614" s="10">
        <v>200236</v>
      </c>
      <c r="D614" s="9" t="s">
        <v>21</v>
      </c>
      <c r="E614" s="9" t="s">
        <v>796</v>
      </c>
      <c r="F614" s="11" t="s">
        <v>12</v>
      </c>
      <c r="G614" s="12">
        <v>7963264</v>
      </c>
      <c r="H614" s="10"/>
      <c r="I614" s="39"/>
      <c r="J614" s="39"/>
      <c r="K614" s="39"/>
      <c r="L614" s="12">
        <v>7963264</v>
      </c>
      <c r="M614" s="39"/>
      <c r="N614" s="39"/>
      <c r="O614" s="39"/>
      <c r="P614" s="39"/>
      <c r="Q614" s="39"/>
      <c r="R614" s="39"/>
    </row>
    <row x14ac:dyDescent="0.25" r="615" customHeight="1" ht="20.1">
      <c r="A615" s="9" t="s">
        <v>790</v>
      </c>
      <c r="B615" s="9" t="s">
        <v>20</v>
      </c>
      <c r="C615" s="10">
        <v>200217</v>
      </c>
      <c r="D615" s="9" t="s">
        <v>328</v>
      </c>
      <c r="E615" s="9" t="s">
        <v>797</v>
      </c>
      <c r="F615" s="11" t="s">
        <v>13</v>
      </c>
      <c r="G615" s="12">
        <v>7307500</v>
      </c>
      <c r="H615" s="12"/>
      <c r="I615" s="39"/>
      <c r="J615" s="39"/>
      <c r="K615" s="39"/>
      <c r="L615" s="39"/>
      <c r="M615" s="12">
        <v>7307500</v>
      </c>
      <c r="N615" s="39"/>
      <c r="O615" s="39"/>
      <c r="P615" s="39"/>
      <c r="Q615" s="39"/>
      <c r="R615" s="39"/>
    </row>
    <row x14ac:dyDescent="0.25" r="616" customHeight="1" ht="20.1">
      <c r="A616" s="9" t="s">
        <v>790</v>
      </c>
      <c r="B616" s="9" t="s">
        <v>25</v>
      </c>
      <c r="C616" s="10"/>
      <c r="D616" s="23" t="s">
        <v>63</v>
      </c>
      <c r="E616" s="9" t="s">
        <v>798</v>
      </c>
      <c r="F616" s="11" t="s">
        <v>8</v>
      </c>
      <c r="G616" s="12">
        <v>71099800</v>
      </c>
      <c r="H616" s="12">
        <v>71099800</v>
      </c>
      <c r="I616" s="39"/>
      <c r="J616" s="39"/>
      <c r="K616" s="39"/>
      <c r="L616" s="39"/>
      <c r="M616" s="39"/>
      <c r="N616" s="39"/>
      <c r="O616" s="39"/>
      <c r="P616" s="39"/>
      <c r="Q616" s="39"/>
      <c r="R616" s="39"/>
    </row>
    <row x14ac:dyDescent="0.25" r="617" customHeight="1" ht="20.1">
      <c r="A617" s="9" t="s">
        <v>790</v>
      </c>
      <c r="B617" s="9" t="s">
        <v>25</v>
      </c>
      <c r="C617" s="10"/>
      <c r="D617" s="9" t="s">
        <v>310</v>
      </c>
      <c r="E617" s="16" t="s">
        <v>799</v>
      </c>
      <c r="F617" s="11" t="s">
        <v>8</v>
      </c>
      <c r="G617" s="12">
        <v>105900200</v>
      </c>
      <c r="H617" s="12">
        <v>105900200</v>
      </c>
      <c r="I617" s="41"/>
      <c r="J617" s="39"/>
      <c r="K617" s="39"/>
      <c r="L617" s="39"/>
      <c r="M617" s="39"/>
      <c r="N617" s="39"/>
      <c r="O617" s="39"/>
      <c r="P617" s="39"/>
      <c r="Q617" s="39"/>
      <c r="R617" s="39"/>
    </row>
    <row x14ac:dyDescent="0.25" r="618" customHeight="1" ht="20.1">
      <c r="A618" s="9" t="s">
        <v>790</v>
      </c>
      <c r="B618" s="9" t="s">
        <v>25</v>
      </c>
      <c r="C618" s="10"/>
      <c r="D618" s="9" t="s">
        <v>38</v>
      </c>
      <c r="E618" s="9" t="s">
        <v>560</v>
      </c>
      <c r="F618" s="11" t="s">
        <v>9</v>
      </c>
      <c r="G618" s="12">
        <f>105420898-9980800</f>
      </c>
      <c r="H618" s="12"/>
      <c r="I618" s="12">
        <v>95440098</v>
      </c>
      <c r="J618" s="39"/>
      <c r="K618" s="39"/>
      <c r="L618" s="39"/>
      <c r="M618" s="39"/>
      <c r="N618" s="39"/>
      <c r="O618" s="39"/>
      <c r="P618" s="39"/>
      <c r="Q618" s="39"/>
      <c r="R618" s="39"/>
    </row>
    <row x14ac:dyDescent="0.25" r="619" customHeight="1" ht="20.1">
      <c r="A619" s="9" t="s">
        <v>790</v>
      </c>
      <c r="B619" s="9" t="s">
        <v>25</v>
      </c>
      <c r="C619" s="10"/>
      <c r="D619" s="9" t="s">
        <v>312</v>
      </c>
      <c r="E619" s="17" t="s">
        <v>800</v>
      </c>
      <c r="F619" s="20" t="s">
        <v>18</v>
      </c>
      <c r="G619" s="12">
        <v>7515700</v>
      </c>
      <c r="H619" s="12"/>
      <c r="I619" s="12"/>
      <c r="J619" s="39"/>
      <c r="K619" s="39"/>
      <c r="L619" s="39"/>
      <c r="M619" s="39"/>
      <c r="N619" s="39"/>
      <c r="O619" s="39"/>
      <c r="P619" s="39"/>
      <c r="Q619" s="39"/>
      <c r="R619" s="12">
        <v>7515700</v>
      </c>
    </row>
    <row x14ac:dyDescent="0.25" r="620" customHeight="1" ht="20.1">
      <c r="A620" s="9" t="s">
        <v>790</v>
      </c>
      <c r="B620" s="9" t="s">
        <v>25</v>
      </c>
      <c r="C620" s="10"/>
      <c r="D620" s="9" t="s">
        <v>61</v>
      </c>
      <c r="E620" s="17" t="s">
        <v>314</v>
      </c>
      <c r="F620" s="11" t="s">
        <v>18</v>
      </c>
      <c r="G620" s="12">
        <v>874850</v>
      </c>
      <c r="H620" s="12"/>
      <c r="I620" s="12"/>
      <c r="J620" s="39"/>
      <c r="K620" s="39"/>
      <c r="L620" s="39"/>
      <c r="M620" s="39"/>
      <c r="N620" s="39"/>
      <c r="O620" s="39"/>
      <c r="P620" s="39"/>
      <c r="Q620" s="39"/>
      <c r="R620" s="12">
        <v>874850</v>
      </c>
    </row>
    <row x14ac:dyDescent="0.25" r="621" customHeight="1" ht="20.1">
      <c r="A621" s="9" t="s">
        <v>790</v>
      </c>
      <c r="B621" s="9" t="s">
        <v>25</v>
      </c>
      <c r="C621" s="10"/>
      <c r="D621" s="9" t="s">
        <v>61</v>
      </c>
      <c r="E621" s="17" t="s">
        <v>315</v>
      </c>
      <c r="F621" s="11" t="s">
        <v>18</v>
      </c>
      <c r="G621" s="12">
        <v>13800</v>
      </c>
      <c r="H621" s="12"/>
      <c r="I621" s="12"/>
      <c r="J621" s="39"/>
      <c r="K621" s="39"/>
      <c r="L621" s="39"/>
      <c r="M621" s="39"/>
      <c r="N621" s="39"/>
      <c r="O621" s="39"/>
      <c r="P621" s="39"/>
      <c r="Q621" s="39"/>
      <c r="R621" s="12">
        <v>13800</v>
      </c>
    </row>
    <row x14ac:dyDescent="0.25" r="622" customHeight="1" ht="20.1">
      <c r="A622" s="9" t="s">
        <v>790</v>
      </c>
      <c r="B622" s="9" t="s">
        <v>25</v>
      </c>
      <c r="C622" s="10"/>
      <c r="D622" s="9" t="s">
        <v>316</v>
      </c>
      <c r="E622" s="17" t="s">
        <v>801</v>
      </c>
      <c r="F622" s="11" t="s">
        <v>18</v>
      </c>
      <c r="G622" s="12">
        <v>264050</v>
      </c>
      <c r="H622" s="12"/>
      <c r="I622" s="12"/>
      <c r="J622" s="39"/>
      <c r="K622" s="39"/>
      <c r="L622" s="39"/>
      <c r="M622" s="39"/>
      <c r="N622" s="39"/>
      <c r="O622" s="39"/>
      <c r="P622" s="39"/>
      <c r="Q622" s="39"/>
      <c r="R622" s="12">
        <v>264050</v>
      </c>
    </row>
    <row x14ac:dyDescent="0.25" r="623" customHeight="1" ht="20.1">
      <c r="A623" s="9" t="s">
        <v>790</v>
      </c>
      <c r="B623" s="9" t="s">
        <v>25</v>
      </c>
      <c r="C623" s="10"/>
      <c r="D623" s="9" t="s">
        <v>61</v>
      </c>
      <c r="E623" s="17" t="s">
        <v>802</v>
      </c>
      <c r="F623" s="11" t="s">
        <v>18</v>
      </c>
      <c r="G623" s="12">
        <v>24000</v>
      </c>
      <c r="H623" s="12"/>
      <c r="I623" s="12"/>
      <c r="J623" s="39"/>
      <c r="K623" s="39"/>
      <c r="L623" s="39"/>
      <c r="M623" s="39"/>
      <c r="N623" s="39"/>
      <c r="O623" s="39"/>
      <c r="P623" s="39"/>
      <c r="Q623" s="39"/>
      <c r="R623" s="12">
        <v>24000</v>
      </c>
    </row>
    <row x14ac:dyDescent="0.25" r="624" customHeight="1" ht="20.1">
      <c r="A624" s="9" t="s">
        <v>790</v>
      </c>
      <c r="B624" s="9" t="s">
        <v>25</v>
      </c>
      <c r="C624" s="10"/>
      <c r="D624" s="9" t="s">
        <v>61</v>
      </c>
      <c r="E624" s="17" t="s">
        <v>803</v>
      </c>
      <c r="F624" s="11" t="s">
        <v>18</v>
      </c>
      <c r="G624" s="12">
        <v>260000</v>
      </c>
      <c r="H624" s="12"/>
      <c r="I624" s="12"/>
      <c r="J624" s="39"/>
      <c r="K624" s="39"/>
      <c r="L624" s="39"/>
      <c r="M624" s="39"/>
      <c r="N624" s="39"/>
      <c r="O624" s="39"/>
      <c r="P624" s="39"/>
      <c r="Q624" s="39"/>
      <c r="R624" s="12">
        <v>260000</v>
      </c>
    </row>
    <row x14ac:dyDescent="0.25" r="625" customHeight="1" ht="20.1">
      <c r="A625" s="9" t="s">
        <v>790</v>
      </c>
      <c r="B625" s="9" t="s">
        <v>25</v>
      </c>
      <c r="C625" s="10"/>
      <c r="D625" s="9" t="s">
        <v>61</v>
      </c>
      <c r="E625" s="17" t="s">
        <v>804</v>
      </c>
      <c r="F625" s="11" t="s">
        <v>18</v>
      </c>
      <c r="G625" s="12">
        <v>6500</v>
      </c>
      <c r="H625" s="12"/>
      <c r="I625" s="12"/>
      <c r="J625" s="39"/>
      <c r="K625" s="39"/>
      <c r="L625" s="39"/>
      <c r="M625" s="39"/>
      <c r="N625" s="39"/>
      <c r="O625" s="39"/>
      <c r="P625" s="39"/>
      <c r="Q625" s="39"/>
      <c r="R625" s="12">
        <v>6500</v>
      </c>
    </row>
    <row x14ac:dyDescent="0.25" r="626" customHeight="1" ht="20.1">
      <c r="A626" s="9" t="s">
        <v>790</v>
      </c>
      <c r="B626" s="9" t="s">
        <v>25</v>
      </c>
      <c r="C626" s="10"/>
      <c r="D626" s="9" t="s">
        <v>61</v>
      </c>
      <c r="E626" s="17" t="s">
        <v>805</v>
      </c>
      <c r="F626" s="11" t="s">
        <v>18</v>
      </c>
      <c r="G626" s="12">
        <v>33600</v>
      </c>
      <c r="H626" s="12"/>
      <c r="I626" s="12"/>
      <c r="J626" s="39"/>
      <c r="K626" s="39"/>
      <c r="L626" s="39"/>
      <c r="M626" s="39"/>
      <c r="N626" s="39"/>
      <c r="O626" s="39"/>
      <c r="P626" s="39"/>
      <c r="Q626" s="39"/>
      <c r="R626" s="12">
        <v>33600</v>
      </c>
    </row>
    <row x14ac:dyDescent="0.25" r="627" customHeight="1" ht="20.1">
      <c r="A627" s="9" t="s">
        <v>790</v>
      </c>
      <c r="B627" s="9" t="s">
        <v>25</v>
      </c>
      <c r="C627" s="10"/>
      <c r="D627" s="9" t="s">
        <v>61</v>
      </c>
      <c r="E627" s="17" t="s">
        <v>321</v>
      </c>
      <c r="F627" s="11" t="s">
        <v>18</v>
      </c>
      <c r="G627" s="12">
        <v>577000</v>
      </c>
      <c r="H627" s="12"/>
      <c r="I627" s="12"/>
      <c r="J627" s="39"/>
      <c r="K627" s="39"/>
      <c r="L627" s="39"/>
      <c r="M627" s="39"/>
      <c r="N627" s="39"/>
      <c r="O627" s="39"/>
      <c r="P627" s="39"/>
      <c r="Q627" s="39"/>
      <c r="R627" s="12">
        <v>577000</v>
      </c>
    </row>
    <row x14ac:dyDescent="0.25" r="628" customHeight="1" ht="20.1">
      <c r="A628" s="9" t="s">
        <v>790</v>
      </c>
      <c r="B628" s="9" t="s">
        <v>25</v>
      </c>
      <c r="C628" s="10"/>
      <c r="D628" s="9" t="s">
        <v>61</v>
      </c>
      <c r="E628" s="17" t="s">
        <v>322</v>
      </c>
      <c r="F628" s="11" t="s">
        <v>18</v>
      </c>
      <c r="G628" s="12">
        <v>10600</v>
      </c>
      <c r="H628" s="12"/>
      <c r="I628" s="12"/>
      <c r="J628" s="39"/>
      <c r="K628" s="39"/>
      <c r="L628" s="39"/>
      <c r="M628" s="39"/>
      <c r="N628" s="39"/>
      <c r="O628" s="39"/>
      <c r="P628" s="39"/>
      <c r="Q628" s="39"/>
      <c r="R628" s="12">
        <v>10600</v>
      </c>
    </row>
    <row x14ac:dyDescent="0.25" r="629" customHeight="1" ht="20.1">
      <c r="A629" s="9" t="s">
        <v>790</v>
      </c>
      <c r="B629" s="9" t="s">
        <v>25</v>
      </c>
      <c r="C629" s="10"/>
      <c r="D629" s="9" t="s">
        <v>61</v>
      </c>
      <c r="E629" s="17" t="s">
        <v>806</v>
      </c>
      <c r="F629" s="11" t="s">
        <v>18</v>
      </c>
      <c r="G629" s="12">
        <v>30000</v>
      </c>
      <c r="H629" s="12"/>
      <c r="I629" s="12"/>
      <c r="J629" s="39"/>
      <c r="K629" s="39"/>
      <c r="L629" s="39"/>
      <c r="M629" s="39"/>
      <c r="N629" s="39"/>
      <c r="O629" s="39"/>
      <c r="P629" s="39"/>
      <c r="Q629" s="39"/>
      <c r="R629" s="12">
        <v>30000</v>
      </c>
    </row>
    <row x14ac:dyDescent="0.25" r="630" customHeight="1" ht="20.1">
      <c r="A630" s="9" t="s">
        <v>790</v>
      </c>
      <c r="B630" s="9" t="s">
        <v>25</v>
      </c>
      <c r="C630" s="10"/>
      <c r="D630" s="9" t="s">
        <v>61</v>
      </c>
      <c r="E630" s="17" t="s">
        <v>807</v>
      </c>
      <c r="F630" s="11" t="s">
        <v>18</v>
      </c>
      <c r="G630" s="12">
        <v>125000</v>
      </c>
      <c r="H630" s="12"/>
      <c r="I630" s="12"/>
      <c r="J630" s="39"/>
      <c r="K630" s="39"/>
      <c r="L630" s="39"/>
      <c r="M630" s="39"/>
      <c r="N630" s="39"/>
      <c r="O630" s="39"/>
      <c r="P630" s="39"/>
      <c r="Q630" s="39"/>
      <c r="R630" s="12">
        <v>125000</v>
      </c>
    </row>
    <row x14ac:dyDescent="0.25" r="631" customHeight="1" ht="20.1">
      <c r="A631" s="9" t="s">
        <v>790</v>
      </c>
      <c r="B631" s="9" t="s">
        <v>25</v>
      </c>
      <c r="C631" s="10"/>
      <c r="D631" s="9" t="s">
        <v>61</v>
      </c>
      <c r="E631" s="17" t="s">
        <v>325</v>
      </c>
      <c r="F631" s="11" t="s">
        <v>18</v>
      </c>
      <c r="G631" s="12">
        <v>242700</v>
      </c>
      <c r="H631" s="12"/>
      <c r="I631" s="12"/>
      <c r="J631" s="39"/>
      <c r="K631" s="39"/>
      <c r="L631" s="39"/>
      <c r="M631" s="39"/>
      <c r="N631" s="39"/>
      <c r="O631" s="39"/>
      <c r="P631" s="39"/>
      <c r="Q631" s="39"/>
      <c r="R631" s="12">
        <v>242700</v>
      </c>
    </row>
    <row x14ac:dyDescent="0.25" r="632" customHeight="1" ht="20.1">
      <c r="A632" s="9" t="s">
        <v>790</v>
      </c>
      <c r="B632" s="9" t="s">
        <v>25</v>
      </c>
      <c r="C632" s="10"/>
      <c r="D632" s="9" t="s">
        <v>61</v>
      </c>
      <c r="E632" s="17" t="s">
        <v>808</v>
      </c>
      <c r="F632" s="11" t="s">
        <v>18</v>
      </c>
      <c r="G632" s="12">
        <v>3000</v>
      </c>
      <c r="H632" s="12"/>
      <c r="I632" s="12"/>
      <c r="J632" s="39"/>
      <c r="K632" s="39"/>
      <c r="L632" s="39"/>
      <c r="M632" s="39"/>
      <c r="N632" s="39"/>
      <c r="O632" s="39"/>
      <c r="P632" s="39"/>
      <c r="Q632" s="39"/>
      <c r="R632" s="12">
        <v>3000</v>
      </c>
    </row>
    <row x14ac:dyDescent="0.25" r="633" customHeight="1" ht="20.1">
      <c r="A633" s="9" t="s">
        <v>809</v>
      </c>
      <c r="B633" s="9" t="s">
        <v>20</v>
      </c>
      <c r="C633" s="10">
        <v>200218</v>
      </c>
      <c r="D633" s="9" t="s">
        <v>556</v>
      </c>
      <c r="E633" s="9" t="s">
        <v>810</v>
      </c>
      <c r="F633" s="11" t="s">
        <v>9</v>
      </c>
      <c r="G633" s="12">
        <v>1424900</v>
      </c>
      <c r="H633" s="12"/>
      <c r="I633" s="12">
        <v>1424900</v>
      </c>
      <c r="J633" s="39"/>
      <c r="K633" s="39"/>
      <c r="L633" s="39"/>
      <c r="M633" s="39"/>
      <c r="N633" s="39"/>
      <c r="O633" s="39"/>
      <c r="P633" s="39"/>
      <c r="Q633" s="39"/>
      <c r="R633" s="39"/>
    </row>
    <row x14ac:dyDescent="0.25" r="634" customHeight="1" ht="29.25">
      <c r="A634" s="42"/>
      <c r="B634" s="42"/>
      <c r="C634" s="43"/>
      <c r="D634" s="42"/>
      <c r="E634" s="44" t="s">
        <v>7</v>
      </c>
      <c r="F634" s="45"/>
      <c r="G634" s="46">
        <f>SUM(G3:G633)</f>
      </c>
      <c r="H634" s="46">
        <f>SUM(H3:H633)</f>
      </c>
      <c r="I634" s="46">
        <f>SUM(I3:I633)</f>
      </c>
      <c r="J634" s="46">
        <f>SUM(J3:J633)</f>
      </c>
      <c r="K634" s="46">
        <f>SUM(K3:K633)</f>
      </c>
      <c r="L634" s="46">
        <f>SUM(L3:L633)</f>
      </c>
      <c r="M634" s="46">
        <f>SUM(M3:M633)</f>
      </c>
      <c r="N634" s="46">
        <f>SUM(N3:N633)</f>
      </c>
      <c r="O634" s="46">
        <f>SUM(O3:O633)</f>
      </c>
      <c r="P634" s="46">
        <f>SUM(P3:P633)</f>
      </c>
      <c r="Q634" s="46">
        <f>SUM(Q3:Q633)</f>
      </c>
      <c r="R634" s="46">
        <f>SUM(R3:R633)</f>
      </c>
    </row>
    <row x14ac:dyDescent="0.25" r="635" customHeight="1" ht="20.1">
      <c r="A635" s="47"/>
      <c r="B635" s="47"/>
      <c r="C635" s="4"/>
      <c r="D635" s="47"/>
      <c r="E635" s="47"/>
      <c r="F635" s="4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Purchase(Local)</vt:lpstr>
      <vt:lpstr>Purchase (Foreign)</vt:lpstr>
      <vt:lpstr>Expenses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2022-07-22T07:26:58.545Z</dcterms:created>
  <dcterms:modified xsi:type="dcterms:W3CDTF">2022-07-22T07:26:58.545Z</dcterms:modified>
</cp:coreProperties>
</file>