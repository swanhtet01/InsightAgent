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5" yWindow="-105" windowWidth="19425" windowHeight="10305" tabRatio="461" activeTab="1"/>
  </bookViews>
  <sheets>
    <sheet name="Power(2021)&amp;(H1-22)compare" sheetId="10" r:id="rId1"/>
    <sheet name="Power (2021)&amp;(H1-22)Sum" sheetId="107" r:id="rId2"/>
  </sheets>
  <definedNames>
    <definedName name="_xlnm._FilterDatabase" localSheetId="0" hidden="1">'Power(2021)&amp;(H1-22)compare'!$A$3:$A$63</definedName>
    <definedName name="apple">#REF!</definedName>
    <definedName name="_xlnm.Print_Area" localSheetId="0">'Power(2021)&amp;(H1-22)compare'!#REF!</definedName>
  </definedNames>
  <calcPr calcId="144525"/>
  <fileRecoveryPr autoRecover="0"/>
</workbook>
</file>

<file path=xl/calcChain.xml><?xml version="1.0" encoding="utf-8"?>
<calcChain xmlns="http://schemas.openxmlformats.org/spreadsheetml/2006/main">
  <c r="D63" i="107" l="1"/>
  <c r="E63" i="107"/>
  <c r="F63" i="107"/>
  <c r="G63" i="107"/>
  <c r="H63" i="107"/>
  <c r="I63" i="107"/>
  <c r="BH61" i="10"/>
  <c r="BE61" i="10"/>
  <c r="BB61" i="10"/>
  <c r="AY61" i="10"/>
  <c r="AV60" i="10"/>
  <c r="AS60" i="10"/>
  <c r="BH59" i="10"/>
  <c r="BC59" i="10"/>
  <c r="BE59" i="10" s="1"/>
  <c r="BB59" i="10"/>
  <c r="AY59" i="10"/>
  <c r="AW59" i="10"/>
  <c r="AT59" i="10"/>
  <c r="AV59" i="10" s="1"/>
  <c r="AQ59" i="10"/>
  <c r="AS59" i="10" s="1"/>
  <c r="AS58" i="10"/>
  <c r="BB56" i="10"/>
  <c r="BC55" i="10"/>
  <c r="BE55" i="10" s="1"/>
  <c r="BB55" i="10"/>
  <c r="AY55" i="10"/>
  <c r="AW55" i="10"/>
  <c r="BB53" i="10"/>
  <c r="AY53" i="10"/>
  <c r="AV53" i="10"/>
  <c r="BH51" i="10"/>
  <c r="BC51" i="10"/>
  <c r="BE51" i="10" s="1"/>
  <c r="AY51" i="10"/>
  <c r="BE49" i="10"/>
  <c r="AY49" i="10"/>
  <c r="AV49" i="10"/>
  <c r="BH48" i="10"/>
  <c r="AY48" i="10"/>
  <c r="AV48" i="10"/>
  <c r="AZ47" i="10"/>
  <c r="BB47" i="10" s="1"/>
  <c r="AW47" i="10"/>
  <c r="AY47" i="10" s="1"/>
  <c r="AV47" i="10"/>
  <c r="BH46" i="10"/>
  <c r="BE46" i="10"/>
  <c r="BF45" i="10"/>
  <c r="BH45" i="10" s="1"/>
  <c r="AZ45" i="10"/>
  <c r="BB45" i="10" s="1"/>
  <c r="AW45" i="10"/>
  <c r="AY45" i="10" s="1"/>
  <c r="BB43" i="10"/>
  <c r="BH42" i="10"/>
  <c r="AV42" i="10"/>
  <c r="BF41" i="10"/>
  <c r="BH41" i="10" s="1"/>
  <c r="BE41" i="10"/>
  <c r="BB41" i="10"/>
  <c r="AY41" i="10"/>
  <c r="AW41" i="10"/>
  <c r="AY40" i="10"/>
  <c r="AV40" i="10"/>
  <c r="AY38" i="10"/>
  <c r="AV38" i="10"/>
  <c r="AT38" i="10"/>
  <c r="AQ38" i="10"/>
  <c r="AS38" i="10" s="1"/>
  <c r="BF37" i="10"/>
  <c r="BH37" i="10" s="1"/>
  <c r="BE37" i="10"/>
  <c r="BB37" i="10"/>
  <c r="AY37" i="10"/>
  <c r="AW37" i="10"/>
  <c r="AV37" i="10"/>
  <c r="AS37" i="10"/>
  <c r="BB36" i="10"/>
  <c r="AY36" i="10"/>
  <c r="AW36" i="10"/>
  <c r="AZ35" i="10"/>
  <c r="BB35" i="10" s="1"/>
  <c r="AY35" i="10"/>
  <c r="AW35" i="10"/>
  <c r="BH34" i="10"/>
  <c r="AV34" i="10"/>
  <c r="BF33" i="10"/>
  <c r="BH33" i="10" s="1"/>
  <c r="BE33" i="10"/>
  <c r="BB33" i="10"/>
  <c r="AY33" i="10"/>
  <c r="AV33" i="10"/>
  <c r="AS33" i="10"/>
  <c r="BH32" i="10"/>
  <c r="AY32" i="10"/>
  <c r="AT32" i="10"/>
  <c r="AV32" i="10" s="1"/>
  <c r="AS32" i="10"/>
  <c r="AQ32" i="10"/>
  <c r="BF31" i="10"/>
  <c r="BH31" i="10" s="1"/>
  <c r="BC31" i="10"/>
  <c r="BE31" i="10" s="1"/>
  <c r="AZ31" i="10"/>
  <c r="BB31" i="10" s="1"/>
  <c r="AY31" i="10"/>
  <c r="AW31" i="10"/>
  <c r="AV31" i="10"/>
  <c r="AS31" i="10"/>
  <c r="BH30" i="10"/>
  <c r="BE30" i="10"/>
  <c r="BB30" i="10"/>
  <c r="AY30" i="10"/>
  <c r="AW30" i="10"/>
  <c r="AV30" i="10"/>
  <c r="AS30" i="10"/>
  <c r="AY29" i="10"/>
  <c r="BB27" i="10"/>
  <c r="AT27" i="10"/>
  <c r="AV27" i="10" s="1"/>
  <c r="AS27" i="10"/>
  <c r="BF26" i="10"/>
  <c r="BH26" i="10" s="1"/>
  <c r="BC26" i="10"/>
  <c r="BE26" i="10" s="1"/>
  <c r="BB26" i="10"/>
  <c r="AY26" i="10"/>
  <c r="AW26" i="10"/>
  <c r="BH25" i="10"/>
  <c r="BB25" i="10"/>
  <c r="AZ25" i="10"/>
  <c r="AY25" i="10"/>
  <c r="AT25" i="10"/>
  <c r="AV25" i="10" s="1"/>
  <c r="AS25" i="10"/>
  <c r="AV24" i="10"/>
  <c r="AS24" i="10"/>
  <c r="AV23" i="10"/>
  <c r="AS23" i="10"/>
  <c r="BE22" i="10"/>
  <c r="BB22" i="10"/>
  <c r="AY22" i="10"/>
  <c r="AT22" i="10"/>
  <c r="AV22" i="10" s="1"/>
  <c r="AV21" i="10"/>
  <c r="AV20" i="10"/>
  <c r="BH19" i="10"/>
  <c r="BE19" i="10"/>
  <c r="BB19" i="10"/>
  <c r="AT19" i="10"/>
  <c r="AV19" i="10" s="1"/>
  <c r="AQ19" i="10"/>
  <c r="AS19" i="10" s="1"/>
  <c r="BF18" i="10"/>
  <c r="BH18" i="10" s="1"/>
  <c r="BC18" i="10"/>
  <c r="BE18" i="10" s="1"/>
  <c r="BB18" i="10"/>
  <c r="AT18" i="10"/>
  <c r="AV18" i="10" s="1"/>
  <c r="AQ18" i="10"/>
  <c r="AS18" i="10" s="1"/>
  <c r="BB17" i="10"/>
  <c r="AY17" i="10"/>
  <c r="AV17" i="10"/>
  <c r="AS17" i="10"/>
  <c r="BH16" i="10"/>
  <c r="AY16" i="10"/>
  <c r="AV16" i="10"/>
  <c r="AS16" i="10"/>
  <c r="BB15" i="10"/>
  <c r="AY15" i="10"/>
  <c r="AW15" i="10"/>
  <c r="AS15" i="10"/>
  <c r="BH14" i="10"/>
  <c r="BE14" i="10"/>
  <c r="AT14" i="10"/>
  <c r="AV14" i="10" s="1"/>
  <c r="AQ14" i="10"/>
  <c r="AS14" i="10" s="1"/>
  <c r="AV13" i="10"/>
  <c r="BH11" i="10"/>
  <c r="BF11" i="10"/>
  <c r="BB11" i="10"/>
  <c r="AY11" i="10"/>
  <c r="AV11" i="10"/>
  <c r="AS11" i="10"/>
  <c r="BH10" i="10"/>
  <c r="AY10" i="10"/>
  <c r="AS10" i="10"/>
  <c r="AQ10" i="10"/>
  <c r="AY9" i="10"/>
  <c r="BF8" i="10"/>
  <c r="BE8" i="10"/>
  <c r="AZ8" i="10"/>
  <c r="AY8" i="10"/>
  <c r="AW8" i="10"/>
  <c r="AV8" i="10"/>
  <c r="AS8" i="10"/>
  <c r="BF7" i="10"/>
  <c r="BH7" i="10" s="1"/>
  <c r="BC7" i="10"/>
  <c r="BE7" i="10" s="1"/>
  <c r="BB7" i="10"/>
  <c r="AZ7" i="10"/>
  <c r="AY7" i="10"/>
  <c r="AW7" i="10"/>
  <c r="AW63" i="10" s="1"/>
  <c r="AV7" i="10"/>
  <c r="AT7" i="10"/>
  <c r="AQ7" i="10"/>
  <c r="AS7" i="10" s="1"/>
  <c r="BH6" i="10"/>
  <c r="BC6" i="10"/>
  <c r="BE6" i="10" s="1"/>
  <c r="AT6" i="10"/>
  <c r="AQ6" i="10"/>
  <c r="AS6" i="10" s="1"/>
  <c r="AS63" i="10" l="1"/>
  <c r="BF63" i="10"/>
  <c r="AT63" i="10"/>
  <c r="AY63" i="10"/>
  <c r="BE63" i="10"/>
  <c r="AZ63" i="10"/>
  <c r="AV6" i="10"/>
  <c r="AV63" i="10" s="1"/>
  <c r="BH8" i="10"/>
  <c r="BH63" i="10" s="1"/>
  <c r="BB8" i="10"/>
  <c r="BB63" i="10" s="1"/>
  <c r="AQ63" i="10"/>
  <c r="BC63" i="10"/>
  <c r="AN63" i="10"/>
  <c r="AP7" i="10"/>
  <c r="AP8" i="10"/>
  <c r="AP9" i="10"/>
  <c r="AP10" i="10"/>
  <c r="AP11" i="10"/>
  <c r="AP12" i="10"/>
  <c r="AP13" i="10"/>
  <c r="AP14" i="10"/>
  <c r="AP15" i="10"/>
  <c r="AP16" i="10"/>
  <c r="AP17" i="10"/>
  <c r="AP18" i="10"/>
  <c r="AP19" i="10"/>
  <c r="AP20" i="10"/>
  <c r="AP21" i="10"/>
  <c r="AP22" i="10"/>
  <c r="AP23" i="10"/>
  <c r="AP24" i="10"/>
  <c r="AP25" i="10"/>
  <c r="AP26" i="10"/>
  <c r="AP27" i="10"/>
  <c r="AP28" i="10"/>
  <c r="AP29" i="10"/>
  <c r="AP30" i="10"/>
  <c r="AP31" i="10"/>
  <c r="AP32" i="10"/>
  <c r="AP33" i="10"/>
  <c r="AP34" i="10"/>
  <c r="AP35" i="10"/>
  <c r="AP36" i="10"/>
  <c r="AP37" i="10"/>
  <c r="AP38" i="10"/>
  <c r="AP39" i="10"/>
  <c r="AP40" i="10"/>
  <c r="AP41" i="10"/>
  <c r="AP42" i="10"/>
  <c r="AP43" i="10"/>
  <c r="AP44" i="10"/>
  <c r="AP45" i="10"/>
  <c r="AP46" i="10"/>
  <c r="AP47" i="10"/>
  <c r="AP48" i="10"/>
  <c r="AP49" i="10"/>
  <c r="AP50" i="10"/>
  <c r="AP51" i="10"/>
  <c r="AP52" i="10"/>
  <c r="AP53" i="10"/>
  <c r="AP54" i="10"/>
  <c r="AP55" i="10"/>
  <c r="AP56" i="10"/>
  <c r="AP57" i="10"/>
  <c r="AP58" i="10"/>
  <c r="AP59" i="10"/>
  <c r="AP60" i="10"/>
  <c r="AP61" i="10"/>
  <c r="AP62" i="10"/>
  <c r="AP6" i="10"/>
  <c r="AP63" i="10" l="1"/>
  <c r="X62" i="10"/>
  <c r="AJ61" i="10"/>
  <c r="AD61" i="10"/>
  <c r="AJ60" i="10"/>
  <c r="J60" i="10"/>
  <c r="AJ59" i="10"/>
  <c r="AB59" i="10"/>
  <c r="AD59" i="10" s="1"/>
  <c r="V59" i="10"/>
  <c r="X59" i="10" s="1"/>
  <c r="O59" i="10"/>
  <c r="Q59" i="10" s="1"/>
  <c r="H59" i="10"/>
  <c r="J59" i="10" s="1"/>
  <c r="AJ58" i="10"/>
  <c r="AD58" i="10"/>
  <c r="AH55" i="10"/>
  <c r="AJ55" i="10" s="1"/>
  <c r="V55" i="10"/>
  <c r="X55" i="10" s="1"/>
  <c r="O55" i="10"/>
  <c r="Q55" i="10" s="1"/>
  <c r="AJ53" i="10"/>
  <c r="AD53" i="10"/>
  <c r="J53" i="10"/>
  <c r="AJ51" i="10"/>
  <c r="AB51" i="10"/>
  <c r="AD51" i="10" s="1"/>
  <c r="V51" i="10"/>
  <c r="X51" i="10" s="1"/>
  <c r="Q51" i="10"/>
  <c r="AJ50" i="10"/>
  <c r="AD49" i="10"/>
  <c r="X49" i="10"/>
  <c r="O49" i="10"/>
  <c r="Q49" i="10" s="1"/>
  <c r="X48" i="10"/>
  <c r="H48" i="10"/>
  <c r="J48" i="10" s="1"/>
  <c r="AJ47" i="10"/>
  <c r="X47" i="10"/>
  <c r="Q47" i="10"/>
  <c r="J47" i="10"/>
  <c r="Q46" i="10"/>
  <c r="V45" i="10"/>
  <c r="X45" i="10" s="1"/>
  <c r="Q45" i="10"/>
  <c r="J45" i="10"/>
  <c r="AJ42" i="10"/>
  <c r="V41" i="10"/>
  <c r="X41" i="10" s="1"/>
  <c r="O41" i="10"/>
  <c r="Q41" i="10" s="1"/>
  <c r="H41" i="10"/>
  <c r="J41" i="10" s="1"/>
  <c r="AJ40" i="10"/>
  <c r="Q40" i="10"/>
  <c r="AJ38" i="10"/>
  <c r="Q38" i="10"/>
  <c r="AH37" i="10"/>
  <c r="AJ37" i="10" s="1"/>
  <c r="V37" i="10"/>
  <c r="X37" i="10" s="1"/>
  <c r="Q37" i="10"/>
  <c r="H37" i="10"/>
  <c r="J37" i="10" s="1"/>
  <c r="AD36" i="10"/>
  <c r="X36" i="10"/>
  <c r="Q36" i="10"/>
  <c r="X35" i="10"/>
  <c r="AJ34" i="10"/>
  <c r="Q34" i="10"/>
  <c r="AH33" i="10"/>
  <c r="AJ33" i="10" s="1"/>
  <c r="AB33" i="10"/>
  <c r="AD33" i="10" s="1"/>
  <c r="V33" i="10"/>
  <c r="X33" i="10" s="1"/>
  <c r="Q33" i="10"/>
  <c r="H33" i="10"/>
  <c r="J33" i="10" s="1"/>
  <c r="AJ32" i="10"/>
  <c r="V32" i="10"/>
  <c r="X32" i="10" s="1"/>
  <c r="Q32" i="10"/>
  <c r="H32" i="10"/>
  <c r="J32" i="10" s="1"/>
  <c r="AH31" i="10"/>
  <c r="AJ31" i="10" s="1"/>
  <c r="AD31" i="10"/>
  <c r="V31" i="10"/>
  <c r="X31" i="10" s="1"/>
  <c r="O31" i="10"/>
  <c r="Q31" i="10" s="1"/>
  <c r="H31" i="10"/>
  <c r="J31" i="10" s="1"/>
  <c r="AH30" i="10"/>
  <c r="AJ30" i="10" s="1"/>
  <c r="V30" i="10"/>
  <c r="X30" i="10" s="1"/>
  <c r="Q30" i="10"/>
  <c r="AJ29" i="10"/>
  <c r="AJ27" i="10"/>
  <c r="X27" i="10"/>
  <c r="Q27" i="10"/>
  <c r="AJ26" i="10"/>
  <c r="V26" i="10"/>
  <c r="X26" i="10" s="1"/>
  <c r="O26" i="10"/>
  <c r="Q26" i="10" s="1"/>
  <c r="H26" i="10"/>
  <c r="J26" i="10" s="1"/>
  <c r="AJ25" i="10"/>
  <c r="AB25" i="10"/>
  <c r="AD25" i="10" s="1"/>
  <c r="X25" i="10"/>
  <c r="O25" i="10"/>
  <c r="Q25" i="10" s="1"/>
  <c r="X24" i="10"/>
  <c r="J24" i="10"/>
  <c r="AH19" i="10"/>
  <c r="AJ19" i="10" s="1"/>
  <c r="X19" i="10"/>
  <c r="O19" i="10"/>
  <c r="Q19" i="10" s="1"/>
  <c r="H19" i="10"/>
  <c r="J19" i="10" s="1"/>
  <c r="AH18" i="10"/>
  <c r="AJ18" i="10" s="1"/>
  <c r="V18" i="10"/>
  <c r="X18" i="10" s="1"/>
  <c r="O18" i="10"/>
  <c r="Q18" i="10" s="1"/>
  <c r="H18" i="10"/>
  <c r="J18" i="10" s="1"/>
  <c r="AD17" i="10"/>
  <c r="AJ16" i="10"/>
  <c r="V16" i="10"/>
  <c r="X16" i="10" s="1"/>
  <c r="AD15" i="10"/>
  <c r="X15" i="10"/>
  <c r="Q15" i="10"/>
  <c r="X14" i="10"/>
  <c r="AD11" i="10"/>
  <c r="V11" i="10"/>
  <c r="X11" i="10" s="1"/>
  <c r="Q11" i="10"/>
  <c r="J11" i="10"/>
  <c r="X10" i="10"/>
  <c r="J9" i="10"/>
  <c r="AH8" i="10"/>
  <c r="AB8" i="10"/>
  <c r="AD8" i="10" s="1"/>
  <c r="X8" i="10"/>
  <c r="O8" i="10"/>
  <c r="Q8" i="10" s="1"/>
  <c r="H8" i="10"/>
  <c r="AH7" i="10"/>
  <c r="AJ7" i="10" s="1"/>
  <c r="AB7" i="10"/>
  <c r="V7" i="10"/>
  <c r="X7" i="10" s="1"/>
  <c r="O7" i="10"/>
  <c r="Q7" i="10" s="1"/>
  <c r="H7" i="10"/>
  <c r="J7" i="10" s="1"/>
  <c r="AD6" i="10"/>
  <c r="V6" i="10"/>
  <c r="X6" i="10" s="1"/>
  <c r="O6" i="10"/>
  <c r="O63" i="10" l="1"/>
  <c r="H63" i="10"/>
  <c r="Q6" i="10"/>
  <c r="Q63" i="10" s="1"/>
  <c r="AB63" i="10"/>
  <c r="X63" i="10"/>
  <c r="AH63" i="10"/>
  <c r="AJ8" i="10"/>
  <c r="AJ63" i="10" s="1"/>
  <c r="AD7" i="10"/>
  <c r="AD63" i="10" s="1"/>
  <c r="J8" i="10"/>
  <c r="J63" i="10" s="1"/>
  <c r="V63" i="10"/>
  <c r="AE63" i="10" l="1"/>
  <c r="R63" i="10"/>
  <c r="AK59" i="10"/>
  <c r="AM59" i="10" s="1"/>
  <c r="AG59" i="10"/>
  <c r="Y59" i="10"/>
  <c r="AA59" i="10" s="1"/>
  <c r="T59" i="10"/>
  <c r="K59" i="10"/>
  <c r="M59" i="10" s="1"/>
  <c r="D59" i="10"/>
  <c r="F59" i="10" s="1"/>
  <c r="AG57" i="10"/>
  <c r="AK55" i="10"/>
  <c r="AG55" i="10"/>
  <c r="AA55" i="10"/>
  <c r="AG53" i="10"/>
  <c r="AG52" i="10"/>
  <c r="AK51" i="10"/>
  <c r="AM51" i="10" s="1"/>
  <c r="AA51" i="10"/>
  <c r="F51" i="10"/>
  <c r="AM50" i="10"/>
  <c r="AA49" i="10"/>
  <c r="AM48" i="10"/>
  <c r="AG48" i="10"/>
  <c r="T48" i="10"/>
  <c r="F48" i="10"/>
  <c r="AK47" i="10"/>
  <c r="AM47" i="10" s="1"/>
  <c r="AG47" i="10"/>
  <c r="AA47" i="10"/>
  <c r="T47" i="10"/>
  <c r="K47" i="10"/>
  <c r="AK45" i="10"/>
  <c r="AM45" i="10" s="1"/>
  <c r="AG45" i="10"/>
  <c r="M45" i="10"/>
  <c r="F45" i="10"/>
  <c r="M43" i="10"/>
  <c r="AM42" i="10"/>
  <c r="AM41" i="10"/>
  <c r="AG41" i="10"/>
  <c r="Y41" i="10"/>
  <c r="AA41" i="10" s="1"/>
  <c r="K41" i="10"/>
  <c r="M41" i="10" s="1"/>
  <c r="D41" i="10"/>
  <c r="F41" i="10" s="1"/>
  <c r="AM40" i="10"/>
  <c r="AK38" i="10"/>
  <c r="AG38" i="10"/>
  <c r="T38" i="10"/>
  <c r="F38" i="10"/>
  <c r="AK37" i="10"/>
  <c r="AM37" i="10" s="1"/>
  <c r="AG37" i="10"/>
  <c r="Y37" i="10"/>
  <c r="AA37" i="10" s="1"/>
  <c r="T37" i="10"/>
  <c r="K37" i="10"/>
  <c r="M37" i="10" s="1"/>
  <c r="D37" i="10"/>
  <c r="AM36" i="10"/>
  <c r="AG36" i="10"/>
  <c r="Y36" i="10"/>
  <c r="AA36" i="10" s="1"/>
  <c r="T36" i="10"/>
  <c r="K36" i="10"/>
  <c r="F36" i="10"/>
  <c r="AK35" i="10"/>
  <c r="AM35" i="10" s="1"/>
  <c r="AG35" i="10"/>
  <c r="Y35" i="10"/>
  <c r="AA35" i="10" s="1"/>
  <c r="K35" i="10"/>
  <c r="M35" i="10" s="1"/>
  <c r="AK34" i="10"/>
  <c r="AM34" i="10" s="1"/>
  <c r="AG34" i="10"/>
  <c r="AA34" i="10"/>
  <c r="T34" i="10"/>
  <c r="M34" i="10"/>
  <c r="D34" i="10"/>
  <c r="F34" i="10" s="1"/>
  <c r="AK33" i="10"/>
  <c r="AM33" i="10" s="1"/>
  <c r="AG33" i="10"/>
  <c r="Y33" i="10"/>
  <c r="AA33" i="10" s="1"/>
  <c r="T33" i="10"/>
  <c r="K33" i="10"/>
  <c r="M33" i="10" s="1"/>
  <c r="D33" i="10"/>
  <c r="F33" i="10" s="1"/>
  <c r="AK32" i="10"/>
  <c r="AG32" i="10"/>
  <c r="AA32" i="10"/>
  <c r="T32" i="10"/>
  <c r="K32" i="10"/>
  <c r="M32" i="10" s="1"/>
  <c r="F32" i="10"/>
  <c r="AK31" i="10"/>
  <c r="AM31" i="10" s="1"/>
  <c r="AG31" i="10"/>
  <c r="Y31" i="10"/>
  <c r="AA31" i="10" s="1"/>
  <c r="T31" i="10"/>
  <c r="K31" i="10"/>
  <c r="D31" i="10"/>
  <c r="F31" i="10" s="1"/>
  <c r="AK30" i="10"/>
  <c r="AM30" i="10" s="1"/>
  <c r="AG30" i="10"/>
  <c r="AA30" i="10"/>
  <c r="T30" i="10"/>
  <c r="F30" i="10"/>
  <c r="AK27" i="10"/>
  <c r="AM27" i="10" s="1"/>
  <c r="T27" i="10"/>
  <c r="M27" i="10"/>
  <c r="F27" i="10"/>
  <c r="AK26" i="10"/>
  <c r="AM26" i="10" s="1"/>
  <c r="AG26" i="10"/>
  <c r="AA26" i="10"/>
  <c r="T26" i="10"/>
  <c r="K26" i="10"/>
  <c r="M26" i="10" s="1"/>
  <c r="D26" i="10"/>
  <c r="AK25" i="10"/>
  <c r="AM25" i="10" s="1"/>
  <c r="AA25" i="10"/>
  <c r="T25" i="10"/>
  <c r="D25" i="10"/>
  <c r="AM24" i="10"/>
  <c r="AG24" i="10"/>
  <c r="AK23" i="10"/>
  <c r="AG23" i="10"/>
  <c r="AK22" i="10"/>
  <c r="AM22" i="10" s="1"/>
  <c r="AG22" i="10"/>
  <c r="AA22" i="10"/>
  <c r="T22" i="10"/>
  <c r="AK19" i="10"/>
  <c r="AM19" i="10" s="1"/>
  <c r="AG19" i="10"/>
  <c r="Y19" i="10"/>
  <c r="AA19" i="10" s="1"/>
  <c r="T19" i="10"/>
  <c r="K19" i="10"/>
  <c r="M19" i="10" s="1"/>
  <c r="D19" i="10"/>
  <c r="AK18" i="10"/>
  <c r="AM18" i="10" s="1"/>
  <c r="AG18" i="10"/>
  <c r="Y18" i="10"/>
  <c r="AA18" i="10" s="1"/>
  <c r="T18" i="10"/>
  <c r="K18" i="10"/>
  <c r="M18" i="10" s="1"/>
  <c r="D18" i="10"/>
  <c r="AM17" i="10"/>
  <c r="T17" i="10"/>
  <c r="AG16" i="10"/>
  <c r="AA16" i="10"/>
  <c r="T16" i="10"/>
  <c r="D16" i="10"/>
  <c r="AM15" i="10"/>
  <c r="T15" i="10"/>
  <c r="AG14" i="10"/>
  <c r="M14" i="10"/>
  <c r="AK13" i="10"/>
  <c r="F12" i="10"/>
  <c r="AM11" i="10"/>
  <c r="AG11" i="10"/>
  <c r="AA11" i="10"/>
  <c r="T11" i="10"/>
  <c r="F11" i="10"/>
  <c r="AM10" i="10"/>
  <c r="AK9" i="10"/>
  <c r="AK8" i="10"/>
  <c r="AG8" i="10"/>
  <c r="AA8" i="10"/>
  <c r="T8" i="10"/>
  <c r="K8" i="10"/>
  <c r="M8" i="10" s="1"/>
  <c r="D8" i="10"/>
  <c r="AK7" i="10"/>
  <c r="AM7" i="10" s="1"/>
  <c r="AG7" i="10"/>
  <c r="Y7" i="10"/>
  <c r="AA7" i="10" s="1"/>
  <c r="T7" i="10"/>
  <c r="K7" i="10"/>
  <c r="M7" i="10" s="1"/>
  <c r="D7" i="10"/>
  <c r="AM6" i="10"/>
  <c r="T6" i="10"/>
  <c r="K6" i="10"/>
  <c r="M6" i="10" s="1"/>
  <c r="T63" i="10" l="1"/>
  <c r="AG63" i="10"/>
  <c r="AK63" i="10"/>
  <c r="AA63" i="10"/>
  <c r="Y63" i="10"/>
  <c r="AM8" i="10"/>
  <c r="F18" i="10"/>
  <c r="F19" i="10"/>
  <c r="M31" i="10"/>
  <c r="AM32" i="10"/>
  <c r="K63" i="10"/>
  <c r="F25" i="10"/>
  <c r="AM38" i="10"/>
  <c r="M47" i="10"/>
  <c r="F8" i="10"/>
  <c r="AM13" i="10"/>
  <c r="F16" i="10"/>
  <c r="D63" i="10"/>
  <c r="AM9" i="10"/>
  <c r="AM23" i="10"/>
  <c r="F26" i="10"/>
  <c r="M36" i="10"/>
  <c r="F7" i="10"/>
  <c r="F37" i="10"/>
  <c r="AM55" i="10"/>
  <c r="M63" i="10" l="1"/>
  <c r="F63" i="10"/>
  <c r="AM63" i="10"/>
</calcChain>
</file>

<file path=xl/sharedStrings.xml><?xml version="1.0" encoding="utf-8"?>
<sst xmlns="http://schemas.openxmlformats.org/spreadsheetml/2006/main" count="321" uniqueCount="141">
  <si>
    <t>Remark</t>
  </si>
  <si>
    <t>Description</t>
  </si>
  <si>
    <t>Qty</t>
  </si>
  <si>
    <t>Amount</t>
  </si>
  <si>
    <t>No</t>
  </si>
  <si>
    <t>6.00-14 (8PR) With Tube (Lug)</t>
  </si>
  <si>
    <t>Sale Price</t>
  </si>
  <si>
    <t>7.00-16 (14PR) With Tube &amp; Flap (Rib)</t>
  </si>
  <si>
    <t>7.00-16 (14PR) With Tube &amp; Flap (Lug)</t>
  </si>
  <si>
    <t>7.50-16 (16PR) With Tube &amp; Flap (Rib)</t>
  </si>
  <si>
    <t>6.50-16 (12PR) With Tube &amp; Flap (Lug)</t>
  </si>
  <si>
    <t>5.50-13 (12PR) With Tube (Lug)</t>
  </si>
  <si>
    <t>6.00-15 (10PR) With Tube (Rib)</t>
  </si>
  <si>
    <t>7.00-15 (14PR) With Tube &amp; Flap (Rib)</t>
  </si>
  <si>
    <t>5.00-12 (12PR) With Tube (Lug) 747</t>
  </si>
  <si>
    <t>7.50-15 (16PR) With Tube &amp; Flap (Rib)</t>
  </si>
  <si>
    <t>6.00-15 (10PR) With Tube (Lug)</t>
  </si>
  <si>
    <t>7.00-15 (10PR) With Tube (Grip)</t>
  </si>
  <si>
    <t>5.00-12 (10PR) With Tube (R/L)</t>
  </si>
  <si>
    <t>6.00-13 (10PR) With Tube (Lug)</t>
  </si>
  <si>
    <t>6.00-13 (10PR) With Tube (Rib)</t>
  </si>
  <si>
    <t>6.50-16 (12PR) With Tube &amp; Flap (Rib)</t>
  </si>
  <si>
    <t>5.00-12 (8PR) With Tube (Rib)</t>
  </si>
  <si>
    <t>5.50-13 (8PR) With Tube (Rib)</t>
  </si>
  <si>
    <t>6.00-14 (8PR) With Tube (Rib)</t>
  </si>
  <si>
    <t>6.50-14 (10PR) With Tube (Rib)</t>
  </si>
  <si>
    <t>6.50-15 (12PR) With Tube (Rib)</t>
  </si>
  <si>
    <t>8.25-20 (16PR) With Tube &amp; Flap (Rib)</t>
  </si>
  <si>
    <t xml:space="preserve"> January - 2021  </t>
  </si>
  <si>
    <t>6.00-13 (8PR) With Tube (Rib) H.W</t>
  </si>
  <si>
    <t xml:space="preserve"> Total</t>
  </si>
  <si>
    <t xml:space="preserve"> February - 2021  </t>
  </si>
  <si>
    <t>9.00-20 (16PR) With Tube &amp; Flap (Rib)</t>
  </si>
  <si>
    <t>6.50-15 (12PR) With Tube (Lug)</t>
  </si>
  <si>
    <t>7.00-16 (12PR) With Tube &amp; Flap (Rib) H.W</t>
  </si>
  <si>
    <t>Code</t>
  </si>
  <si>
    <t>001</t>
  </si>
  <si>
    <t>003</t>
  </si>
  <si>
    <t>006</t>
  </si>
  <si>
    <t>007</t>
  </si>
  <si>
    <t>011</t>
  </si>
  <si>
    <t>013</t>
  </si>
  <si>
    <t>014</t>
  </si>
  <si>
    <t>019</t>
  </si>
  <si>
    <t>015</t>
  </si>
  <si>
    <t>016</t>
  </si>
  <si>
    <t>020</t>
  </si>
  <si>
    <t>021</t>
  </si>
  <si>
    <t>022</t>
  </si>
  <si>
    <t>025</t>
  </si>
  <si>
    <t>026</t>
  </si>
  <si>
    <t>027</t>
  </si>
  <si>
    <t>028</t>
  </si>
  <si>
    <t>029</t>
  </si>
  <si>
    <t>031</t>
  </si>
  <si>
    <t>032</t>
  </si>
  <si>
    <t>036</t>
  </si>
  <si>
    <t>040</t>
  </si>
  <si>
    <t>043</t>
  </si>
  <si>
    <t>045</t>
  </si>
  <si>
    <t>046</t>
  </si>
  <si>
    <t>047</t>
  </si>
  <si>
    <t>049</t>
  </si>
  <si>
    <t>050</t>
  </si>
  <si>
    <t>051</t>
  </si>
  <si>
    <t>055</t>
  </si>
  <si>
    <t>002</t>
  </si>
  <si>
    <t>005</t>
  </si>
  <si>
    <t>009</t>
  </si>
  <si>
    <t>008</t>
  </si>
  <si>
    <t>010</t>
  </si>
  <si>
    <t>004</t>
  </si>
  <si>
    <t>012</t>
  </si>
  <si>
    <t>034</t>
  </si>
  <si>
    <t>017</t>
  </si>
  <si>
    <t>018</t>
  </si>
  <si>
    <t>042</t>
  </si>
  <si>
    <t>056</t>
  </si>
  <si>
    <t>030</t>
  </si>
  <si>
    <t>033</t>
  </si>
  <si>
    <t>035</t>
  </si>
  <si>
    <t>037</t>
  </si>
  <si>
    <t>039</t>
  </si>
  <si>
    <t>038</t>
  </si>
  <si>
    <t>041</t>
  </si>
  <si>
    <t>044</t>
  </si>
  <si>
    <t>048</t>
  </si>
  <si>
    <t>052</t>
  </si>
  <si>
    <t>054</t>
  </si>
  <si>
    <t>023</t>
  </si>
  <si>
    <t>024</t>
  </si>
  <si>
    <t>7.00-16 (12PR) With Tube (Grip)</t>
  </si>
  <si>
    <t>053</t>
  </si>
  <si>
    <t>057</t>
  </si>
  <si>
    <t>8.25-16 (14PR) With Tube &amp; Flap (Rib) H.W</t>
  </si>
  <si>
    <t>9.00-20 (18PR) With Tube &amp; Flap (Lug) 747</t>
  </si>
  <si>
    <t>7.50-16 (16PR) With Tube &amp; Flap (Lug) 747</t>
  </si>
  <si>
    <t>7.50-16 (16PR) With Tube &amp; Flap (Lug) 713</t>
  </si>
  <si>
    <t>7.00-16 (12PR) With Tube &amp; Flap (Rib) 727</t>
  </si>
  <si>
    <t>8.25-16 (18PR) With Tube &amp; Flap (Lug) 713</t>
  </si>
  <si>
    <t>8.25-16 (18PR) With Tube &amp; Flap (Lug) 747</t>
  </si>
  <si>
    <t>8.25-16 (18PR) With Tube &amp; Flap (Lug) 737</t>
  </si>
  <si>
    <t>8.25-20 (18PR) With Tube &amp; Flap (Lug) 747</t>
  </si>
  <si>
    <t>8.25-20 (18PR) With Tube &amp; Flap (Lug) 737</t>
  </si>
  <si>
    <t>9.00-20 (16PR) With Tube &amp; Flap (Lug) 746</t>
  </si>
  <si>
    <t>9.00-20 (18PR) With Tube &amp; Flap (Lug) 737</t>
  </si>
  <si>
    <t>11.00-20 (18PR) With Tube &amp; Flap (Lug) 747</t>
  </si>
  <si>
    <t>4.00-8 (6PR) With Tube (Lug) (713)</t>
  </si>
  <si>
    <t>10.00-20 (18PR) With Tube &amp; Flap (Lug) 737</t>
  </si>
  <si>
    <t>4.00-8 (6PR) With Tube (Rib) (748)</t>
  </si>
  <si>
    <t>7.50-16 (14PR) With Tube (Grip) (YT-723)</t>
  </si>
  <si>
    <t>6.50-20 (8PR) With Tube (AG) 575</t>
  </si>
  <si>
    <t>7.50-16 (10PR) With Tube (AG) 555</t>
  </si>
  <si>
    <t>9.5-24 (8PR) With Tube (AG) 357</t>
  </si>
  <si>
    <t>12.4-24 (8PR) With Tube (AG) 357</t>
  </si>
  <si>
    <t>12.4-24 (12PR) With Tube (AG) 357</t>
  </si>
  <si>
    <t>8.3-24 (8PR) With Tube (AG) 357</t>
  </si>
  <si>
    <t>9.5-24 (12PR) With Tube (AG) 357</t>
  </si>
  <si>
    <t>8.00-18 (8PR) With Tube (AG) 555</t>
  </si>
  <si>
    <t>6.00-12 (8PR) With Tube (AG) 555</t>
  </si>
  <si>
    <t>6.00-16 (10PR) With Tube (AG) 555</t>
  </si>
  <si>
    <t>10.00-20 (18PR) With Tube &amp; Flap (Lug) 747</t>
  </si>
  <si>
    <t>11.2-24 (8PR) With Tube (AG) 135</t>
  </si>
  <si>
    <t>11.2-24 (12PR) With Tube (AG) 135</t>
  </si>
  <si>
    <t>Mann Power</t>
  </si>
  <si>
    <t>Date-11-7-2022</t>
  </si>
  <si>
    <t>45000
47500</t>
  </si>
  <si>
    <t>52000
54500</t>
  </si>
  <si>
    <t>65000
68500</t>
  </si>
  <si>
    <t>96000
101000</t>
  </si>
  <si>
    <t>114000
120000</t>
  </si>
  <si>
    <t>118000
124000</t>
  </si>
  <si>
    <t>175000
184000</t>
  </si>
  <si>
    <t>185000
194000</t>
  </si>
  <si>
    <t>217500
228500</t>
  </si>
  <si>
    <t>18000
17000</t>
  </si>
  <si>
    <t>47000
49500</t>
  </si>
  <si>
    <t>(H2-2021)
Sale Total</t>
  </si>
  <si>
    <t>(H1-2021)
Sale Total</t>
  </si>
  <si>
    <t>(H1-2022)
Sale Total</t>
  </si>
  <si>
    <r>
      <t xml:space="preserve">Yangon Tyre (Nylon) Sale </t>
    </r>
    <r>
      <rPr>
        <b/>
        <sz val="11"/>
        <color rgb="FF00B050"/>
        <rFont val="Pyidaungsu"/>
        <family val="2"/>
      </rPr>
      <t>{ (2021) &amp; (H1-2022) } Compare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</si>
</sst>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&quot;$&quot;* #,##0.0_);_(&quot;$&quot;* \(#,##0.0\);_(&quot;$&quot;* &quot;-&quot;?_);_(@_)"/>
    <numFmt numFmtId="167" formatCode="mmmm\-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Pyidaungsu"/>
      <family val="2"/>
    </font>
    <font>
      <sz val="11"/>
      <color rgb="FF1A10DE"/>
      <name val="Pyidaungsu"/>
      <family val="2"/>
    </font>
    <font>
      <b/>
      <sz val="11"/>
      <color rgb="FF1A10DE"/>
      <name val="Pyidaungsu"/>
      <family val="2"/>
    </font>
    <font>
      <b/>
      <sz val="11"/>
      <color rgb="FFFF0000"/>
      <name val="Pyidaungsu"/>
      <family val="2"/>
    </font>
    <font>
      <b/>
      <sz val="11"/>
      <name val="Pyidaungsu"/>
      <family val="2"/>
    </font>
    <font>
      <sz val="11"/>
      <name val="Pyidaungsu"/>
      <family val="2"/>
    </font>
    <font>
      <sz val="11"/>
      <color theme="1"/>
      <name val="Pyidaungsu"/>
      <family val="2"/>
    </font>
    <font>
      <b/>
      <sz val="11"/>
      <color rgb="FF00B050"/>
      <name val="Pyidaungsu"/>
      <family val="2"/>
    </font>
    <font>
      <b/>
      <sz val="11"/>
      <color rgb="FF0000FF"/>
      <name val="Pyidaungsu"/>
      <family val="2"/>
    </font>
    <font>
      <sz val="11"/>
      <color rgb="FF0000FF"/>
      <name val="Pyidaungsu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17">
    <xf numFmtId="0" fontId="0" fillId="0" borderId="0" xfId="0"/>
    <xf numFmtId="164" fontId="4" fillId="0" borderId="2" xfId="1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9" fontId="4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NumberFormat="1" applyFont="1" applyFill="1" applyBorder="1" applyAlignment="1">
      <alignment vertical="center" wrapText="1" readingOrder="1"/>
    </xf>
    <xf numFmtId="3" fontId="4" fillId="0" borderId="2" xfId="0" applyNumberFormat="1" applyFont="1" applyFill="1" applyBorder="1" applyAlignment="1">
      <alignment horizontal="right" vertical="center" wrapText="1" readingOrder="1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/>
    <xf numFmtId="49" fontId="4" fillId="0" borderId="0" xfId="0" applyNumberFormat="1" applyFont="1" applyFill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top" wrapText="1"/>
    </xf>
    <xf numFmtId="3" fontId="4" fillId="0" borderId="2" xfId="0" applyNumberFormat="1" applyFont="1" applyFill="1" applyBorder="1" applyAlignment="1">
      <alignment horizontal="right" vertical="top" wrapText="1" readingOrder="1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/>
    </xf>
    <xf numFmtId="37" fontId="3" fillId="0" borderId="2" xfId="0" applyNumberFormat="1" applyFont="1" applyFill="1" applyBorder="1" applyAlignment="1">
      <alignment horizontal="center" vertical="center" wrapText="1"/>
    </xf>
    <xf numFmtId="37" fontId="3" fillId="0" borderId="0" xfId="0" applyNumberFormat="1" applyFont="1" applyFill="1" applyAlignment="1">
      <alignment horizontal="center"/>
    </xf>
    <xf numFmtId="0" fontId="3" fillId="0" borderId="0" xfId="0" applyFont="1" applyFill="1"/>
    <xf numFmtId="37" fontId="6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37" fontId="3" fillId="0" borderId="2" xfId="0" applyNumberFormat="1" applyFont="1" applyFill="1" applyBorder="1" applyAlignment="1">
      <alignment horizontal="center" vertical="top" wrapText="1"/>
    </xf>
    <xf numFmtId="0" fontId="5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37" fontId="3" fillId="0" borderId="0" xfId="0" applyNumberFormat="1" applyFont="1" applyFill="1" applyAlignment="1">
      <alignment horizontal="center" vertical="center"/>
    </xf>
    <xf numFmtId="37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Alignment="1">
      <alignment vertical="center"/>
    </xf>
    <xf numFmtId="164" fontId="3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2" xfId="1" applyNumberFormat="1" applyFont="1" applyFill="1" applyBorder="1" applyAlignment="1">
      <alignment horizontal="center" vertical="center"/>
    </xf>
    <xf numFmtId="37" fontId="6" fillId="0" borderId="2" xfId="1" applyNumberFormat="1" applyFont="1" applyFill="1" applyBorder="1" applyAlignment="1">
      <alignment horizontal="center" vertical="center"/>
    </xf>
    <xf numFmtId="164" fontId="5" fillId="0" borderId="2" xfId="1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vertical="center"/>
    </xf>
    <xf numFmtId="37" fontId="3" fillId="0" borderId="2" xfId="0" applyNumberFormat="1" applyFont="1" applyFill="1" applyBorder="1" applyAlignment="1">
      <alignment horizontal="center" vertical="center"/>
    </xf>
    <xf numFmtId="164" fontId="5" fillId="0" borderId="2" xfId="0" applyNumberFormat="1" applyFont="1" applyFill="1" applyBorder="1" applyAlignment="1">
      <alignment horizontal="center" vertical="center"/>
    </xf>
    <xf numFmtId="37" fontId="3" fillId="0" borderId="2" xfId="1" applyNumberFormat="1" applyFont="1" applyFill="1" applyBorder="1" applyAlignment="1">
      <alignment horizontal="center" vertical="center"/>
    </xf>
    <xf numFmtId="164" fontId="4" fillId="0" borderId="2" xfId="1" applyNumberFormat="1" applyFont="1" applyFill="1" applyBorder="1" applyAlignment="1">
      <alignment vertical="center"/>
    </xf>
    <xf numFmtId="164" fontId="4" fillId="0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Fill="1" applyBorder="1" applyAlignment="1">
      <alignment vertical="center"/>
    </xf>
    <xf numFmtId="37" fontId="3" fillId="0" borderId="2" xfId="0" applyNumberFormat="1" applyFont="1" applyFill="1" applyBorder="1" applyAlignment="1">
      <alignment vertical="center"/>
    </xf>
    <xf numFmtId="3" fontId="4" fillId="0" borderId="2" xfId="0" applyNumberFormat="1" applyFont="1" applyFill="1" applyBorder="1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164" fontId="8" fillId="0" borderId="2" xfId="1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3" fillId="0" borderId="0" xfId="0" applyFont="1"/>
    <xf numFmtId="0" fontId="9" fillId="0" borderId="2" xfId="0" applyFont="1" applyBorder="1"/>
    <xf numFmtId="0" fontId="3" fillId="0" borderId="2" xfId="0" applyFont="1" applyBorder="1"/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vertical="center"/>
    </xf>
    <xf numFmtId="0" fontId="4" fillId="2" borderId="2" xfId="0" applyNumberFormat="1" applyFont="1" applyFill="1" applyBorder="1" applyAlignment="1">
      <alignment horizontal="center" vertical="center" wrapText="1" readingOrder="1"/>
    </xf>
    <xf numFmtId="3" fontId="4" fillId="2" borderId="2" xfId="0" applyNumberFormat="1" applyFont="1" applyFill="1" applyBorder="1" applyAlignment="1">
      <alignment horizontal="right" vertical="center" wrapText="1" readingOrder="1"/>
    </xf>
    <xf numFmtId="0" fontId="4" fillId="2" borderId="2" xfId="0" applyFont="1" applyFill="1" applyBorder="1" applyAlignment="1">
      <alignment vertical="center"/>
    </xf>
    <xf numFmtId="3" fontId="4" fillId="2" borderId="2" xfId="0" applyNumberFormat="1" applyFont="1" applyFill="1" applyBorder="1" applyAlignment="1">
      <alignment vertical="center"/>
    </xf>
    <xf numFmtId="164" fontId="5" fillId="2" borderId="2" xfId="1" applyNumberFormat="1" applyFont="1" applyFill="1" applyBorder="1" applyAlignment="1">
      <alignment horizontal="center" vertical="center" wrapText="1" readingOrder="1"/>
    </xf>
    <xf numFmtId="164" fontId="4" fillId="2" borderId="2" xfId="1" applyNumberFormat="1" applyFont="1" applyFill="1" applyBorder="1" applyAlignment="1">
      <alignment vertical="center"/>
    </xf>
    <xf numFmtId="37" fontId="6" fillId="2" borderId="2" xfId="0" applyNumberFormat="1" applyFont="1" applyFill="1" applyBorder="1" applyAlignment="1">
      <alignment horizontal="center" vertical="center" wrapText="1" readingOrder="1"/>
    </xf>
    <xf numFmtId="37" fontId="3" fillId="2" borderId="2" xfId="0" applyNumberFormat="1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64" fontId="4" fillId="2" borderId="2" xfId="1" applyNumberFormat="1" applyFont="1" applyFill="1" applyBorder="1" applyAlignment="1">
      <alignment horizontal="right" vertical="center" wrapText="1" readingOrder="1"/>
    </xf>
    <xf numFmtId="37" fontId="3" fillId="2" borderId="2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37" fontId="3" fillId="0" borderId="0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0" fontId="5" fillId="0" borderId="2" xfId="0" applyFont="1" applyFill="1" applyBorder="1" applyAlignment="1">
      <alignment horizontal="center" vertical="center"/>
    </xf>
    <xf numFmtId="17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49" fontId="5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167" fontId="5" fillId="2" borderId="2" xfId="0" applyNumberFormat="1" applyFont="1" applyFill="1" applyBorder="1" applyAlignment="1">
      <alignment horizontal="center" vertical="center"/>
    </xf>
    <xf numFmtId="167" fontId="5" fillId="0" borderId="2" xfId="0" applyNumberFormat="1" applyFont="1" applyFill="1" applyBorder="1" applyAlignment="1">
      <alignment horizontal="center" vertical="center"/>
    </xf>
    <xf numFmtId="167" fontId="7" fillId="0" borderId="3" xfId="0" applyNumberFormat="1" applyFont="1" applyFill="1" applyBorder="1" applyAlignment="1">
      <alignment horizontal="center" vertical="center"/>
    </xf>
    <xf numFmtId="167" fontId="7" fillId="0" borderId="5" xfId="0" applyNumberFormat="1" applyFont="1" applyFill="1" applyBorder="1" applyAlignment="1">
      <alignment horizontal="center" vertical="center"/>
    </xf>
    <xf numFmtId="167" fontId="7" fillId="0" borderId="4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167" fontId="5" fillId="0" borderId="2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67" fontId="11" fillId="0" borderId="2" xfId="0" applyNumberFormat="1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 wrapText="1" readingOrder="1"/>
    </xf>
    <xf numFmtId="0" fontId="12" fillId="0" borderId="2" xfId="0" applyNumberFormat="1" applyFont="1" applyFill="1" applyBorder="1" applyAlignment="1">
      <alignment horizontal="center" vertical="center" wrapText="1" readingOrder="1"/>
    </xf>
    <xf numFmtId="3" fontId="12" fillId="0" borderId="2" xfId="0" applyNumberFormat="1" applyFont="1" applyFill="1" applyBorder="1" applyAlignment="1">
      <alignment horizontal="right" vertical="center" wrapText="1" readingOrder="1"/>
    </xf>
    <xf numFmtId="0" fontId="12" fillId="0" borderId="2" xfId="0" applyFont="1" applyFill="1" applyBorder="1" applyAlignment="1">
      <alignment vertical="center"/>
    </xf>
    <xf numFmtId="0" fontId="11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3" fontId="11" fillId="0" borderId="2" xfId="0" applyNumberFormat="1" applyFont="1" applyFill="1" applyBorder="1" applyAlignment="1">
      <alignment vertical="center"/>
    </xf>
    <xf numFmtId="0" fontId="12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67" fontId="11" fillId="0" borderId="2" xfId="0" applyNumberFormat="1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center" vertical="center" wrapText="1" readingOrder="1"/>
    </xf>
    <xf numFmtId="164" fontId="4" fillId="0" borderId="2" xfId="1" applyNumberFormat="1" applyFont="1" applyFill="1" applyBorder="1" applyAlignment="1">
      <alignment horizontal="center" vertical="center" wrapText="1" readingOrder="1"/>
    </xf>
    <xf numFmtId="164" fontId="4" fillId="0" borderId="0" xfId="1" applyNumberFormat="1" applyFont="1" applyFill="1" applyAlignment="1">
      <alignment vertical="center"/>
    </xf>
  </cellXfs>
  <cellStyles count="6">
    <cellStyle name="Comma" xfId="1" builtinId="3"/>
    <cellStyle name="Comma 2" xfId="2"/>
    <cellStyle name="Comma 2 2" xfId="4"/>
    <cellStyle name="Comma 2 3" xfId="5"/>
    <cellStyle name="Normal" xfId="0" builtinId="0"/>
    <cellStyle name="Style 1" xfId="3"/>
  </cellStyles>
  <dxfs count="0"/>
  <tableStyles count="0" defaultTableStyle="TableStyleMedium2" defaultPivotStyle="PivotStyleLight16"/>
  <colors>
    <mruColors>
      <color rgb="FF1A10DE"/>
      <color rgb="FF009900"/>
      <color rgb="FF3F0FEF"/>
      <color rgb="FF006600"/>
      <color rgb="FF99FF33"/>
      <color rgb="FFFFFF99"/>
      <color rgb="FFCCFFCC"/>
      <color rgb="FFFFFFCC"/>
      <color rgb="FFFFFFFF"/>
      <color rgb="FF749E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BH67"/>
  <sheetViews>
    <sheetView zoomScaleNormal="100" workbookViewId="0">
      <selection activeCell="B3" sqref="B1:C1048576"/>
    </sheetView>
  </sheetViews>
  <sheetFormatPr defaultColWidth="9.140625" defaultRowHeight="27" customHeight="1" x14ac:dyDescent="0.5"/>
  <cols>
    <col min="1" max="1" width="6" style="3" customWidth="1"/>
    <col min="2" max="2" width="9" style="14" customWidth="1"/>
    <col min="3" max="3" width="43" style="2" customWidth="1"/>
    <col min="4" max="4" width="8" style="3" customWidth="1"/>
    <col min="5" max="5" width="9" style="21" customWidth="1"/>
    <col min="6" max="6" width="14.42578125" style="13" customWidth="1"/>
    <col min="7" max="7" width="10.5703125" style="13" customWidth="1"/>
    <col min="8" max="8" width="6.42578125" style="28" customWidth="1"/>
    <col min="9" max="9" width="9.140625" style="30" customWidth="1"/>
    <col min="10" max="10" width="14.140625" style="27" customWidth="1"/>
    <col min="11" max="11" width="8" style="13" customWidth="1"/>
    <col min="12" max="12" width="9" style="22" customWidth="1"/>
    <col min="13" max="13" width="12.5703125" style="13" customWidth="1"/>
    <col min="14" max="14" width="9.140625" style="13" customWidth="1"/>
    <col min="15" max="15" width="6.42578125" style="27" customWidth="1"/>
    <col min="16" max="16" width="9.140625" style="32" customWidth="1"/>
    <col min="17" max="17" width="11.28515625" style="27" customWidth="1"/>
    <col min="18" max="18" width="8" style="13" customWidth="1"/>
    <col min="19" max="19" width="9.140625" style="22" customWidth="1"/>
    <col min="20" max="20" width="12.5703125" style="13" customWidth="1"/>
    <col min="21" max="21" width="9.140625" style="13" customWidth="1"/>
    <col min="22" max="22" width="6.42578125" style="27" customWidth="1"/>
    <col min="23" max="23" width="9.140625" style="32" customWidth="1"/>
    <col min="24" max="24" width="11.28515625" style="27" customWidth="1"/>
    <col min="25" max="25" width="8" style="13" customWidth="1"/>
    <col min="26" max="26" width="9.140625" style="22" customWidth="1"/>
    <col min="27" max="27" width="12.5703125" style="13" customWidth="1"/>
    <col min="28" max="28" width="6.42578125" style="27" customWidth="1"/>
    <col min="29" max="29" width="9.140625" style="32" customWidth="1"/>
    <col min="30" max="30" width="11.28515625" style="27" customWidth="1"/>
    <col min="31" max="31" width="9.140625" style="59" customWidth="1"/>
    <col min="32" max="32" width="9.140625" style="60" customWidth="1"/>
    <col min="33" max="33" width="18.28515625" style="59" customWidth="1"/>
    <col min="34" max="34" width="6.42578125" style="27" customWidth="1"/>
    <col min="35" max="35" width="9.140625" style="32" customWidth="1"/>
    <col min="36" max="36" width="11.28515625" style="27" customWidth="1"/>
    <col min="37" max="37" width="8" style="13" customWidth="1"/>
    <col min="38" max="38" width="9.7109375" style="22" customWidth="1"/>
    <col min="39" max="39" width="12.5703125" style="13" customWidth="1"/>
    <col min="40" max="40" width="6.42578125" style="27" customWidth="1"/>
    <col min="41" max="41" width="9.140625" style="32" customWidth="1"/>
    <col min="42" max="42" width="14.7109375" style="27" customWidth="1"/>
    <col min="43" max="43" width="5.42578125" style="111" customWidth="1"/>
    <col min="44" max="44" width="8.85546875" style="112" customWidth="1"/>
    <col min="45" max="45" width="11.5703125" style="100" customWidth="1"/>
    <col min="46" max="46" width="5.42578125" style="100" customWidth="1"/>
    <col min="47" max="47" width="8.85546875" style="31" customWidth="1"/>
    <col min="48" max="48" width="11.5703125" style="100" customWidth="1"/>
    <col min="49" max="49" width="5.42578125" style="100" customWidth="1"/>
    <col min="50" max="50" width="8.85546875" style="31" customWidth="1"/>
    <col min="51" max="51" width="11.5703125" style="100" customWidth="1"/>
    <col min="52" max="52" width="5.42578125" style="100" customWidth="1"/>
    <col min="53" max="53" width="8.85546875" style="31" customWidth="1"/>
    <col min="54" max="54" width="11.5703125" style="100" customWidth="1"/>
    <col min="55" max="55" width="5.42578125" style="100" customWidth="1"/>
    <col min="56" max="56" width="8.85546875" style="31" customWidth="1"/>
    <col min="57" max="57" width="11.5703125" style="100" customWidth="1"/>
    <col min="58" max="58" width="5.42578125" style="100" customWidth="1"/>
    <col min="59" max="59" width="8.85546875" style="31" customWidth="1"/>
    <col min="60" max="60" width="11.5703125" style="100" customWidth="1"/>
    <col min="61" max="16384" width="9.140625" style="13"/>
  </cols>
  <sheetData>
    <row r="1" spans="1:60" ht="26.25" customHeight="1" x14ac:dyDescent="0.5">
      <c r="A1" s="89" t="s">
        <v>124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</row>
    <row r="2" spans="1:60" s="39" customFormat="1" ht="26.25" customHeight="1" x14ac:dyDescent="0.25">
      <c r="A2" s="89" t="s">
        <v>140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3"/>
      <c r="AR2" s="83"/>
      <c r="AS2" s="83"/>
      <c r="AT2" s="98"/>
      <c r="AU2" s="99"/>
      <c r="AV2" s="98"/>
      <c r="AW2" s="98"/>
      <c r="AX2" s="99"/>
      <c r="AY2" s="98"/>
      <c r="AZ2" s="98"/>
      <c r="BA2" s="99"/>
      <c r="BB2" s="98"/>
      <c r="BC2" s="98"/>
      <c r="BD2" s="99"/>
      <c r="BE2" s="98"/>
      <c r="BF2" s="98"/>
      <c r="BG2" s="99"/>
      <c r="BH2" s="98"/>
    </row>
    <row r="3" spans="1:60" s="2" customFormat="1" ht="26.25" customHeight="1" x14ac:dyDescent="0.5">
      <c r="A3" s="35"/>
      <c r="B3" s="36"/>
      <c r="C3" s="6"/>
      <c r="D3" s="35"/>
      <c r="E3" s="81"/>
      <c r="F3" s="6"/>
      <c r="G3" s="6"/>
      <c r="H3" s="3"/>
      <c r="I3" s="29"/>
      <c r="K3" s="37"/>
      <c r="L3" s="38"/>
      <c r="M3" s="37"/>
      <c r="P3" s="31"/>
      <c r="S3" s="31"/>
      <c r="W3" s="31"/>
      <c r="Z3" s="31"/>
      <c r="AC3" s="31"/>
      <c r="AE3" s="59"/>
      <c r="AF3" s="60"/>
      <c r="AG3" s="59"/>
      <c r="AI3" s="31"/>
      <c r="AL3" s="31"/>
      <c r="AO3" s="31"/>
      <c r="AQ3" s="101"/>
      <c r="AR3" s="102"/>
      <c r="AS3" s="101"/>
      <c r="AT3" s="100"/>
      <c r="AU3" s="31"/>
      <c r="AV3" s="100"/>
      <c r="AW3" s="100"/>
      <c r="AX3" s="31"/>
      <c r="AY3" s="100"/>
      <c r="AZ3" s="100"/>
      <c r="BA3" s="31"/>
      <c r="BB3" s="100"/>
      <c r="BC3" s="100"/>
      <c r="BD3" s="31"/>
      <c r="BE3" s="100"/>
      <c r="BF3" s="100"/>
      <c r="BG3" s="31"/>
      <c r="BH3" s="100"/>
    </row>
    <row r="4" spans="1:60" s="2" customFormat="1" ht="36.75" customHeight="1" x14ac:dyDescent="0.25">
      <c r="A4" s="87" t="s">
        <v>4</v>
      </c>
      <c r="B4" s="88" t="s">
        <v>35</v>
      </c>
      <c r="C4" s="87" t="s">
        <v>1</v>
      </c>
      <c r="D4" s="86" t="s">
        <v>28</v>
      </c>
      <c r="E4" s="86"/>
      <c r="F4" s="86"/>
      <c r="G4" s="86"/>
      <c r="H4" s="90">
        <v>44562</v>
      </c>
      <c r="I4" s="90"/>
      <c r="J4" s="90"/>
      <c r="K4" s="86" t="s">
        <v>31</v>
      </c>
      <c r="L4" s="86"/>
      <c r="M4" s="86"/>
      <c r="N4" s="86"/>
      <c r="O4" s="90">
        <v>44593</v>
      </c>
      <c r="P4" s="90"/>
      <c r="Q4" s="90"/>
      <c r="R4" s="91">
        <v>44256</v>
      </c>
      <c r="S4" s="91"/>
      <c r="T4" s="91"/>
      <c r="U4" s="91"/>
      <c r="V4" s="90">
        <v>44621</v>
      </c>
      <c r="W4" s="90"/>
      <c r="X4" s="90"/>
      <c r="Y4" s="91">
        <v>44287</v>
      </c>
      <c r="Z4" s="91"/>
      <c r="AA4" s="91"/>
      <c r="AB4" s="90">
        <v>44652</v>
      </c>
      <c r="AC4" s="90"/>
      <c r="AD4" s="90"/>
      <c r="AE4" s="92">
        <v>44317</v>
      </c>
      <c r="AF4" s="93"/>
      <c r="AG4" s="94"/>
      <c r="AH4" s="90">
        <v>44682</v>
      </c>
      <c r="AI4" s="90"/>
      <c r="AJ4" s="90"/>
      <c r="AK4" s="91">
        <v>44348</v>
      </c>
      <c r="AL4" s="91"/>
      <c r="AM4" s="91"/>
      <c r="AN4" s="90">
        <v>44713</v>
      </c>
      <c r="AO4" s="90"/>
      <c r="AP4" s="90"/>
      <c r="AQ4" s="103">
        <v>44378</v>
      </c>
      <c r="AR4" s="103"/>
      <c r="AS4" s="103"/>
      <c r="AT4" s="103">
        <v>44409</v>
      </c>
      <c r="AU4" s="103"/>
      <c r="AV4" s="103"/>
      <c r="AW4" s="103">
        <v>44440</v>
      </c>
      <c r="AX4" s="103"/>
      <c r="AY4" s="103"/>
      <c r="AZ4" s="103">
        <v>44470</v>
      </c>
      <c r="BA4" s="103"/>
      <c r="BB4" s="103"/>
      <c r="BC4" s="103">
        <v>44501</v>
      </c>
      <c r="BD4" s="103"/>
      <c r="BE4" s="103"/>
      <c r="BF4" s="103">
        <v>44531</v>
      </c>
      <c r="BG4" s="103"/>
      <c r="BH4" s="103"/>
    </row>
    <row r="5" spans="1:60" s="39" customFormat="1" ht="36.75" customHeight="1" x14ac:dyDescent="0.25">
      <c r="A5" s="87"/>
      <c r="B5" s="88"/>
      <c r="C5" s="87"/>
      <c r="D5" s="18" t="s">
        <v>2</v>
      </c>
      <c r="E5" s="23" t="s">
        <v>6</v>
      </c>
      <c r="F5" s="17" t="s">
        <v>3</v>
      </c>
      <c r="G5" s="17" t="s">
        <v>0</v>
      </c>
      <c r="H5" s="66" t="s">
        <v>2</v>
      </c>
      <c r="I5" s="74" t="s">
        <v>6</v>
      </c>
      <c r="J5" s="66" t="s">
        <v>3</v>
      </c>
      <c r="K5" s="18" t="s">
        <v>2</v>
      </c>
      <c r="L5" s="23" t="s">
        <v>6</v>
      </c>
      <c r="M5" s="17" t="s">
        <v>3</v>
      </c>
      <c r="N5" s="17" t="s">
        <v>0</v>
      </c>
      <c r="O5" s="66" t="s">
        <v>2</v>
      </c>
      <c r="P5" s="74" t="s">
        <v>6</v>
      </c>
      <c r="Q5" s="66" t="s">
        <v>3</v>
      </c>
      <c r="R5" s="18" t="s">
        <v>2</v>
      </c>
      <c r="S5" s="23" t="s">
        <v>6</v>
      </c>
      <c r="T5" s="17" t="s">
        <v>3</v>
      </c>
      <c r="U5" s="17" t="s">
        <v>0</v>
      </c>
      <c r="V5" s="66" t="s">
        <v>2</v>
      </c>
      <c r="W5" s="74" t="s">
        <v>6</v>
      </c>
      <c r="X5" s="66" t="s">
        <v>3</v>
      </c>
      <c r="Y5" s="18" t="s">
        <v>2</v>
      </c>
      <c r="Z5" s="23" t="s">
        <v>6</v>
      </c>
      <c r="AA5" s="17" t="s">
        <v>3</v>
      </c>
      <c r="AB5" s="66" t="s">
        <v>2</v>
      </c>
      <c r="AC5" s="74" t="s">
        <v>6</v>
      </c>
      <c r="AD5" s="66" t="s">
        <v>3</v>
      </c>
      <c r="AE5" s="56" t="s">
        <v>2</v>
      </c>
      <c r="AF5" s="33" t="s">
        <v>6</v>
      </c>
      <c r="AG5" s="56" t="s">
        <v>3</v>
      </c>
      <c r="AH5" s="66" t="s">
        <v>2</v>
      </c>
      <c r="AI5" s="74" t="s">
        <v>6</v>
      </c>
      <c r="AJ5" s="66" t="s">
        <v>3</v>
      </c>
      <c r="AK5" s="18" t="s">
        <v>2</v>
      </c>
      <c r="AL5" s="23" t="s">
        <v>6</v>
      </c>
      <c r="AM5" s="17" t="s">
        <v>3</v>
      </c>
      <c r="AN5" s="66" t="s">
        <v>2</v>
      </c>
      <c r="AO5" s="74" t="s">
        <v>6</v>
      </c>
      <c r="AP5" s="66" t="s">
        <v>3</v>
      </c>
      <c r="AQ5" s="104" t="s">
        <v>2</v>
      </c>
      <c r="AR5" s="33" t="s">
        <v>6</v>
      </c>
      <c r="AS5" s="104" t="s">
        <v>3</v>
      </c>
      <c r="AT5" s="104" t="s">
        <v>2</v>
      </c>
      <c r="AU5" s="33" t="s">
        <v>6</v>
      </c>
      <c r="AV5" s="104" t="s">
        <v>3</v>
      </c>
      <c r="AW5" s="104" t="s">
        <v>2</v>
      </c>
      <c r="AX5" s="33" t="s">
        <v>6</v>
      </c>
      <c r="AY5" s="104" t="s">
        <v>3</v>
      </c>
      <c r="AZ5" s="104" t="s">
        <v>2</v>
      </c>
      <c r="BA5" s="33" t="s">
        <v>6</v>
      </c>
      <c r="BB5" s="104" t="s">
        <v>3</v>
      </c>
      <c r="BC5" s="104" t="s">
        <v>2</v>
      </c>
      <c r="BD5" s="33" t="s">
        <v>6</v>
      </c>
      <c r="BE5" s="104" t="s">
        <v>3</v>
      </c>
      <c r="BF5" s="104" t="s">
        <v>2</v>
      </c>
      <c r="BG5" s="33" t="s">
        <v>6</v>
      </c>
      <c r="BH5" s="104" t="s">
        <v>3</v>
      </c>
    </row>
    <row r="6" spans="1:60" s="39" customFormat="1" ht="27" customHeight="1" x14ac:dyDescent="0.25">
      <c r="A6" s="4">
        <v>1</v>
      </c>
      <c r="B6" s="9" t="s">
        <v>36</v>
      </c>
      <c r="C6" s="10" t="s">
        <v>22</v>
      </c>
      <c r="D6" s="18"/>
      <c r="E6" s="23"/>
      <c r="F6" s="17"/>
      <c r="G6" s="17"/>
      <c r="H6" s="66"/>
      <c r="I6" s="74"/>
      <c r="J6" s="66"/>
      <c r="K6" s="5">
        <f>135+50</f>
        <v>185</v>
      </c>
      <c r="L6" s="20">
        <v>36500</v>
      </c>
      <c r="M6" s="11">
        <f>K6*L6*98%</f>
        <v>6617450</v>
      </c>
      <c r="N6" s="7">
        <v>0.02</v>
      </c>
      <c r="O6" s="68">
        <f>30+50</f>
        <v>80</v>
      </c>
      <c r="P6" s="75">
        <v>52500</v>
      </c>
      <c r="Q6" s="69">
        <f>O6*P6</f>
        <v>4200000</v>
      </c>
      <c r="R6" s="12">
        <v>65</v>
      </c>
      <c r="S6" s="20">
        <v>36500</v>
      </c>
      <c r="T6" s="1">
        <f>R6*S6*98%</f>
        <v>2325050</v>
      </c>
      <c r="U6" s="7">
        <v>0.02</v>
      </c>
      <c r="V6" s="68">
        <f>100+27</f>
        <v>127</v>
      </c>
      <c r="W6" s="75">
        <v>52500</v>
      </c>
      <c r="X6" s="69">
        <f>V6*W6</f>
        <v>6667500</v>
      </c>
      <c r="Y6" s="18"/>
      <c r="Z6" s="23"/>
      <c r="AA6" s="17"/>
      <c r="AB6" s="68">
        <v>43</v>
      </c>
      <c r="AC6" s="75">
        <v>52500</v>
      </c>
      <c r="AD6" s="69">
        <f>AB6*AC6</f>
        <v>2257500</v>
      </c>
      <c r="AH6" s="67"/>
      <c r="AI6" s="76"/>
      <c r="AJ6" s="67"/>
      <c r="AK6" s="5">
        <v>20</v>
      </c>
      <c r="AL6" s="20">
        <v>40200</v>
      </c>
      <c r="AM6" s="11">
        <f t="shared" ref="AM6:AM11" si="0">AK6*AL6</f>
        <v>804000</v>
      </c>
      <c r="AN6" s="67"/>
      <c r="AO6" s="76"/>
      <c r="AP6" s="73">
        <f>AN6*AO6</f>
        <v>0</v>
      </c>
      <c r="AQ6" s="105">
        <f>20+90</f>
        <v>110</v>
      </c>
      <c r="AR6" s="57">
        <v>40200</v>
      </c>
      <c r="AS6" s="106">
        <f>AQ6*AR6</f>
        <v>4422000</v>
      </c>
      <c r="AT6" s="105">
        <f>90+80</f>
        <v>170</v>
      </c>
      <c r="AU6" s="57">
        <v>40200</v>
      </c>
      <c r="AV6" s="106">
        <f>AT6*AU6</f>
        <v>6834000</v>
      </c>
      <c r="AW6" s="104"/>
      <c r="AX6" s="33"/>
      <c r="AY6" s="104"/>
      <c r="AZ6" s="104"/>
      <c r="BA6" s="33"/>
      <c r="BB6" s="104"/>
      <c r="BC6" s="105">
        <f>50+45</f>
        <v>95</v>
      </c>
      <c r="BD6" s="57">
        <v>52500</v>
      </c>
      <c r="BE6" s="106">
        <f t="shared" ref="BE6:BE26" si="1">BC6*BD6</f>
        <v>4987500</v>
      </c>
      <c r="BF6" s="105">
        <v>55</v>
      </c>
      <c r="BG6" s="57">
        <v>52500</v>
      </c>
      <c r="BH6" s="106">
        <f t="shared" ref="BH6:BH61" si="2">BF6*BG6</f>
        <v>2887500</v>
      </c>
    </row>
    <row r="7" spans="1:60" s="6" customFormat="1" ht="27" customHeight="1" x14ac:dyDescent="0.25">
      <c r="A7" s="4">
        <v>2</v>
      </c>
      <c r="B7" s="9" t="s">
        <v>66</v>
      </c>
      <c r="C7" s="10" t="s">
        <v>18</v>
      </c>
      <c r="D7" s="5">
        <f>410+515</f>
        <v>925</v>
      </c>
      <c r="E7" s="20">
        <v>37000</v>
      </c>
      <c r="F7" s="11">
        <f t="shared" ref="F7:F59" si="3">D7*E7*98%</f>
        <v>33540500</v>
      </c>
      <c r="G7" s="7">
        <v>0.02</v>
      </c>
      <c r="H7" s="68">
        <f>174+180</f>
        <v>354</v>
      </c>
      <c r="I7" s="75">
        <v>53000</v>
      </c>
      <c r="J7" s="69">
        <f>H7*I7</f>
        <v>18762000</v>
      </c>
      <c r="K7" s="5">
        <f>60+115</f>
        <v>175</v>
      </c>
      <c r="L7" s="20">
        <v>37000</v>
      </c>
      <c r="M7" s="11">
        <f>K7*L7*98%</f>
        <v>6345500</v>
      </c>
      <c r="N7" s="7">
        <v>0.02</v>
      </c>
      <c r="O7" s="68">
        <f>300+276</f>
        <v>576</v>
      </c>
      <c r="P7" s="75">
        <v>53000</v>
      </c>
      <c r="Q7" s="69">
        <f t="shared" ref="Q7:Q8" si="4">O7*P7</f>
        <v>30528000</v>
      </c>
      <c r="R7" s="12">
        <v>315</v>
      </c>
      <c r="S7" s="20">
        <v>37000</v>
      </c>
      <c r="T7" s="1">
        <f>R7*S7*98%</f>
        <v>11421900</v>
      </c>
      <c r="U7" s="7">
        <v>0.02</v>
      </c>
      <c r="V7" s="68">
        <f>250+300</f>
        <v>550</v>
      </c>
      <c r="W7" s="75">
        <v>53000</v>
      </c>
      <c r="X7" s="69">
        <f t="shared" ref="X7" si="5">V7*W7</f>
        <v>29150000</v>
      </c>
      <c r="Y7" s="12">
        <f>305+60</f>
        <v>365</v>
      </c>
      <c r="Z7" s="20">
        <v>37000</v>
      </c>
      <c r="AA7" s="1">
        <f>Y7*Z7</f>
        <v>13505000</v>
      </c>
      <c r="AB7" s="68">
        <f>250+100</f>
        <v>350</v>
      </c>
      <c r="AC7" s="75">
        <v>53000</v>
      </c>
      <c r="AD7" s="69">
        <f t="shared" ref="AD7:AD8" si="6">AB7*AC7</f>
        <v>18550000</v>
      </c>
      <c r="AE7" s="54">
        <v>425</v>
      </c>
      <c r="AF7" s="57">
        <v>40700</v>
      </c>
      <c r="AG7" s="55">
        <f>AE7*AF7</f>
        <v>17297500</v>
      </c>
      <c r="AH7" s="68">
        <f>150+200</f>
        <v>350</v>
      </c>
      <c r="AI7" s="75">
        <v>53000</v>
      </c>
      <c r="AJ7" s="69">
        <f>AH7*AI7</f>
        <v>18550000</v>
      </c>
      <c r="AK7" s="5">
        <f>175+370</f>
        <v>545</v>
      </c>
      <c r="AL7" s="20">
        <v>40700</v>
      </c>
      <c r="AM7" s="11">
        <f t="shared" si="0"/>
        <v>22181500</v>
      </c>
      <c r="AN7" s="68">
        <v>400</v>
      </c>
      <c r="AO7" s="75">
        <v>53000</v>
      </c>
      <c r="AP7" s="73">
        <f t="shared" ref="AP7:AP62" si="7">AN7*AO7</f>
        <v>21200000</v>
      </c>
      <c r="AQ7" s="105">
        <f>85+110</f>
        <v>195</v>
      </c>
      <c r="AR7" s="57">
        <v>40700</v>
      </c>
      <c r="AS7" s="106">
        <f>AQ7*AR7</f>
        <v>7936500</v>
      </c>
      <c r="AT7" s="105">
        <f>240+240</f>
        <v>480</v>
      </c>
      <c r="AU7" s="57">
        <v>40700</v>
      </c>
      <c r="AV7" s="106">
        <f>AT7*AU7</f>
        <v>19536000</v>
      </c>
      <c r="AW7" s="105">
        <f>100+200+50+100</f>
        <v>450</v>
      </c>
      <c r="AX7" s="57" t="s">
        <v>126</v>
      </c>
      <c r="AY7" s="106">
        <f>13500000+7125000</f>
        <v>20625000</v>
      </c>
      <c r="AZ7" s="105">
        <f>100+145</f>
        <v>245</v>
      </c>
      <c r="BA7" s="57">
        <v>53000</v>
      </c>
      <c r="BB7" s="106">
        <f t="shared" ref="BB7:BB61" si="8">AZ7*BA7</f>
        <v>12985000</v>
      </c>
      <c r="BC7" s="105">
        <f>50+274</f>
        <v>324</v>
      </c>
      <c r="BD7" s="57">
        <v>53000</v>
      </c>
      <c r="BE7" s="106">
        <f t="shared" si="1"/>
        <v>17172000</v>
      </c>
      <c r="BF7" s="105">
        <f>150+146</f>
        <v>296</v>
      </c>
      <c r="BG7" s="57">
        <v>53000</v>
      </c>
      <c r="BH7" s="106">
        <f t="shared" si="2"/>
        <v>15688000</v>
      </c>
    </row>
    <row r="8" spans="1:60" s="6" customFormat="1" ht="27" customHeight="1" x14ac:dyDescent="0.25">
      <c r="A8" s="4">
        <v>3</v>
      </c>
      <c r="B8" s="9" t="s">
        <v>37</v>
      </c>
      <c r="C8" s="10" t="s">
        <v>119</v>
      </c>
      <c r="D8" s="5">
        <f>80+395</f>
        <v>475</v>
      </c>
      <c r="E8" s="20">
        <v>42500</v>
      </c>
      <c r="F8" s="11">
        <f t="shared" si="3"/>
        <v>19783750</v>
      </c>
      <c r="G8" s="7">
        <v>0.02</v>
      </c>
      <c r="H8" s="68">
        <f>150+113</f>
        <v>263</v>
      </c>
      <c r="I8" s="75">
        <v>62500</v>
      </c>
      <c r="J8" s="69">
        <f>H8*I8</f>
        <v>16437500</v>
      </c>
      <c r="K8" s="5">
        <f>270+80</f>
        <v>350</v>
      </c>
      <c r="L8" s="20">
        <v>42500</v>
      </c>
      <c r="M8" s="11">
        <f>K8*L8*98%</f>
        <v>14577500</v>
      </c>
      <c r="N8" s="7">
        <v>0.02</v>
      </c>
      <c r="O8" s="68">
        <f>28+120</f>
        <v>148</v>
      </c>
      <c r="P8" s="75">
        <v>62500</v>
      </c>
      <c r="Q8" s="69">
        <f t="shared" si="4"/>
        <v>9250000</v>
      </c>
      <c r="R8" s="12">
        <v>130</v>
      </c>
      <c r="S8" s="20">
        <v>42500</v>
      </c>
      <c r="T8" s="1">
        <f>R8*S8*98%</f>
        <v>5414500</v>
      </c>
      <c r="U8" s="7">
        <v>0.02</v>
      </c>
      <c r="V8" s="68">
        <v>380</v>
      </c>
      <c r="W8" s="75">
        <v>62500</v>
      </c>
      <c r="X8" s="69">
        <f>V8*W8</f>
        <v>23750000</v>
      </c>
      <c r="Y8" s="12">
        <v>226</v>
      </c>
      <c r="Z8" s="20">
        <v>42500</v>
      </c>
      <c r="AA8" s="1">
        <f>Y8*Z8</f>
        <v>9605000</v>
      </c>
      <c r="AB8" s="68">
        <f>50+57</f>
        <v>107</v>
      </c>
      <c r="AC8" s="75">
        <v>62500</v>
      </c>
      <c r="AD8" s="69">
        <f t="shared" si="6"/>
        <v>6687500</v>
      </c>
      <c r="AE8" s="54">
        <v>329</v>
      </c>
      <c r="AF8" s="57">
        <v>46800</v>
      </c>
      <c r="AG8" s="55">
        <f>AE8*AF8</f>
        <v>15397200</v>
      </c>
      <c r="AH8" s="68">
        <f>43+250</f>
        <v>293</v>
      </c>
      <c r="AI8" s="75">
        <v>62500</v>
      </c>
      <c r="AJ8" s="69">
        <f>AH8*AI8</f>
        <v>18312500</v>
      </c>
      <c r="AK8" s="5">
        <f>60+465</f>
        <v>525</v>
      </c>
      <c r="AL8" s="20">
        <v>46800</v>
      </c>
      <c r="AM8" s="11">
        <f t="shared" si="0"/>
        <v>24570000</v>
      </c>
      <c r="AN8" s="68">
        <v>550</v>
      </c>
      <c r="AO8" s="75">
        <v>62500</v>
      </c>
      <c r="AP8" s="73">
        <f t="shared" si="7"/>
        <v>34375000</v>
      </c>
      <c r="AQ8" s="105">
        <v>20</v>
      </c>
      <c r="AR8" s="57">
        <v>46800</v>
      </c>
      <c r="AS8" s="106">
        <f>AQ8*AR8</f>
        <v>936000</v>
      </c>
      <c r="AT8" s="105">
        <v>200</v>
      </c>
      <c r="AU8" s="57">
        <v>46800</v>
      </c>
      <c r="AV8" s="106">
        <f>AT8*AU8</f>
        <v>9360000</v>
      </c>
      <c r="AW8" s="105">
        <f>50+100+50</f>
        <v>200</v>
      </c>
      <c r="AX8" s="57" t="s">
        <v>127</v>
      </c>
      <c r="AY8" s="106">
        <f>7800000+2725000</f>
        <v>10525000</v>
      </c>
      <c r="AZ8" s="105">
        <f>200+50</f>
        <v>250</v>
      </c>
      <c r="BA8" s="57">
        <v>62500</v>
      </c>
      <c r="BB8" s="106">
        <f t="shared" si="8"/>
        <v>15625000</v>
      </c>
      <c r="BC8" s="105">
        <v>100</v>
      </c>
      <c r="BD8" s="57">
        <v>62500</v>
      </c>
      <c r="BE8" s="106">
        <f t="shared" si="1"/>
        <v>6250000</v>
      </c>
      <c r="BF8" s="105">
        <f>150+59</f>
        <v>209</v>
      </c>
      <c r="BG8" s="57">
        <v>62500</v>
      </c>
      <c r="BH8" s="106">
        <f t="shared" si="2"/>
        <v>13062500</v>
      </c>
    </row>
    <row r="9" spans="1:60" s="6" customFormat="1" ht="27" customHeight="1" x14ac:dyDescent="0.25">
      <c r="A9" s="4">
        <v>4</v>
      </c>
      <c r="B9" s="9" t="s">
        <v>71</v>
      </c>
      <c r="C9" s="10" t="s">
        <v>120</v>
      </c>
      <c r="D9" s="5"/>
      <c r="E9" s="20"/>
      <c r="F9" s="11"/>
      <c r="G9" s="7"/>
      <c r="H9" s="68">
        <v>20</v>
      </c>
      <c r="I9" s="75">
        <v>90500</v>
      </c>
      <c r="J9" s="69">
        <f>H9*I9</f>
        <v>1810000</v>
      </c>
      <c r="K9" s="5"/>
      <c r="L9" s="20"/>
      <c r="M9" s="11"/>
      <c r="N9" s="7"/>
      <c r="O9" s="70"/>
      <c r="P9" s="77"/>
      <c r="Q9" s="70"/>
      <c r="R9" s="12"/>
      <c r="S9" s="20"/>
      <c r="T9" s="1"/>
      <c r="U9" s="7"/>
      <c r="V9" s="70"/>
      <c r="W9" s="77"/>
      <c r="X9" s="70"/>
      <c r="Y9" s="19"/>
      <c r="Z9" s="24"/>
      <c r="AA9" s="19"/>
      <c r="AB9" s="70"/>
      <c r="AC9" s="77"/>
      <c r="AD9" s="70"/>
      <c r="AE9" s="19"/>
      <c r="AF9" s="19"/>
      <c r="AG9" s="19"/>
      <c r="AH9" s="70"/>
      <c r="AI9" s="77"/>
      <c r="AJ9" s="70"/>
      <c r="AK9" s="5">
        <f>10+50</f>
        <v>60</v>
      </c>
      <c r="AL9" s="20">
        <v>62400</v>
      </c>
      <c r="AM9" s="11">
        <f t="shared" si="0"/>
        <v>3744000</v>
      </c>
      <c r="AN9" s="70"/>
      <c r="AO9" s="77"/>
      <c r="AP9" s="73">
        <f t="shared" si="7"/>
        <v>0</v>
      </c>
      <c r="AQ9" s="105"/>
      <c r="AR9" s="57"/>
      <c r="AS9" s="106"/>
      <c r="AT9" s="105"/>
      <c r="AU9" s="57"/>
      <c r="AV9" s="106"/>
      <c r="AW9" s="105">
        <v>50</v>
      </c>
      <c r="AX9" s="57">
        <v>69000</v>
      </c>
      <c r="AY9" s="106">
        <f t="shared" ref="AY9:AY61" si="9">AW9*AX9</f>
        <v>3450000</v>
      </c>
      <c r="AZ9" s="105"/>
      <c r="BA9" s="57"/>
      <c r="BB9" s="106"/>
      <c r="BC9" s="105"/>
      <c r="BD9" s="57"/>
      <c r="BE9" s="106"/>
      <c r="BF9" s="105"/>
      <c r="BG9" s="57"/>
      <c r="BH9" s="106"/>
    </row>
    <row r="10" spans="1:60" s="6" customFormat="1" ht="27" customHeight="1" x14ac:dyDescent="0.25">
      <c r="A10" s="4">
        <v>5</v>
      </c>
      <c r="B10" s="9" t="s">
        <v>67</v>
      </c>
      <c r="C10" s="10" t="s">
        <v>23</v>
      </c>
      <c r="D10" s="5"/>
      <c r="E10" s="20"/>
      <c r="F10" s="11"/>
      <c r="G10" s="7"/>
      <c r="H10" s="68"/>
      <c r="I10" s="75"/>
      <c r="J10" s="69"/>
      <c r="K10" s="5"/>
      <c r="L10" s="20"/>
      <c r="M10" s="11"/>
      <c r="N10" s="7"/>
      <c r="O10" s="70"/>
      <c r="P10" s="77"/>
      <c r="Q10" s="70"/>
      <c r="R10" s="12"/>
      <c r="S10" s="20"/>
      <c r="T10" s="1"/>
      <c r="U10" s="7"/>
      <c r="V10" s="68">
        <v>30</v>
      </c>
      <c r="W10" s="75">
        <v>64000</v>
      </c>
      <c r="X10" s="69">
        <f>V10*W10</f>
        <v>1920000</v>
      </c>
      <c r="Y10" s="19"/>
      <c r="Z10" s="24"/>
      <c r="AA10" s="19"/>
      <c r="AB10" s="70"/>
      <c r="AC10" s="77"/>
      <c r="AD10" s="70"/>
      <c r="AE10" s="19"/>
      <c r="AF10" s="19"/>
      <c r="AG10" s="19"/>
      <c r="AH10" s="70"/>
      <c r="AI10" s="77"/>
      <c r="AJ10" s="70"/>
      <c r="AK10" s="5">
        <v>20</v>
      </c>
      <c r="AL10" s="20">
        <v>47900</v>
      </c>
      <c r="AM10" s="11">
        <f t="shared" si="0"/>
        <v>958000</v>
      </c>
      <c r="AN10" s="70"/>
      <c r="AO10" s="77"/>
      <c r="AP10" s="73">
        <f t="shared" si="7"/>
        <v>0</v>
      </c>
      <c r="AQ10" s="105">
        <f>80+30</f>
        <v>110</v>
      </c>
      <c r="AR10" s="57">
        <v>47900</v>
      </c>
      <c r="AS10" s="106">
        <f>AQ10*AR10</f>
        <v>5269000</v>
      </c>
      <c r="AT10" s="105"/>
      <c r="AU10" s="57"/>
      <c r="AV10" s="106"/>
      <c r="AW10" s="105">
        <v>50</v>
      </c>
      <c r="AX10" s="57">
        <v>53000</v>
      </c>
      <c r="AY10" s="106">
        <f t="shared" si="9"/>
        <v>2650000</v>
      </c>
      <c r="AZ10" s="105"/>
      <c r="BA10" s="57"/>
      <c r="BB10" s="106"/>
      <c r="BC10" s="105"/>
      <c r="BD10" s="57"/>
      <c r="BE10" s="106"/>
      <c r="BF10" s="105">
        <v>20</v>
      </c>
      <c r="BG10" s="57">
        <v>64000</v>
      </c>
      <c r="BH10" s="106">
        <f t="shared" si="2"/>
        <v>1280000</v>
      </c>
    </row>
    <row r="11" spans="1:60" s="6" customFormat="1" ht="27" customHeight="1" x14ac:dyDescent="0.25">
      <c r="A11" s="4">
        <v>6</v>
      </c>
      <c r="B11" s="9" t="s">
        <v>38</v>
      </c>
      <c r="C11" s="10" t="s">
        <v>11</v>
      </c>
      <c r="D11" s="5">
        <v>20</v>
      </c>
      <c r="E11" s="20">
        <v>44000</v>
      </c>
      <c r="F11" s="11">
        <f t="shared" si="3"/>
        <v>862400</v>
      </c>
      <c r="G11" s="7">
        <v>0.02</v>
      </c>
      <c r="H11" s="68">
        <v>40</v>
      </c>
      <c r="I11" s="75">
        <v>64500</v>
      </c>
      <c r="J11" s="69">
        <f>H11*I11</f>
        <v>2580000</v>
      </c>
      <c r="K11" s="5"/>
      <c r="L11" s="20"/>
      <c r="M11" s="11"/>
      <c r="N11" s="7"/>
      <c r="O11" s="68">
        <v>60</v>
      </c>
      <c r="P11" s="75">
        <v>64500</v>
      </c>
      <c r="Q11" s="69">
        <f>O11*P11</f>
        <v>3870000</v>
      </c>
      <c r="R11" s="12">
        <v>240</v>
      </c>
      <c r="S11" s="20">
        <v>44000</v>
      </c>
      <c r="T11" s="1">
        <f>R11*S11*98%</f>
        <v>10348800</v>
      </c>
      <c r="U11" s="7">
        <v>0.02</v>
      </c>
      <c r="V11" s="68">
        <f>50+80</f>
        <v>130</v>
      </c>
      <c r="W11" s="75">
        <v>64500</v>
      </c>
      <c r="X11" s="69">
        <f>V11*W11</f>
        <v>8385000</v>
      </c>
      <c r="Y11" s="12">
        <v>20</v>
      </c>
      <c r="Z11" s="20">
        <v>44000</v>
      </c>
      <c r="AA11" s="1">
        <f>Y11*Z11</f>
        <v>880000</v>
      </c>
      <c r="AB11" s="68">
        <v>20</v>
      </c>
      <c r="AC11" s="75">
        <v>64500</v>
      </c>
      <c r="AD11" s="69">
        <f>AB11*AC11</f>
        <v>1290000</v>
      </c>
      <c r="AE11" s="54">
        <v>205</v>
      </c>
      <c r="AF11" s="57">
        <v>48400</v>
      </c>
      <c r="AG11" s="55">
        <f>AE11*AF11</f>
        <v>9922000</v>
      </c>
      <c r="AH11" s="70"/>
      <c r="AI11" s="77"/>
      <c r="AJ11" s="70"/>
      <c r="AK11" s="5">
        <v>55</v>
      </c>
      <c r="AL11" s="20">
        <v>48400</v>
      </c>
      <c r="AM11" s="11">
        <f t="shared" si="0"/>
        <v>2662000</v>
      </c>
      <c r="AN11" s="70"/>
      <c r="AO11" s="77"/>
      <c r="AP11" s="73">
        <f t="shared" si="7"/>
        <v>0</v>
      </c>
      <c r="AQ11" s="105">
        <v>20</v>
      </c>
      <c r="AR11" s="57">
        <v>48400</v>
      </c>
      <c r="AS11" s="106">
        <f>AQ11*AR11</f>
        <v>968000</v>
      </c>
      <c r="AT11" s="105">
        <v>140</v>
      </c>
      <c r="AU11" s="57">
        <v>48400</v>
      </c>
      <c r="AV11" s="106">
        <f>AT11*AU11</f>
        <v>6776000</v>
      </c>
      <c r="AW11" s="105">
        <v>100</v>
      </c>
      <c r="AX11" s="57">
        <v>53500</v>
      </c>
      <c r="AY11" s="106">
        <f t="shared" si="9"/>
        <v>5350000</v>
      </c>
      <c r="AZ11" s="105">
        <v>50</v>
      </c>
      <c r="BA11" s="57">
        <v>64500</v>
      </c>
      <c r="BB11" s="106">
        <f t="shared" si="8"/>
        <v>3225000</v>
      </c>
      <c r="BC11" s="105"/>
      <c r="BD11" s="57"/>
      <c r="BE11" s="106"/>
      <c r="BF11" s="105">
        <f>50+50</f>
        <v>100</v>
      </c>
      <c r="BG11" s="57">
        <v>64500</v>
      </c>
      <c r="BH11" s="106">
        <f t="shared" si="2"/>
        <v>6450000</v>
      </c>
    </row>
    <row r="12" spans="1:60" s="6" customFormat="1" ht="27" customHeight="1" x14ac:dyDescent="0.25">
      <c r="A12" s="4">
        <v>7</v>
      </c>
      <c r="B12" s="9" t="s">
        <v>39</v>
      </c>
      <c r="C12" s="10" t="s">
        <v>29</v>
      </c>
      <c r="D12" s="5">
        <v>100</v>
      </c>
      <c r="E12" s="20">
        <v>49000</v>
      </c>
      <c r="F12" s="11">
        <f t="shared" si="3"/>
        <v>4802000</v>
      </c>
      <c r="G12" s="7">
        <v>0.02</v>
      </c>
      <c r="H12" s="68"/>
      <c r="I12" s="75"/>
      <c r="J12" s="69"/>
      <c r="K12" s="5"/>
      <c r="L12" s="20"/>
      <c r="M12" s="11"/>
      <c r="N12" s="7"/>
      <c r="O12" s="70"/>
      <c r="P12" s="77"/>
      <c r="Q12" s="70"/>
      <c r="R12" s="12"/>
      <c r="S12" s="20"/>
      <c r="T12" s="1"/>
      <c r="U12" s="7"/>
      <c r="V12" s="70"/>
      <c r="W12" s="77"/>
      <c r="X12" s="70"/>
      <c r="Y12" s="19"/>
      <c r="Z12" s="24"/>
      <c r="AA12" s="19"/>
      <c r="AB12" s="70"/>
      <c r="AC12" s="77"/>
      <c r="AD12" s="70"/>
      <c r="AE12" s="19"/>
      <c r="AF12" s="19"/>
      <c r="AG12" s="19"/>
      <c r="AH12" s="70"/>
      <c r="AI12" s="77"/>
      <c r="AJ12" s="70"/>
      <c r="AK12" s="19"/>
      <c r="AL12" s="24"/>
      <c r="AM12" s="19"/>
      <c r="AN12" s="70"/>
      <c r="AO12" s="77"/>
      <c r="AP12" s="73">
        <f t="shared" si="7"/>
        <v>0</v>
      </c>
      <c r="AQ12" s="105"/>
      <c r="AR12" s="57"/>
      <c r="AS12" s="106"/>
      <c r="AT12" s="105"/>
      <c r="AU12" s="57"/>
      <c r="AV12" s="106"/>
      <c r="AW12" s="105"/>
      <c r="AX12" s="57"/>
      <c r="AY12" s="106"/>
      <c r="AZ12" s="105"/>
      <c r="BA12" s="57"/>
      <c r="BB12" s="106"/>
      <c r="BC12" s="105"/>
      <c r="BD12" s="57"/>
      <c r="BE12" s="106"/>
      <c r="BF12" s="105"/>
      <c r="BG12" s="57"/>
      <c r="BH12" s="106"/>
    </row>
    <row r="13" spans="1:60" s="6" customFormat="1" ht="27" customHeight="1" x14ac:dyDescent="0.25">
      <c r="A13" s="4">
        <v>8</v>
      </c>
      <c r="B13" s="9" t="s">
        <v>69</v>
      </c>
      <c r="C13" s="10" t="s">
        <v>20</v>
      </c>
      <c r="D13" s="5"/>
      <c r="E13" s="20"/>
      <c r="F13" s="11"/>
      <c r="G13" s="7"/>
      <c r="H13" s="68"/>
      <c r="I13" s="75"/>
      <c r="J13" s="69"/>
      <c r="K13" s="5"/>
      <c r="L13" s="20"/>
      <c r="M13" s="11"/>
      <c r="N13" s="7"/>
      <c r="O13" s="70"/>
      <c r="P13" s="77"/>
      <c r="Q13" s="70"/>
      <c r="R13" s="12"/>
      <c r="S13" s="20"/>
      <c r="T13" s="1"/>
      <c r="U13" s="7"/>
      <c r="V13" s="70"/>
      <c r="W13" s="77"/>
      <c r="X13" s="70"/>
      <c r="Y13" s="19"/>
      <c r="Z13" s="24"/>
      <c r="AA13" s="19"/>
      <c r="AB13" s="70"/>
      <c r="AC13" s="77"/>
      <c r="AD13" s="70"/>
      <c r="AE13" s="19"/>
      <c r="AF13" s="19"/>
      <c r="AG13" s="19"/>
      <c r="AH13" s="70"/>
      <c r="AI13" s="77"/>
      <c r="AJ13" s="70"/>
      <c r="AK13" s="5">
        <f>65+100</f>
        <v>165</v>
      </c>
      <c r="AL13" s="20">
        <v>56700</v>
      </c>
      <c r="AM13" s="11">
        <f>AK13*AL13</f>
        <v>9355500</v>
      </c>
      <c r="AN13" s="70"/>
      <c r="AO13" s="77"/>
      <c r="AP13" s="73">
        <f t="shared" si="7"/>
        <v>0</v>
      </c>
      <c r="AQ13" s="105"/>
      <c r="AR13" s="57"/>
      <c r="AS13" s="106"/>
      <c r="AT13" s="105">
        <v>75</v>
      </c>
      <c r="AU13" s="57">
        <v>56700</v>
      </c>
      <c r="AV13" s="106">
        <f>AT13*AU13</f>
        <v>4252500</v>
      </c>
      <c r="AW13" s="105"/>
      <c r="AX13" s="57"/>
      <c r="AY13" s="106"/>
      <c r="AZ13" s="105"/>
      <c r="BA13" s="57"/>
      <c r="BB13" s="106"/>
      <c r="BC13" s="105"/>
      <c r="BD13" s="57"/>
      <c r="BE13" s="106"/>
      <c r="BF13" s="105"/>
      <c r="BG13" s="57"/>
      <c r="BH13" s="106"/>
    </row>
    <row r="14" spans="1:60" s="6" customFormat="1" ht="27" customHeight="1" x14ac:dyDescent="0.25">
      <c r="A14" s="4">
        <v>9</v>
      </c>
      <c r="B14" s="9" t="s">
        <v>68</v>
      </c>
      <c r="C14" s="8" t="s">
        <v>19</v>
      </c>
      <c r="D14" s="5"/>
      <c r="E14" s="20"/>
      <c r="F14" s="11"/>
      <c r="G14" s="7"/>
      <c r="H14" s="68"/>
      <c r="I14" s="75"/>
      <c r="J14" s="69"/>
      <c r="K14" s="5">
        <v>100</v>
      </c>
      <c r="L14" s="20">
        <v>54500</v>
      </c>
      <c r="M14" s="11">
        <f>K14*L14*98%</f>
        <v>5341000</v>
      </c>
      <c r="N14" s="7">
        <v>0.02</v>
      </c>
      <c r="O14" s="70"/>
      <c r="P14" s="77"/>
      <c r="Q14" s="70"/>
      <c r="R14" s="12"/>
      <c r="S14" s="20"/>
      <c r="T14" s="1"/>
      <c r="U14" s="7"/>
      <c r="V14" s="68">
        <v>50</v>
      </c>
      <c r="W14" s="75">
        <v>76500</v>
      </c>
      <c r="X14" s="69">
        <f>V14*W14</f>
        <v>3825000</v>
      </c>
      <c r="Y14" s="19"/>
      <c r="Z14" s="24"/>
      <c r="AA14" s="19"/>
      <c r="AB14" s="70"/>
      <c r="AC14" s="77"/>
      <c r="AD14" s="70"/>
      <c r="AE14" s="54">
        <v>55</v>
      </c>
      <c r="AF14" s="58">
        <v>60000</v>
      </c>
      <c r="AG14" s="55">
        <f>AE14*AF14</f>
        <v>3300000</v>
      </c>
      <c r="AH14" s="70"/>
      <c r="AI14" s="77"/>
      <c r="AJ14" s="70"/>
      <c r="AK14" s="19"/>
      <c r="AL14" s="24"/>
      <c r="AM14" s="19"/>
      <c r="AN14" s="70"/>
      <c r="AO14" s="77"/>
      <c r="AP14" s="73">
        <f t="shared" si="7"/>
        <v>0</v>
      </c>
      <c r="AQ14" s="105">
        <f>30+20</f>
        <v>50</v>
      </c>
      <c r="AR14" s="57">
        <v>60000</v>
      </c>
      <c r="AS14" s="106">
        <f t="shared" ref="AS14:AS19" si="10">AQ14*AR14</f>
        <v>3000000</v>
      </c>
      <c r="AT14" s="105">
        <f>135+60</f>
        <v>195</v>
      </c>
      <c r="AU14" s="57">
        <v>60000</v>
      </c>
      <c r="AV14" s="106">
        <f>AT14*AU14</f>
        <v>11700000</v>
      </c>
      <c r="AW14" s="107"/>
      <c r="AX14" s="24"/>
      <c r="AY14" s="107"/>
      <c r="AZ14" s="105"/>
      <c r="BA14" s="57"/>
      <c r="BB14" s="106"/>
      <c r="BC14" s="105">
        <v>20</v>
      </c>
      <c r="BD14" s="57">
        <v>76500</v>
      </c>
      <c r="BE14" s="106">
        <f t="shared" si="1"/>
        <v>1530000</v>
      </c>
      <c r="BF14" s="105">
        <v>30</v>
      </c>
      <c r="BG14" s="57">
        <v>76500</v>
      </c>
      <c r="BH14" s="106">
        <f t="shared" si="2"/>
        <v>2295000</v>
      </c>
    </row>
    <row r="15" spans="1:60" s="6" customFormat="1" ht="27" customHeight="1" x14ac:dyDescent="0.25">
      <c r="A15" s="4">
        <v>10</v>
      </c>
      <c r="B15" s="9" t="s">
        <v>70</v>
      </c>
      <c r="C15" s="8" t="s">
        <v>24</v>
      </c>
      <c r="D15" s="5"/>
      <c r="E15" s="20"/>
      <c r="F15" s="11"/>
      <c r="G15" s="7"/>
      <c r="H15" s="68"/>
      <c r="I15" s="75"/>
      <c r="J15" s="69"/>
      <c r="K15" s="5"/>
      <c r="L15" s="20"/>
      <c r="M15" s="11"/>
      <c r="N15" s="7"/>
      <c r="O15" s="68">
        <v>20</v>
      </c>
      <c r="P15" s="75">
        <v>79000</v>
      </c>
      <c r="Q15" s="69">
        <f>O15*P15</f>
        <v>1580000</v>
      </c>
      <c r="R15" s="12">
        <v>130</v>
      </c>
      <c r="S15" s="20">
        <v>53500</v>
      </c>
      <c r="T15" s="1">
        <f>R15*S15*98%</f>
        <v>6815900</v>
      </c>
      <c r="U15" s="7">
        <v>0.02</v>
      </c>
      <c r="V15" s="68">
        <v>30</v>
      </c>
      <c r="W15" s="75">
        <v>79000</v>
      </c>
      <c r="X15" s="69">
        <f>V15*W15</f>
        <v>2370000</v>
      </c>
      <c r="Y15" s="19"/>
      <c r="Z15" s="24"/>
      <c r="AA15" s="19"/>
      <c r="AB15" s="68">
        <v>50</v>
      </c>
      <c r="AC15" s="75">
        <v>79000</v>
      </c>
      <c r="AD15" s="69">
        <f>AB15*AC15</f>
        <v>3950000</v>
      </c>
      <c r="AE15" s="19"/>
      <c r="AF15" s="19"/>
      <c r="AG15" s="19"/>
      <c r="AH15" s="70"/>
      <c r="AI15" s="77"/>
      <c r="AJ15" s="70"/>
      <c r="AK15" s="15">
        <v>50</v>
      </c>
      <c r="AL15" s="25">
        <v>58900</v>
      </c>
      <c r="AM15" s="16">
        <f>AK15*AL15</f>
        <v>2945000</v>
      </c>
      <c r="AN15" s="70"/>
      <c r="AO15" s="77"/>
      <c r="AP15" s="73">
        <f t="shared" si="7"/>
        <v>0</v>
      </c>
      <c r="AQ15" s="105">
        <v>40</v>
      </c>
      <c r="AR15" s="57">
        <v>58900</v>
      </c>
      <c r="AS15" s="106">
        <f t="shared" si="10"/>
        <v>2356000</v>
      </c>
      <c r="AT15" s="105"/>
      <c r="AU15" s="57"/>
      <c r="AV15" s="106"/>
      <c r="AW15" s="105">
        <f>50+50</f>
        <v>100</v>
      </c>
      <c r="AX15" s="57" t="s">
        <v>128</v>
      </c>
      <c r="AY15" s="106">
        <f>3250000+3425000</f>
        <v>6675000</v>
      </c>
      <c r="AZ15" s="105">
        <v>60</v>
      </c>
      <c r="BA15" s="57">
        <v>79000</v>
      </c>
      <c r="BB15" s="106">
        <f t="shared" si="8"/>
        <v>4740000</v>
      </c>
      <c r="BC15" s="105"/>
      <c r="BD15" s="57"/>
      <c r="BE15" s="106"/>
      <c r="BF15" s="105"/>
      <c r="BG15" s="57"/>
      <c r="BH15" s="106"/>
    </row>
    <row r="16" spans="1:60" s="6" customFormat="1" ht="27" customHeight="1" x14ac:dyDescent="0.25">
      <c r="A16" s="4">
        <v>11</v>
      </c>
      <c r="B16" s="9" t="s">
        <v>40</v>
      </c>
      <c r="C16" s="10" t="s">
        <v>5</v>
      </c>
      <c r="D16" s="5">
        <f>100+200</f>
        <v>300</v>
      </c>
      <c r="E16" s="20">
        <v>54000</v>
      </c>
      <c r="F16" s="11">
        <f t="shared" si="3"/>
        <v>15876000</v>
      </c>
      <c r="G16" s="7">
        <v>0.02</v>
      </c>
      <c r="H16" s="68"/>
      <c r="I16" s="75"/>
      <c r="J16" s="69"/>
      <c r="K16" s="5"/>
      <c r="L16" s="20"/>
      <c r="M16" s="11"/>
      <c r="N16" s="7"/>
      <c r="O16" s="70"/>
      <c r="P16" s="77"/>
      <c r="Q16" s="70"/>
      <c r="R16" s="12">
        <v>50</v>
      </c>
      <c r="S16" s="20">
        <v>54000</v>
      </c>
      <c r="T16" s="1">
        <f>R16*S16*98%</f>
        <v>2646000</v>
      </c>
      <c r="U16" s="7">
        <v>0.02</v>
      </c>
      <c r="V16" s="68">
        <f>50+41</f>
        <v>91</v>
      </c>
      <c r="W16" s="75">
        <v>79500</v>
      </c>
      <c r="X16" s="69">
        <f>V16*W16</f>
        <v>7234500</v>
      </c>
      <c r="Y16" s="12">
        <v>50</v>
      </c>
      <c r="Z16" s="20">
        <v>54000</v>
      </c>
      <c r="AA16" s="1">
        <f>Y16*Z16</f>
        <v>2700000</v>
      </c>
      <c r="AB16" s="70"/>
      <c r="AC16" s="77"/>
      <c r="AD16" s="70"/>
      <c r="AE16" s="54">
        <v>200</v>
      </c>
      <c r="AF16" s="57">
        <v>59400</v>
      </c>
      <c r="AG16" s="55">
        <f>AE16*AF16</f>
        <v>11880000</v>
      </c>
      <c r="AH16" s="68">
        <v>50</v>
      </c>
      <c r="AI16" s="75">
        <v>79500</v>
      </c>
      <c r="AJ16" s="69">
        <f>AH16*AI16</f>
        <v>3975000</v>
      </c>
      <c r="AK16" s="19"/>
      <c r="AL16" s="24"/>
      <c r="AM16" s="19"/>
      <c r="AN16" s="68"/>
      <c r="AO16" s="75"/>
      <c r="AP16" s="73">
        <f t="shared" si="7"/>
        <v>0</v>
      </c>
      <c r="AQ16" s="105">
        <v>45</v>
      </c>
      <c r="AR16" s="57">
        <v>59400</v>
      </c>
      <c r="AS16" s="106">
        <f t="shared" si="10"/>
        <v>2673000</v>
      </c>
      <c r="AT16" s="105">
        <v>55</v>
      </c>
      <c r="AU16" s="57">
        <v>59400</v>
      </c>
      <c r="AV16" s="106">
        <f t="shared" ref="AV16:AV25" si="11">AT16*AU16</f>
        <v>3267000</v>
      </c>
      <c r="AW16" s="105">
        <v>50</v>
      </c>
      <c r="AX16" s="57">
        <v>69000</v>
      </c>
      <c r="AY16" s="106">
        <f>AW16*AX16</f>
        <v>3450000</v>
      </c>
      <c r="AZ16" s="105"/>
      <c r="BA16" s="57"/>
      <c r="BB16" s="106"/>
      <c r="BC16" s="105"/>
      <c r="BD16" s="57"/>
      <c r="BE16" s="106"/>
      <c r="BF16" s="105">
        <v>59</v>
      </c>
      <c r="BG16" s="57">
        <v>79500</v>
      </c>
      <c r="BH16" s="106">
        <f t="shared" si="2"/>
        <v>4690500</v>
      </c>
    </row>
    <row r="17" spans="1:60" s="6" customFormat="1" ht="27" customHeight="1" x14ac:dyDescent="0.25">
      <c r="A17" s="4">
        <v>12</v>
      </c>
      <c r="B17" s="9" t="s">
        <v>72</v>
      </c>
      <c r="C17" s="8" t="s">
        <v>25</v>
      </c>
      <c r="D17" s="5"/>
      <c r="E17" s="20"/>
      <c r="F17" s="11"/>
      <c r="G17" s="7"/>
      <c r="H17" s="68"/>
      <c r="I17" s="75"/>
      <c r="J17" s="69"/>
      <c r="K17" s="5"/>
      <c r="L17" s="20"/>
      <c r="M17" s="11"/>
      <c r="N17" s="7"/>
      <c r="O17" s="70"/>
      <c r="P17" s="77"/>
      <c r="Q17" s="70"/>
      <c r="R17" s="12">
        <v>30</v>
      </c>
      <c r="S17" s="20">
        <v>68500</v>
      </c>
      <c r="T17" s="1">
        <f>R17*S17*98%</f>
        <v>2013900</v>
      </c>
      <c r="U17" s="7">
        <v>0.02</v>
      </c>
      <c r="V17" s="70"/>
      <c r="W17" s="77"/>
      <c r="X17" s="70"/>
      <c r="Y17" s="19"/>
      <c r="Z17" s="24"/>
      <c r="AA17" s="19"/>
      <c r="AB17" s="68">
        <v>40</v>
      </c>
      <c r="AC17" s="75">
        <v>100000</v>
      </c>
      <c r="AD17" s="69">
        <f>AB17*AC17</f>
        <v>4000000</v>
      </c>
      <c r="AE17" s="19"/>
      <c r="AF17" s="19"/>
      <c r="AG17" s="19"/>
      <c r="AH17" s="70"/>
      <c r="AI17" s="77"/>
      <c r="AJ17" s="70"/>
      <c r="AK17" s="15">
        <v>35</v>
      </c>
      <c r="AL17" s="25">
        <v>75400</v>
      </c>
      <c r="AM17" s="16">
        <f>AK17*AL17</f>
        <v>2639000</v>
      </c>
      <c r="AN17" s="70"/>
      <c r="AO17" s="77"/>
      <c r="AP17" s="73">
        <f t="shared" si="7"/>
        <v>0</v>
      </c>
      <c r="AQ17" s="105">
        <v>5</v>
      </c>
      <c r="AR17" s="57">
        <v>75400</v>
      </c>
      <c r="AS17" s="106">
        <f t="shared" si="10"/>
        <v>377000</v>
      </c>
      <c r="AT17" s="105">
        <v>30</v>
      </c>
      <c r="AU17" s="57">
        <v>75400</v>
      </c>
      <c r="AV17" s="106">
        <f t="shared" si="11"/>
        <v>2262000</v>
      </c>
      <c r="AW17" s="105">
        <v>50</v>
      </c>
      <c r="AX17" s="57">
        <v>83000</v>
      </c>
      <c r="AY17" s="106">
        <f>AW17*AX17</f>
        <v>4150000</v>
      </c>
      <c r="AZ17" s="105">
        <v>60</v>
      </c>
      <c r="BA17" s="57">
        <v>100000</v>
      </c>
      <c r="BB17" s="106">
        <f t="shared" si="8"/>
        <v>6000000</v>
      </c>
      <c r="BC17" s="105"/>
      <c r="BD17" s="57"/>
      <c r="BE17" s="106"/>
      <c r="BF17" s="105"/>
      <c r="BG17" s="57"/>
      <c r="BH17" s="106"/>
    </row>
    <row r="18" spans="1:60" s="6" customFormat="1" ht="27" customHeight="1" x14ac:dyDescent="0.25">
      <c r="A18" s="4">
        <v>13</v>
      </c>
      <c r="B18" s="9" t="s">
        <v>41</v>
      </c>
      <c r="C18" s="10" t="s">
        <v>12</v>
      </c>
      <c r="D18" s="5">
        <f>40+80</f>
        <v>120</v>
      </c>
      <c r="E18" s="20">
        <v>59500</v>
      </c>
      <c r="F18" s="11">
        <f t="shared" si="3"/>
        <v>6997200</v>
      </c>
      <c r="G18" s="7">
        <v>0.02</v>
      </c>
      <c r="H18" s="68">
        <f>150+30</f>
        <v>180</v>
      </c>
      <c r="I18" s="75">
        <v>84500</v>
      </c>
      <c r="J18" s="69">
        <f>H18*I18</f>
        <v>15210000</v>
      </c>
      <c r="K18" s="5">
        <f>245+130</f>
        <v>375</v>
      </c>
      <c r="L18" s="20">
        <v>59500</v>
      </c>
      <c r="M18" s="11">
        <f>K18*L18*98%</f>
        <v>21866250</v>
      </c>
      <c r="N18" s="7">
        <v>0.02</v>
      </c>
      <c r="O18" s="68">
        <f>30+150</f>
        <v>180</v>
      </c>
      <c r="P18" s="75">
        <v>84500</v>
      </c>
      <c r="Q18" s="69">
        <f>O18*P18</f>
        <v>15210000</v>
      </c>
      <c r="R18" s="12">
        <v>120</v>
      </c>
      <c r="S18" s="20">
        <v>59500</v>
      </c>
      <c r="T18" s="1">
        <f>R18*S18*98%</f>
        <v>6997200</v>
      </c>
      <c r="U18" s="7">
        <v>0.02</v>
      </c>
      <c r="V18" s="68">
        <f>150+40</f>
        <v>190</v>
      </c>
      <c r="W18" s="75">
        <v>84500</v>
      </c>
      <c r="X18" s="69">
        <f>V18*W18</f>
        <v>16055000</v>
      </c>
      <c r="Y18" s="12">
        <f>240+56</f>
        <v>296</v>
      </c>
      <c r="Z18" s="20">
        <v>59500</v>
      </c>
      <c r="AA18" s="1">
        <f>Y18*Z18</f>
        <v>17612000</v>
      </c>
      <c r="AB18" s="68">
        <v>50</v>
      </c>
      <c r="AC18" s="75">
        <v>84500</v>
      </c>
      <c r="AD18" s="69">
        <v>4225000</v>
      </c>
      <c r="AE18" s="54">
        <v>184</v>
      </c>
      <c r="AF18" s="57">
        <v>65500</v>
      </c>
      <c r="AG18" s="55">
        <f>AE18*AF18</f>
        <v>12052000</v>
      </c>
      <c r="AH18" s="68">
        <f>50+50</f>
        <v>100</v>
      </c>
      <c r="AI18" s="75">
        <v>84500</v>
      </c>
      <c r="AJ18" s="69">
        <f>AH18*AI18</f>
        <v>8450000</v>
      </c>
      <c r="AK18" s="5">
        <f>50+230</f>
        <v>280</v>
      </c>
      <c r="AL18" s="20">
        <v>65500</v>
      </c>
      <c r="AM18" s="11">
        <f>AK18*AL18</f>
        <v>18340000</v>
      </c>
      <c r="AN18" s="68">
        <v>150</v>
      </c>
      <c r="AO18" s="75">
        <v>84500</v>
      </c>
      <c r="AP18" s="73">
        <f t="shared" si="7"/>
        <v>12675000</v>
      </c>
      <c r="AQ18" s="105">
        <f>170+20</f>
        <v>190</v>
      </c>
      <c r="AR18" s="57">
        <v>65500</v>
      </c>
      <c r="AS18" s="106">
        <f t="shared" si="10"/>
        <v>12445000</v>
      </c>
      <c r="AT18" s="105">
        <f>100+30</f>
        <v>130</v>
      </c>
      <c r="AU18" s="57">
        <v>65500</v>
      </c>
      <c r="AV18" s="106">
        <f t="shared" si="11"/>
        <v>8515000</v>
      </c>
      <c r="AW18" s="105"/>
      <c r="AX18" s="57"/>
      <c r="AY18" s="106"/>
      <c r="AZ18" s="105">
        <v>60</v>
      </c>
      <c r="BA18" s="57">
        <v>84500</v>
      </c>
      <c r="BB18" s="106">
        <f t="shared" si="8"/>
        <v>5070000</v>
      </c>
      <c r="BC18" s="105">
        <f>50+50</f>
        <v>100</v>
      </c>
      <c r="BD18" s="57">
        <v>84500</v>
      </c>
      <c r="BE18" s="106">
        <f t="shared" si="1"/>
        <v>8450000</v>
      </c>
      <c r="BF18" s="105">
        <f>50+50</f>
        <v>100</v>
      </c>
      <c r="BG18" s="57">
        <v>84500</v>
      </c>
      <c r="BH18" s="106">
        <f t="shared" si="2"/>
        <v>8450000</v>
      </c>
    </row>
    <row r="19" spans="1:60" s="6" customFormat="1" ht="27" customHeight="1" x14ac:dyDescent="0.25">
      <c r="A19" s="4">
        <v>14</v>
      </c>
      <c r="B19" s="9" t="s">
        <v>42</v>
      </c>
      <c r="C19" s="10" t="s">
        <v>16</v>
      </c>
      <c r="D19" s="5">
        <f>56+140</f>
        <v>196</v>
      </c>
      <c r="E19" s="20">
        <v>62500</v>
      </c>
      <c r="F19" s="11">
        <f t="shared" si="3"/>
        <v>12005000</v>
      </c>
      <c r="G19" s="7">
        <v>0.02</v>
      </c>
      <c r="H19" s="68">
        <f>223+80</f>
        <v>303</v>
      </c>
      <c r="I19" s="75">
        <v>90000</v>
      </c>
      <c r="J19" s="69">
        <f>H19*I19</f>
        <v>27270000</v>
      </c>
      <c r="K19" s="5">
        <f>210+55</f>
        <v>265</v>
      </c>
      <c r="L19" s="20">
        <v>62500</v>
      </c>
      <c r="M19" s="11">
        <f>K19*L19*98%</f>
        <v>16231250</v>
      </c>
      <c r="N19" s="7">
        <v>0.02</v>
      </c>
      <c r="O19" s="68">
        <f>70+330</f>
        <v>400</v>
      </c>
      <c r="P19" s="75">
        <v>90000</v>
      </c>
      <c r="Q19" s="69">
        <f>O19*P19</f>
        <v>36000000</v>
      </c>
      <c r="R19" s="12">
        <v>199</v>
      </c>
      <c r="S19" s="20">
        <v>62500</v>
      </c>
      <c r="T19" s="1">
        <f>R19*S19*98%</f>
        <v>12188750</v>
      </c>
      <c r="U19" s="7">
        <v>0.02</v>
      </c>
      <c r="V19" s="68">
        <v>300</v>
      </c>
      <c r="W19" s="75">
        <v>90000</v>
      </c>
      <c r="X19" s="69">
        <f>V19*W19</f>
        <v>27000000</v>
      </c>
      <c r="Y19" s="12">
        <f>250+47</f>
        <v>297</v>
      </c>
      <c r="Z19" s="20">
        <v>62500</v>
      </c>
      <c r="AA19" s="1">
        <f>Y19*Z19</f>
        <v>18562500</v>
      </c>
      <c r="AB19" s="68">
        <v>100</v>
      </c>
      <c r="AC19" s="75">
        <v>90000</v>
      </c>
      <c r="AD19" s="69">
        <v>9000000</v>
      </c>
      <c r="AE19" s="54">
        <v>318</v>
      </c>
      <c r="AF19" s="57">
        <v>68800</v>
      </c>
      <c r="AG19" s="55">
        <f>AE19*AF19</f>
        <v>21878400</v>
      </c>
      <c r="AH19" s="68">
        <f>50+147</f>
        <v>197</v>
      </c>
      <c r="AI19" s="75">
        <v>90000</v>
      </c>
      <c r="AJ19" s="69">
        <f>AH19*AI19</f>
        <v>17730000</v>
      </c>
      <c r="AK19" s="5">
        <f>30+545</f>
        <v>575</v>
      </c>
      <c r="AL19" s="20">
        <v>68800</v>
      </c>
      <c r="AM19" s="11">
        <f>AK19*AL19</f>
        <v>39560000</v>
      </c>
      <c r="AN19" s="68">
        <v>200</v>
      </c>
      <c r="AO19" s="75">
        <v>90000</v>
      </c>
      <c r="AP19" s="73">
        <f t="shared" si="7"/>
        <v>18000000</v>
      </c>
      <c r="AQ19" s="105">
        <f>150+20</f>
        <v>170</v>
      </c>
      <c r="AR19" s="57">
        <v>68800</v>
      </c>
      <c r="AS19" s="106">
        <f t="shared" si="10"/>
        <v>11696000</v>
      </c>
      <c r="AT19" s="105">
        <f>200+100</f>
        <v>300</v>
      </c>
      <c r="AU19" s="57">
        <v>68800</v>
      </c>
      <c r="AV19" s="106">
        <f t="shared" si="11"/>
        <v>20640000</v>
      </c>
      <c r="AW19" s="105"/>
      <c r="AX19" s="57"/>
      <c r="AY19" s="106"/>
      <c r="AZ19" s="105">
        <v>200</v>
      </c>
      <c r="BA19" s="57">
        <v>90000</v>
      </c>
      <c r="BB19" s="106">
        <f t="shared" si="8"/>
        <v>18000000</v>
      </c>
      <c r="BC19" s="105">
        <v>50</v>
      </c>
      <c r="BD19" s="57">
        <v>90000</v>
      </c>
      <c r="BE19" s="106">
        <f t="shared" si="1"/>
        <v>4500000</v>
      </c>
      <c r="BF19" s="105">
        <v>50</v>
      </c>
      <c r="BG19" s="57">
        <v>90000</v>
      </c>
      <c r="BH19" s="106">
        <f t="shared" si="2"/>
        <v>4500000</v>
      </c>
    </row>
    <row r="20" spans="1:60" s="6" customFormat="1" ht="27" customHeight="1" x14ac:dyDescent="0.25">
      <c r="A20" s="4">
        <v>15</v>
      </c>
      <c r="B20" s="9" t="s">
        <v>44</v>
      </c>
      <c r="C20" s="10" t="s">
        <v>26</v>
      </c>
      <c r="D20" s="5"/>
      <c r="E20" s="20"/>
      <c r="F20" s="11"/>
      <c r="G20" s="7"/>
      <c r="H20" s="68"/>
      <c r="I20" s="75"/>
      <c r="J20" s="69"/>
      <c r="K20" s="5"/>
      <c r="L20" s="20"/>
      <c r="M20" s="11"/>
      <c r="N20" s="7"/>
      <c r="O20" s="70"/>
      <c r="P20" s="77"/>
      <c r="Q20" s="70"/>
      <c r="R20" s="12"/>
      <c r="S20" s="20"/>
      <c r="T20" s="1"/>
      <c r="U20" s="7"/>
      <c r="V20" s="70"/>
      <c r="W20" s="77"/>
      <c r="X20" s="70"/>
      <c r="Y20" s="19"/>
      <c r="Z20" s="24"/>
      <c r="AA20" s="19"/>
      <c r="AB20" s="70"/>
      <c r="AC20" s="77"/>
      <c r="AD20" s="70"/>
      <c r="AE20" s="19"/>
      <c r="AF20" s="19"/>
      <c r="AG20" s="19"/>
      <c r="AH20" s="70"/>
      <c r="AI20" s="77"/>
      <c r="AJ20" s="70"/>
      <c r="AK20" s="19"/>
      <c r="AL20" s="24"/>
      <c r="AM20" s="19"/>
      <c r="AN20" s="70"/>
      <c r="AO20" s="77"/>
      <c r="AP20" s="73">
        <f t="shared" si="7"/>
        <v>0</v>
      </c>
      <c r="AQ20" s="105"/>
      <c r="AR20" s="57"/>
      <c r="AS20" s="106"/>
      <c r="AT20" s="105">
        <v>100</v>
      </c>
      <c r="AU20" s="57">
        <v>72100</v>
      </c>
      <c r="AV20" s="106">
        <f t="shared" si="11"/>
        <v>7210000</v>
      </c>
      <c r="AW20" s="105"/>
      <c r="AX20" s="57"/>
      <c r="AY20" s="106"/>
      <c r="AZ20" s="105"/>
      <c r="BA20" s="57"/>
      <c r="BB20" s="106"/>
      <c r="BC20" s="105"/>
      <c r="BD20" s="57"/>
      <c r="BE20" s="106"/>
      <c r="BF20" s="105"/>
      <c r="BG20" s="57"/>
      <c r="BH20" s="106"/>
    </row>
    <row r="21" spans="1:60" s="6" customFormat="1" ht="27" customHeight="1" x14ac:dyDescent="0.25">
      <c r="A21" s="4">
        <v>16</v>
      </c>
      <c r="B21" s="9" t="s">
        <v>45</v>
      </c>
      <c r="C21" s="10" t="s">
        <v>33</v>
      </c>
      <c r="D21" s="5"/>
      <c r="E21" s="20"/>
      <c r="F21" s="11"/>
      <c r="G21" s="7"/>
      <c r="H21" s="68"/>
      <c r="I21" s="75"/>
      <c r="J21" s="69"/>
      <c r="K21" s="5"/>
      <c r="L21" s="20"/>
      <c r="M21" s="11"/>
      <c r="N21" s="7"/>
      <c r="O21" s="70"/>
      <c r="P21" s="77"/>
      <c r="Q21" s="70"/>
      <c r="R21" s="12"/>
      <c r="S21" s="20"/>
      <c r="T21" s="1"/>
      <c r="U21" s="7"/>
      <c r="V21" s="70"/>
      <c r="W21" s="77"/>
      <c r="X21" s="70"/>
      <c r="Y21" s="19"/>
      <c r="Z21" s="24"/>
      <c r="AA21" s="19"/>
      <c r="AB21" s="70"/>
      <c r="AC21" s="77"/>
      <c r="AD21" s="70"/>
      <c r="AE21" s="19"/>
      <c r="AF21" s="19"/>
      <c r="AG21" s="19"/>
      <c r="AH21" s="70"/>
      <c r="AI21" s="77"/>
      <c r="AJ21" s="70"/>
      <c r="AK21" s="19"/>
      <c r="AL21" s="24"/>
      <c r="AM21" s="19"/>
      <c r="AN21" s="70"/>
      <c r="AO21" s="77"/>
      <c r="AP21" s="73">
        <f t="shared" si="7"/>
        <v>0</v>
      </c>
      <c r="AQ21" s="105"/>
      <c r="AR21" s="57"/>
      <c r="AS21" s="106"/>
      <c r="AT21" s="105">
        <v>100</v>
      </c>
      <c r="AU21" s="57">
        <v>73200</v>
      </c>
      <c r="AV21" s="106">
        <f t="shared" si="11"/>
        <v>7320000</v>
      </c>
      <c r="AW21" s="105"/>
      <c r="AX21" s="57"/>
      <c r="AY21" s="106"/>
      <c r="AZ21" s="105"/>
      <c r="BA21" s="57"/>
      <c r="BB21" s="106"/>
      <c r="BC21" s="105"/>
      <c r="BD21" s="57"/>
      <c r="BE21" s="106"/>
      <c r="BF21" s="105"/>
      <c r="BG21" s="57"/>
      <c r="BH21" s="106"/>
    </row>
    <row r="22" spans="1:60" s="6" customFormat="1" ht="27" customHeight="1" x14ac:dyDescent="0.25">
      <c r="A22" s="4">
        <v>17</v>
      </c>
      <c r="B22" s="9" t="s">
        <v>74</v>
      </c>
      <c r="C22" s="8" t="s">
        <v>17</v>
      </c>
      <c r="D22" s="5"/>
      <c r="E22" s="20"/>
      <c r="F22" s="11"/>
      <c r="G22" s="7"/>
      <c r="H22" s="68"/>
      <c r="I22" s="75"/>
      <c r="J22" s="69"/>
      <c r="K22" s="5"/>
      <c r="L22" s="20"/>
      <c r="M22" s="11"/>
      <c r="N22" s="7"/>
      <c r="O22" s="70"/>
      <c r="P22" s="77"/>
      <c r="Q22" s="70"/>
      <c r="R22" s="12">
        <v>50</v>
      </c>
      <c r="S22" s="20">
        <v>91500</v>
      </c>
      <c r="T22" s="1">
        <f>R22*S22*98%</f>
        <v>4483500</v>
      </c>
      <c r="U22" s="7">
        <v>0.02</v>
      </c>
      <c r="V22" s="70"/>
      <c r="W22" s="77"/>
      <c r="X22" s="70"/>
      <c r="Y22" s="12">
        <v>25</v>
      </c>
      <c r="Z22" s="20">
        <v>91500</v>
      </c>
      <c r="AA22" s="1">
        <f>Y22*Z22</f>
        <v>2287500</v>
      </c>
      <c r="AB22" s="70"/>
      <c r="AC22" s="77"/>
      <c r="AD22" s="70"/>
      <c r="AE22" s="54">
        <v>180</v>
      </c>
      <c r="AF22" s="57">
        <v>100700</v>
      </c>
      <c r="AG22" s="55">
        <f>AE22*AF22</f>
        <v>18126000</v>
      </c>
      <c r="AH22" s="70"/>
      <c r="AI22" s="77"/>
      <c r="AJ22" s="70"/>
      <c r="AK22" s="5">
        <f>20+150</f>
        <v>170</v>
      </c>
      <c r="AL22" s="20">
        <v>100700</v>
      </c>
      <c r="AM22" s="11">
        <f t="shared" ref="AM22:AM27" si="12">AK22*AL22</f>
        <v>17119000</v>
      </c>
      <c r="AN22" s="70"/>
      <c r="AO22" s="77"/>
      <c r="AP22" s="73">
        <f t="shared" si="7"/>
        <v>0</v>
      </c>
      <c r="AQ22" s="105"/>
      <c r="AR22" s="57"/>
      <c r="AS22" s="106"/>
      <c r="AT22" s="105">
        <f>5+20</f>
        <v>25</v>
      </c>
      <c r="AU22" s="57">
        <v>100700</v>
      </c>
      <c r="AV22" s="106">
        <f t="shared" si="11"/>
        <v>2517500</v>
      </c>
      <c r="AW22" s="105">
        <v>10</v>
      </c>
      <c r="AX22" s="57">
        <v>116500</v>
      </c>
      <c r="AY22" s="106">
        <f t="shared" si="9"/>
        <v>1165000</v>
      </c>
      <c r="AZ22" s="105">
        <v>60</v>
      </c>
      <c r="BA22" s="57">
        <v>134000</v>
      </c>
      <c r="BB22" s="106">
        <f t="shared" si="8"/>
        <v>8040000</v>
      </c>
      <c r="BC22" s="105">
        <v>9</v>
      </c>
      <c r="BD22" s="57">
        <v>134000</v>
      </c>
      <c r="BE22" s="106">
        <f t="shared" si="1"/>
        <v>1206000</v>
      </c>
      <c r="BF22" s="105"/>
      <c r="BG22" s="57"/>
      <c r="BH22" s="106"/>
    </row>
    <row r="23" spans="1:60" s="6" customFormat="1" ht="27" customHeight="1" x14ac:dyDescent="0.25">
      <c r="A23" s="4">
        <v>18</v>
      </c>
      <c r="B23" s="9" t="s">
        <v>75</v>
      </c>
      <c r="C23" s="8" t="s">
        <v>13</v>
      </c>
      <c r="D23" s="5"/>
      <c r="E23" s="20"/>
      <c r="F23" s="11"/>
      <c r="G23" s="7"/>
      <c r="H23" s="68"/>
      <c r="I23" s="75"/>
      <c r="J23" s="69"/>
      <c r="K23" s="5"/>
      <c r="L23" s="20"/>
      <c r="M23" s="11"/>
      <c r="N23" s="7"/>
      <c r="O23" s="70"/>
      <c r="P23" s="77"/>
      <c r="Q23" s="70"/>
      <c r="R23" s="12"/>
      <c r="S23" s="20"/>
      <c r="T23" s="1"/>
      <c r="U23" s="7"/>
      <c r="V23" s="70"/>
      <c r="W23" s="77"/>
      <c r="X23" s="70"/>
      <c r="Y23" s="19"/>
      <c r="Z23" s="24"/>
      <c r="AA23" s="19"/>
      <c r="AB23" s="70"/>
      <c r="AC23" s="77"/>
      <c r="AD23" s="70"/>
      <c r="AE23" s="54">
        <v>70</v>
      </c>
      <c r="AF23" s="58">
        <v>102300</v>
      </c>
      <c r="AG23" s="55">
        <f>AE23*AF23</f>
        <v>7161000</v>
      </c>
      <c r="AH23" s="70"/>
      <c r="AI23" s="77"/>
      <c r="AJ23" s="70"/>
      <c r="AK23" s="5">
        <f>10+155</f>
        <v>165</v>
      </c>
      <c r="AL23" s="20">
        <v>102300</v>
      </c>
      <c r="AM23" s="11">
        <f t="shared" si="12"/>
        <v>16879500</v>
      </c>
      <c r="AN23" s="70"/>
      <c r="AO23" s="77"/>
      <c r="AP23" s="73">
        <f t="shared" si="7"/>
        <v>0</v>
      </c>
      <c r="AQ23" s="105">
        <v>10</v>
      </c>
      <c r="AR23" s="57">
        <v>102300</v>
      </c>
      <c r="AS23" s="106">
        <f>AQ23*AR23</f>
        <v>1023000</v>
      </c>
      <c r="AT23" s="105">
        <v>55</v>
      </c>
      <c r="AU23" s="57">
        <v>102300</v>
      </c>
      <c r="AV23" s="106">
        <f t="shared" si="11"/>
        <v>5626500</v>
      </c>
      <c r="AW23" s="105"/>
      <c r="AX23" s="57"/>
      <c r="AY23" s="106"/>
      <c r="AZ23" s="105"/>
      <c r="BA23" s="57"/>
      <c r="BB23" s="106"/>
      <c r="BC23" s="105"/>
      <c r="BD23" s="57"/>
      <c r="BE23" s="106"/>
      <c r="BF23" s="105"/>
      <c r="BG23" s="57"/>
      <c r="BH23" s="106"/>
    </row>
    <row r="24" spans="1:60" s="6" customFormat="1" ht="27" customHeight="1" x14ac:dyDescent="0.25">
      <c r="A24" s="4">
        <v>19</v>
      </c>
      <c r="B24" s="9" t="s">
        <v>43</v>
      </c>
      <c r="C24" s="10" t="s">
        <v>15</v>
      </c>
      <c r="D24" s="5"/>
      <c r="E24" s="20"/>
      <c r="F24" s="11"/>
      <c r="G24" s="7"/>
      <c r="H24" s="68">
        <v>30</v>
      </c>
      <c r="I24" s="75">
        <v>159000</v>
      </c>
      <c r="J24" s="69">
        <f>H24*I24</f>
        <v>4770000</v>
      </c>
      <c r="K24" s="5"/>
      <c r="L24" s="20"/>
      <c r="M24" s="11"/>
      <c r="N24" s="7"/>
      <c r="O24" s="70"/>
      <c r="P24" s="77"/>
      <c r="Q24" s="70"/>
      <c r="R24" s="12"/>
      <c r="S24" s="20"/>
      <c r="T24" s="1"/>
      <c r="U24" s="7"/>
      <c r="V24" s="68">
        <v>80</v>
      </c>
      <c r="W24" s="75">
        <v>159000</v>
      </c>
      <c r="X24" s="69">
        <f>V24*W24</f>
        <v>12720000</v>
      </c>
      <c r="Y24" s="19"/>
      <c r="Z24" s="24"/>
      <c r="AA24" s="19"/>
      <c r="AB24" s="70"/>
      <c r="AC24" s="77"/>
      <c r="AD24" s="70"/>
      <c r="AE24" s="54">
        <v>55</v>
      </c>
      <c r="AF24" s="57">
        <v>114400</v>
      </c>
      <c r="AG24" s="55">
        <f>AE24*AF24</f>
        <v>6292000</v>
      </c>
      <c r="AH24" s="70"/>
      <c r="AI24" s="77"/>
      <c r="AJ24" s="70"/>
      <c r="AK24" s="5">
        <v>45</v>
      </c>
      <c r="AL24" s="20">
        <v>114400</v>
      </c>
      <c r="AM24" s="11">
        <f t="shared" si="12"/>
        <v>5148000</v>
      </c>
      <c r="AN24" s="70"/>
      <c r="AO24" s="77"/>
      <c r="AP24" s="73">
        <f t="shared" si="7"/>
        <v>0</v>
      </c>
      <c r="AQ24" s="105">
        <v>50</v>
      </c>
      <c r="AR24" s="57">
        <v>114400</v>
      </c>
      <c r="AS24" s="106">
        <f>AQ24*AR24</f>
        <v>5720000</v>
      </c>
      <c r="AT24" s="105">
        <v>50</v>
      </c>
      <c r="AU24" s="57">
        <v>114400</v>
      </c>
      <c r="AV24" s="106">
        <f t="shared" si="11"/>
        <v>5720000</v>
      </c>
      <c r="AW24" s="105"/>
      <c r="AX24" s="57"/>
      <c r="AY24" s="106"/>
      <c r="AZ24" s="105"/>
      <c r="BA24" s="57"/>
      <c r="BB24" s="106"/>
      <c r="BC24" s="105"/>
      <c r="BD24" s="57"/>
      <c r="BE24" s="106"/>
      <c r="BF24" s="105"/>
      <c r="BG24" s="57"/>
      <c r="BH24" s="106"/>
    </row>
    <row r="25" spans="1:60" s="6" customFormat="1" ht="27" customHeight="1" x14ac:dyDescent="0.25">
      <c r="A25" s="4">
        <v>20</v>
      </c>
      <c r="B25" s="9" t="s">
        <v>46</v>
      </c>
      <c r="C25" s="10" t="s">
        <v>21</v>
      </c>
      <c r="D25" s="5">
        <f>100+100</f>
        <v>200</v>
      </c>
      <c r="E25" s="20">
        <v>78000</v>
      </c>
      <c r="F25" s="11">
        <f t="shared" si="3"/>
        <v>15288000</v>
      </c>
      <c r="G25" s="7">
        <v>0.02</v>
      </c>
      <c r="H25" s="68"/>
      <c r="I25" s="75"/>
      <c r="J25" s="69"/>
      <c r="K25" s="5"/>
      <c r="L25" s="20"/>
      <c r="M25" s="11"/>
      <c r="N25" s="7"/>
      <c r="O25" s="68">
        <f>31+100</f>
        <v>131</v>
      </c>
      <c r="P25" s="75">
        <v>118000</v>
      </c>
      <c r="Q25" s="69">
        <f>O25*P25</f>
        <v>15458000</v>
      </c>
      <c r="R25" s="12">
        <v>100</v>
      </c>
      <c r="S25" s="20">
        <v>78000</v>
      </c>
      <c r="T25" s="1">
        <f>R25*S25*98%</f>
        <v>7644000</v>
      </c>
      <c r="U25" s="7">
        <v>0.02</v>
      </c>
      <c r="V25" s="68">
        <v>45</v>
      </c>
      <c r="W25" s="75">
        <v>118000</v>
      </c>
      <c r="X25" s="69">
        <f>V25*W25</f>
        <v>5310000</v>
      </c>
      <c r="Y25" s="12">
        <v>15</v>
      </c>
      <c r="Z25" s="20">
        <v>78000</v>
      </c>
      <c r="AA25" s="1">
        <f>Y25*Z25</f>
        <v>1170000</v>
      </c>
      <c r="AB25" s="68">
        <f>50+24</f>
        <v>74</v>
      </c>
      <c r="AC25" s="75">
        <v>118000</v>
      </c>
      <c r="AD25" s="69">
        <f>AB25*AC25</f>
        <v>8732000</v>
      </c>
      <c r="AE25" s="19"/>
      <c r="AF25" s="19"/>
      <c r="AG25" s="19"/>
      <c r="AH25" s="68">
        <v>30</v>
      </c>
      <c r="AI25" s="75">
        <v>118000</v>
      </c>
      <c r="AJ25" s="69">
        <f>AH25*AI25</f>
        <v>3540000</v>
      </c>
      <c r="AK25" s="5">
        <f>50+180</f>
        <v>230</v>
      </c>
      <c r="AL25" s="20">
        <v>85800</v>
      </c>
      <c r="AM25" s="11">
        <f t="shared" si="12"/>
        <v>19734000</v>
      </c>
      <c r="AN25" s="68"/>
      <c r="AO25" s="75"/>
      <c r="AP25" s="73">
        <f t="shared" si="7"/>
        <v>0</v>
      </c>
      <c r="AQ25" s="105">
        <v>45</v>
      </c>
      <c r="AR25" s="57">
        <v>85800</v>
      </c>
      <c r="AS25" s="106">
        <f>AQ25*AR25</f>
        <v>3861000</v>
      </c>
      <c r="AT25" s="105">
        <f>75+35</f>
        <v>110</v>
      </c>
      <c r="AU25" s="57">
        <v>85800</v>
      </c>
      <c r="AV25" s="106">
        <f t="shared" si="11"/>
        <v>9438000</v>
      </c>
      <c r="AW25" s="105">
        <v>20</v>
      </c>
      <c r="AX25" s="57">
        <v>95000</v>
      </c>
      <c r="AY25" s="106">
        <f t="shared" si="9"/>
        <v>1900000</v>
      </c>
      <c r="AZ25" s="105">
        <f>60+30</f>
        <v>90</v>
      </c>
      <c r="BA25" s="57">
        <v>118000</v>
      </c>
      <c r="BB25" s="106">
        <f t="shared" si="8"/>
        <v>10620000</v>
      </c>
      <c r="BC25" s="105"/>
      <c r="BD25" s="57"/>
      <c r="BE25" s="106"/>
      <c r="BF25" s="105">
        <v>50</v>
      </c>
      <c r="BG25" s="57">
        <v>118000</v>
      </c>
      <c r="BH25" s="106">
        <f t="shared" si="2"/>
        <v>5900000</v>
      </c>
    </row>
    <row r="26" spans="1:60" s="6" customFormat="1" ht="27" customHeight="1" x14ac:dyDescent="0.25">
      <c r="A26" s="4">
        <v>21</v>
      </c>
      <c r="B26" s="9" t="s">
        <v>47</v>
      </c>
      <c r="C26" s="10" t="s">
        <v>10</v>
      </c>
      <c r="D26" s="5">
        <f>100+129</f>
        <v>229</v>
      </c>
      <c r="E26" s="20">
        <v>79000</v>
      </c>
      <c r="F26" s="11">
        <f t="shared" si="3"/>
        <v>17729180</v>
      </c>
      <c r="G26" s="7">
        <v>0.02</v>
      </c>
      <c r="H26" s="68">
        <f>50+50</f>
        <v>100</v>
      </c>
      <c r="I26" s="75">
        <v>119000</v>
      </c>
      <c r="J26" s="69">
        <f>H26*I26</f>
        <v>11900000</v>
      </c>
      <c r="K26" s="5">
        <f>155+90</f>
        <v>245</v>
      </c>
      <c r="L26" s="20">
        <v>79000</v>
      </c>
      <c r="M26" s="11">
        <f>K26*L26*98%</f>
        <v>18967900</v>
      </c>
      <c r="N26" s="7">
        <v>0.02</v>
      </c>
      <c r="O26" s="68">
        <f>60+100</f>
        <v>160</v>
      </c>
      <c r="P26" s="75">
        <v>119000</v>
      </c>
      <c r="Q26" s="69">
        <f>O26*P26</f>
        <v>19040000</v>
      </c>
      <c r="R26" s="12">
        <v>140</v>
      </c>
      <c r="S26" s="20">
        <v>79000</v>
      </c>
      <c r="T26" s="1">
        <f>R26*S26*98%</f>
        <v>10838800</v>
      </c>
      <c r="U26" s="7">
        <v>0.02</v>
      </c>
      <c r="V26" s="68">
        <f>50+40</f>
        <v>90</v>
      </c>
      <c r="W26" s="75">
        <v>119000</v>
      </c>
      <c r="X26" s="69">
        <f>V26*W26</f>
        <v>10710000</v>
      </c>
      <c r="Y26" s="12">
        <v>15</v>
      </c>
      <c r="Z26" s="20">
        <v>79000</v>
      </c>
      <c r="AA26" s="1">
        <f>Y26*Z26</f>
        <v>1185000</v>
      </c>
      <c r="AB26" s="68">
        <v>50</v>
      </c>
      <c r="AC26" s="75">
        <v>119000</v>
      </c>
      <c r="AD26" s="69">
        <v>5950000</v>
      </c>
      <c r="AE26" s="54">
        <v>170</v>
      </c>
      <c r="AF26" s="57">
        <v>86900</v>
      </c>
      <c r="AG26" s="55">
        <f>AE26*AF26</f>
        <v>14773000</v>
      </c>
      <c r="AH26" s="68">
        <v>50</v>
      </c>
      <c r="AI26" s="75">
        <v>119000</v>
      </c>
      <c r="AJ26" s="69">
        <f>AH26*AI26</f>
        <v>5950000</v>
      </c>
      <c r="AK26" s="5">
        <f>85+145</f>
        <v>230</v>
      </c>
      <c r="AL26" s="20">
        <v>86900</v>
      </c>
      <c r="AM26" s="11">
        <f t="shared" si="12"/>
        <v>19987000</v>
      </c>
      <c r="AN26" s="68"/>
      <c r="AO26" s="75"/>
      <c r="AP26" s="73">
        <f t="shared" si="7"/>
        <v>0</v>
      </c>
      <c r="AQ26" s="105"/>
      <c r="AR26" s="57"/>
      <c r="AS26" s="106"/>
      <c r="AT26" s="105"/>
      <c r="AU26" s="57"/>
      <c r="AV26" s="106"/>
      <c r="AW26" s="105">
        <f>60+100+40</f>
        <v>200</v>
      </c>
      <c r="AX26" s="57" t="s">
        <v>129</v>
      </c>
      <c r="AY26" s="106">
        <f>15360000+4040000</f>
        <v>19400000</v>
      </c>
      <c r="AZ26" s="105">
        <v>60</v>
      </c>
      <c r="BA26" s="57">
        <v>119000</v>
      </c>
      <c r="BB26" s="106">
        <f t="shared" si="8"/>
        <v>7140000</v>
      </c>
      <c r="BC26" s="105">
        <f>50+50</f>
        <v>100</v>
      </c>
      <c r="BD26" s="57">
        <v>119000</v>
      </c>
      <c r="BE26" s="106">
        <f t="shared" si="1"/>
        <v>11900000</v>
      </c>
      <c r="BF26" s="105">
        <f>50+50</f>
        <v>100</v>
      </c>
      <c r="BG26" s="57">
        <v>119000</v>
      </c>
      <c r="BH26" s="106">
        <f t="shared" si="2"/>
        <v>11900000</v>
      </c>
    </row>
    <row r="27" spans="1:60" s="6" customFormat="1" ht="27" customHeight="1" x14ac:dyDescent="0.25">
      <c r="A27" s="4">
        <v>22</v>
      </c>
      <c r="B27" s="9" t="s">
        <v>48</v>
      </c>
      <c r="C27" s="10" t="s">
        <v>34</v>
      </c>
      <c r="D27" s="5">
        <v>60</v>
      </c>
      <c r="E27" s="20">
        <v>87500</v>
      </c>
      <c r="F27" s="11">
        <f t="shared" si="3"/>
        <v>5145000</v>
      </c>
      <c r="G27" s="7">
        <v>0.02</v>
      </c>
      <c r="H27" s="68"/>
      <c r="I27" s="75"/>
      <c r="J27" s="69"/>
      <c r="K27" s="5">
        <v>11</v>
      </c>
      <c r="L27" s="20">
        <v>87500</v>
      </c>
      <c r="M27" s="11">
        <f>K27*L27*98%</f>
        <v>943250</v>
      </c>
      <c r="N27" s="7">
        <v>0.02</v>
      </c>
      <c r="O27" s="68">
        <v>50</v>
      </c>
      <c r="P27" s="75">
        <v>128000</v>
      </c>
      <c r="Q27" s="69">
        <f>O27*P27</f>
        <v>6400000</v>
      </c>
      <c r="R27" s="12">
        <v>29</v>
      </c>
      <c r="S27" s="20">
        <v>87500</v>
      </c>
      <c r="T27" s="1">
        <f>R27*S27*98%</f>
        <v>2486750</v>
      </c>
      <c r="U27" s="7">
        <v>0.02</v>
      </c>
      <c r="V27" s="68">
        <v>50</v>
      </c>
      <c r="W27" s="75">
        <v>128000</v>
      </c>
      <c r="X27" s="69">
        <f>V27*W27</f>
        <v>6400000</v>
      </c>
      <c r="Y27" s="19"/>
      <c r="Z27" s="24"/>
      <c r="AA27" s="19"/>
      <c r="AB27" s="70"/>
      <c r="AC27" s="77"/>
      <c r="AD27" s="70"/>
      <c r="AE27" s="19"/>
      <c r="AF27" s="19"/>
      <c r="AG27" s="19"/>
      <c r="AH27" s="68">
        <v>30</v>
      </c>
      <c r="AI27" s="75">
        <v>128000</v>
      </c>
      <c r="AJ27" s="69">
        <f>AH27*AI27</f>
        <v>3840000</v>
      </c>
      <c r="AK27" s="5">
        <f>35+100</f>
        <v>135</v>
      </c>
      <c r="AL27" s="20">
        <v>96300</v>
      </c>
      <c r="AM27" s="11">
        <f t="shared" si="12"/>
        <v>13000500</v>
      </c>
      <c r="AN27" s="68"/>
      <c r="AO27" s="75"/>
      <c r="AP27" s="73">
        <f t="shared" si="7"/>
        <v>0</v>
      </c>
      <c r="AQ27" s="105">
        <v>20</v>
      </c>
      <c r="AR27" s="57">
        <v>96300</v>
      </c>
      <c r="AS27" s="106">
        <f>AQ27*AR27</f>
        <v>1926000</v>
      </c>
      <c r="AT27" s="105">
        <f>100+45</f>
        <v>145</v>
      </c>
      <c r="AU27" s="57">
        <v>96300</v>
      </c>
      <c r="AV27" s="106">
        <f>AT27*AU27</f>
        <v>13963500</v>
      </c>
      <c r="AW27" s="105"/>
      <c r="AX27" s="57"/>
      <c r="AY27" s="106"/>
      <c r="AZ27" s="105">
        <v>60</v>
      </c>
      <c r="BA27" s="57">
        <v>128000</v>
      </c>
      <c r="BB27" s="106">
        <f t="shared" si="8"/>
        <v>7680000</v>
      </c>
      <c r="BC27" s="105">
        <v>50</v>
      </c>
      <c r="BD27" s="57">
        <v>128000</v>
      </c>
      <c r="BE27" s="106">
        <v>6400000</v>
      </c>
      <c r="BF27" s="105"/>
      <c r="BG27" s="57"/>
      <c r="BH27" s="106"/>
    </row>
    <row r="28" spans="1:60" s="6" customFormat="1" ht="27" customHeight="1" x14ac:dyDescent="0.25">
      <c r="A28" s="4">
        <v>23</v>
      </c>
      <c r="B28" s="9" t="s">
        <v>89</v>
      </c>
      <c r="C28" s="10" t="s">
        <v>98</v>
      </c>
      <c r="D28" s="5"/>
      <c r="E28" s="20"/>
      <c r="F28" s="11"/>
      <c r="G28" s="7"/>
      <c r="H28" s="68"/>
      <c r="I28" s="75"/>
      <c r="J28" s="69"/>
      <c r="K28" s="5"/>
      <c r="L28" s="20"/>
      <c r="M28" s="11"/>
      <c r="N28" s="7"/>
      <c r="O28" s="70"/>
      <c r="P28" s="77"/>
      <c r="Q28" s="70"/>
      <c r="R28" s="12"/>
      <c r="S28" s="20"/>
      <c r="T28" s="1"/>
      <c r="U28" s="7"/>
      <c r="V28" s="70"/>
      <c r="W28" s="77"/>
      <c r="X28" s="70"/>
      <c r="Y28" s="19"/>
      <c r="Z28" s="24"/>
      <c r="AA28" s="19"/>
      <c r="AB28" s="70"/>
      <c r="AC28" s="77"/>
      <c r="AD28" s="70"/>
      <c r="AE28" s="19"/>
      <c r="AF28" s="19"/>
      <c r="AG28" s="19"/>
      <c r="AH28" s="70"/>
      <c r="AI28" s="77"/>
      <c r="AJ28" s="70"/>
      <c r="AK28" s="19"/>
      <c r="AL28" s="24"/>
      <c r="AM28" s="19"/>
      <c r="AN28" s="70"/>
      <c r="AO28" s="77"/>
      <c r="AP28" s="73">
        <f t="shared" si="7"/>
        <v>0</v>
      </c>
      <c r="AQ28" s="105"/>
      <c r="AR28" s="57"/>
      <c r="AS28" s="106"/>
      <c r="AT28" s="105"/>
      <c r="AU28" s="57"/>
      <c r="AV28" s="106"/>
      <c r="AW28" s="105"/>
      <c r="AX28" s="57"/>
      <c r="AY28" s="106"/>
      <c r="AZ28" s="105"/>
      <c r="BA28" s="57"/>
      <c r="BB28" s="106"/>
      <c r="BC28" s="105"/>
      <c r="BD28" s="57"/>
      <c r="BE28" s="106"/>
      <c r="BF28" s="105"/>
      <c r="BG28" s="57"/>
      <c r="BH28" s="106"/>
    </row>
    <row r="29" spans="1:60" s="6" customFormat="1" ht="27" customHeight="1" x14ac:dyDescent="0.25">
      <c r="A29" s="4">
        <v>24</v>
      </c>
      <c r="B29" s="9" t="s">
        <v>90</v>
      </c>
      <c r="C29" s="10" t="s">
        <v>91</v>
      </c>
      <c r="D29" s="5"/>
      <c r="E29" s="20"/>
      <c r="F29" s="11"/>
      <c r="G29" s="7"/>
      <c r="H29" s="68"/>
      <c r="I29" s="75"/>
      <c r="J29" s="69"/>
      <c r="K29" s="5"/>
      <c r="L29" s="20"/>
      <c r="M29" s="11"/>
      <c r="N29" s="7"/>
      <c r="O29" s="70"/>
      <c r="P29" s="77"/>
      <c r="Q29" s="70"/>
      <c r="R29" s="12"/>
      <c r="S29" s="20"/>
      <c r="T29" s="1"/>
      <c r="U29" s="7"/>
      <c r="V29" s="70"/>
      <c r="W29" s="77"/>
      <c r="X29" s="70"/>
      <c r="Y29" s="19"/>
      <c r="Z29" s="24"/>
      <c r="AA29" s="19"/>
      <c r="AB29" s="70"/>
      <c r="AC29" s="77"/>
      <c r="AD29" s="70"/>
      <c r="AE29" s="19"/>
      <c r="AF29" s="19"/>
      <c r="AG29" s="19"/>
      <c r="AH29" s="68">
        <v>20</v>
      </c>
      <c r="AI29" s="75">
        <v>140000</v>
      </c>
      <c r="AJ29" s="69">
        <f t="shared" ref="AJ29:AJ34" si="13">AH29*AI29</f>
        <v>2800000</v>
      </c>
      <c r="AK29" s="19"/>
      <c r="AL29" s="24"/>
      <c r="AM29" s="19"/>
      <c r="AN29" s="68">
        <v>20</v>
      </c>
      <c r="AO29" s="75">
        <v>140000</v>
      </c>
      <c r="AP29" s="73">
        <f t="shared" si="7"/>
        <v>2800000</v>
      </c>
      <c r="AQ29" s="105"/>
      <c r="AR29" s="57"/>
      <c r="AS29" s="106"/>
      <c r="AT29" s="105"/>
      <c r="AU29" s="57"/>
      <c r="AV29" s="106"/>
      <c r="AW29" s="105">
        <v>20</v>
      </c>
      <c r="AX29" s="57">
        <v>125000</v>
      </c>
      <c r="AY29" s="106">
        <f t="shared" si="9"/>
        <v>2500000</v>
      </c>
      <c r="AZ29" s="105"/>
      <c r="BA29" s="57"/>
      <c r="BB29" s="106"/>
      <c r="BC29" s="105"/>
      <c r="BD29" s="57"/>
      <c r="BE29" s="106"/>
      <c r="BF29" s="105"/>
      <c r="BG29" s="57"/>
      <c r="BH29" s="106"/>
    </row>
    <row r="30" spans="1:60" s="6" customFormat="1" ht="27" customHeight="1" x14ac:dyDescent="0.25">
      <c r="A30" s="4">
        <v>25</v>
      </c>
      <c r="B30" s="9" t="s">
        <v>49</v>
      </c>
      <c r="C30" s="10" t="s">
        <v>7</v>
      </c>
      <c r="D30" s="5">
        <v>70</v>
      </c>
      <c r="E30" s="20">
        <v>93500</v>
      </c>
      <c r="F30" s="11">
        <f t="shared" si="3"/>
        <v>6414100</v>
      </c>
      <c r="G30" s="7">
        <v>0.02</v>
      </c>
      <c r="H30" s="68"/>
      <c r="I30" s="75"/>
      <c r="J30" s="69"/>
      <c r="K30" s="5"/>
      <c r="L30" s="20"/>
      <c r="M30" s="11"/>
      <c r="N30" s="7"/>
      <c r="O30" s="68">
        <v>50</v>
      </c>
      <c r="P30" s="75">
        <v>134500</v>
      </c>
      <c r="Q30" s="69">
        <f>O30*P30</f>
        <v>6725000</v>
      </c>
      <c r="R30" s="12">
        <v>120</v>
      </c>
      <c r="S30" s="20">
        <v>93500</v>
      </c>
      <c r="T30" s="1">
        <f>R30*S30*98%</f>
        <v>10995600</v>
      </c>
      <c r="U30" s="7">
        <v>0.02</v>
      </c>
      <c r="V30" s="68">
        <f>50+50</f>
        <v>100</v>
      </c>
      <c r="W30" s="75">
        <v>134500</v>
      </c>
      <c r="X30" s="69">
        <f>V30*W30</f>
        <v>13450000</v>
      </c>
      <c r="Y30" s="12">
        <v>55</v>
      </c>
      <c r="Z30" s="20">
        <v>93500</v>
      </c>
      <c r="AA30" s="1">
        <f t="shared" ref="AA30:AA37" si="14">Y30*Z30</f>
        <v>5142500</v>
      </c>
      <c r="AB30" s="70"/>
      <c r="AC30" s="77"/>
      <c r="AD30" s="70"/>
      <c r="AE30" s="54">
        <v>100</v>
      </c>
      <c r="AF30" s="57">
        <v>102900</v>
      </c>
      <c r="AG30" s="55">
        <f t="shared" ref="AG30:AG38" si="15">AE30*AF30</f>
        <v>10290000</v>
      </c>
      <c r="AH30" s="68">
        <f>50+100</f>
        <v>150</v>
      </c>
      <c r="AI30" s="75">
        <v>134500</v>
      </c>
      <c r="AJ30" s="69">
        <f t="shared" si="13"/>
        <v>20175000</v>
      </c>
      <c r="AK30" s="5">
        <f>25+150</f>
        <v>175</v>
      </c>
      <c r="AL30" s="20">
        <v>102900</v>
      </c>
      <c r="AM30" s="11">
        <f t="shared" ref="AM30:AM38" si="16">AK30*AL30</f>
        <v>18007500</v>
      </c>
      <c r="AN30" s="68"/>
      <c r="AO30" s="75"/>
      <c r="AP30" s="73">
        <f t="shared" si="7"/>
        <v>0</v>
      </c>
      <c r="AQ30" s="105">
        <v>65</v>
      </c>
      <c r="AR30" s="57">
        <v>102900</v>
      </c>
      <c r="AS30" s="106">
        <f>AQ30*AR30</f>
        <v>6688500</v>
      </c>
      <c r="AT30" s="105">
        <v>35</v>
      </c>
      <c r="AU30" s="57">
        <v>102900</v>
      </c>
      <c r="AV30" s="106">
        <f>AT30*AU30</f>
        <v>3601500</v>
      </c>
      <c r="AW30" s="105">
        <f>30+100+15</f>
        <v>145</v>
      </c>
      <c r="AX30" s="57" t="s">
        <v>130</v>
      </c>
      <c r="AY30" s="106">
        <f>14820000+1800000</f>
        <v>16620000</v>
      </c>
      <c r="AZ30" s="105">
        <v>55</v>
      </c>
      <c r="BA30" s="57">
        <v>134500</v>
      </c>
      <c r="BB30" s="106">
        <f t="shared" si="8"/>
        <v>7397500</v>
      </c>
      <c r="BC30" s="105">
        <v>13</v>
      </c>
      <c r="BD30" s="57">
        <v>134500</v>
      </c>
      <c r="BE30" s="106">
        <f t="shared" ref="BE30:BE61" si="17">BC30*BD30</f>
        <v>1748500</v>
      </c>
      <c r="BF30" s="105">
        <v>100</v>
      </c>
      <c r="BG30" s="57">
        <v>134500</v>
      </c>
      <c r="BH30" s="106">
        <f t="shared" si="2"/>
        <v>13450000</v>
      </c>
    </row>
    <row r="31" spans="1:60" s="6" customFormat="1" ht="27" customHeight="1" x14ac:dyDescent="0.25">
      <c r="A31" s="4">
        <v>26</v>
      </c>
      <c r="B31" s="9" t="s">
        <v>50</v>
      </c>
      <c r="C31" s="10" t="s">
        <v>8</v>
      </c>
      <c r="D31" s="5">
        <f>169+122</f>
        <v>291</v>
      </c>
      <c r="E31" s="20">
        <v>97000</v>
      </c>
      <c r="F31" s="11">
        <f t="shared" si="3"/>
        <v>27662460</v>
      </c>
      <c r="G31" s="7">
        <v>0.02</v>
      </c>
      <c r="H31" s="68">
        <f>150+100</f>
        <v>250</v>
      </c>
      <c r="I31" s="75">
        <v>139000</v>
      </c>
      <c r="J31" s="69">
        <f>H31*I31</f>
        <v>34750000</v>
      </c>
      <c r="K31" s="5">
        <f>275+110</f>
        <v>385</v>
      </c>
      <c r="L31" s="20">
        <v>97000</v>
      </c>
      <c r="M31" s="11">
        <f t="shared" ref="M31:M37" si="18">K31*L31*98%</f>
        <v>36598100</v>
      </c>
      <c r="N31" s="7">
        <v>0.02</v>
      </c>
      <c r="O31" s="68">
        <f>47+100</f>
        <v>147</v>
      </c>
      <c r="P31" s="75">
        <v>139000</v>
      </c>
      <c r="Q31" s="69">
        <f>O31*P31</f>
        <v>20433000</v>
      </c>
      <c r="R31" s="12">
        <v>380</v>
      </c>
      <c r="S31" s="20">
        <v>97000</v>
      </c>
      <c r="T31" s="1">
        <f>R31*S31*98%</f>
        <v>36122800</v>
      </c>
      <c r="U31" s="7">
        <v>0.02</v>
      </c>
      <c r="V31" s="68">
        <f>250+103</f>
        <v>353</v>
      </c>
      <c r="W31" s="75">
        <v>139000</v>
      </c>
      <c r="X31" s="69">
        <f>V31*W31</f>
        <v>49067000</v>
      </c>
      <c r="Y31" s="12">
        <f>310+40</f>
        <v>350</v>
      </c>
      <c r="Z31" s="20">
        <v>97000</v>
      </c>
      <c r="AA31" s="1">
        <f t="shared" si="14"/>
        <v>33950000</v>
      </c>
      <c r="AB31" s="68">
        <v>50</v>
      </c>
      <c r="AC31" s="75">
        <v>139000</v>
      </c>
      <c r="AD31" s="69">
        <f>AB31*AC31</f>
        <v>6950000</v>
      </c>
      <c r="AE31" s="54">
        <v>397</v>
      </c>
      <c r="AF31" s="57">
        <v>106700</v>
      </c>
      <c r="AG31" s="55">
        <f t="shared" si="15"/>
        <v>42359900</v>
      </c>
      <c r="AH31" s="68">
        <f>50+200</f>
        <v>250</v>
      </c>
      <c r="AI31" s="75">
        <v>139000</v>
      </c>
      <c r="AJ31" s="69">
        <f t="shared" si="13"/>
        <v>34750000</v>
      </c>
      <c r="AK31" s="5">
        <f>85+260</f>
        <v>345</v>
      </c>
      <c r="AL31" s="20">
        <v>106700</v>
      </c>
      <c r="AM31" s="11">
        <f t="shared" si="16"/>
        <v>36811500</v>
      </c>
      <c r="AN31" s="68">
        <v>200</v>
      </c>
      <c r="AO31" s="75">
        <v>139000</v>
      </c>
      <c r="AP31" s="73">
        <f t="shared" si="7"/>
        <v>27800000</v>
      </c>
      <c r="AQ31" s="105">
        <v>20</v>
      </c>
      <c r="AR31" s="57">
        <v>106700</v>
      </c>
      <c r="AS31" s="106">
        <f>AQ31*AR31</f>
        <v>2134000</v>
      </c>
      <c r="AT31" s="105">
        <v>50</v>
      </c>
      <c r="AU31" s="57">
        <v>106700</v>
      </c>
      <c r="AV31" s="106">
        <f>AT31*AU31</f>
        <v>5335000</v>
      </c>
      <c r="AW31" s="105">
        <f>60+100+40</f>
        <v>200</v>
      </c>
      <c r="AX31" s="57" t="s">
        <v>131</v>
      </c>
      <c r="AY31" s="106">
        <f>18880000+4960000</f>
        <v>23840000</v>
      </c>
      <c r="AZ31" s="105">
        <f>200+60</f>
        <v>260</v>
      </c>
      <c r="BA31" s="57">
        <v>139000</v>
      </c>
      <c r="BB31" s="106">
        <f t="shared" si="8"/>
        <v>36140000</v>
      </c>
      <c r="BC31" s="105">
        <f>50+50</f>
        <v>100</v>
      </c>
      <c r="BD31" s="57">
        <v>139000</v>
      </c>
      <c r="BE31" s="106">
        <f t="shared" si="17"/>
        <v>13900000</v>
      </c>
      <c r="BF31" s="105">
        <f>100+50</f>
        <v>150</v>
      </c>
      <c r="BG31" s="57">
        <v>139000</v>
      </c>
      <c r="BH31" s="106">
        <f t="shared" si="2"/>
        <v>20850000</v>
      </c>
    </row>
    <row r="32" spans="1:60" s="6" customFormat="1" ht="27" customHeight="1" x14ac:dyDescent="0.25">
      <c r="A32" s="4">
        <v>27</v>
      </c>
      <c r="B32" s="9" t="s">
        <v>51</v>
      </c>
      <c r="C32" s="10" t="s">
        <v>9</v>
      </c>
      <c r="D32" s="5">
        <v>20</v>
      </c>
      <c r="E32" s="20">
        <v>114500</v>
      </c>
      <c r="F32" s="11">
        <f t="shared" si="3"/>
        <v>2244200</v>
      </c>
      <c r="G32" s="7">
        <v>0.02</v>
      </c>
      <c r="H32" s="68">
        <f>50+32</f>
        <v>82</v>
      </c>
      <c r="I32" s="75">
        <v>168000</v>
      </c>
      <c r="J32" s="69">
        <f>H32*I32</f>
        <v>13776000</v>
      </c>
      <c r="K32" s="5">
        <f>150+20</f>
        <v>170</v>
      </c>
      <c r="L32" s="20">
        <v>114500</v>
      </c>
      <c r="M32" s="11">
        <f t="shared" si="18"/>
        <v>19075700</v>
      </c>
      <c r="N32" s="7">
        <v>0.02</v>
      </c>
      <c r="O32" s="68">
        <v>28</v>
      </c>
      <c r="P32" s="75">
        <v>168000</v>
      </c>
      <c r="Q32" s="69">
        <f>O32*P32</f>
        <v>4704000</v>
      </c>
      <c r="R32" s="12">
        <v>50</v>
      </c>
      <c r="S32" s="20">
        <v>114500</v>
      </c>
      <c r="T32" s="1">
        <f>R32*S32*98%</f>
        <v>5610500</v>
      </c>
      <c r="U32" s="7">
        <v>0.02</v>
      </c>
      <c r="V32" s="68">
        <f>50+22</f>
        <v>72</v>
      </c>
      <c r="W32" s="75">
        <v>168000</v>
      </c>
      <c r="X32" s="69">
        <f>V32*W32</f>
        <v>12096000</v>
      </c>
      <c r="Y32" s="12">
        <v>9</v>
      </c>
      <c r="Z32" s="20">
        <v>114500</v>
      </c>
      <c r="AA32" s="1">
        <f t="shared" si="14"/>
        <v>1030500</v>
      </c>
      <c r="AB32" s="68">
        <v>50</v>
      </c>
      <c r="AC32" s="75">
        <v>168000</v>
      </c>
      <c r="AD32" s="69">
        <v>8400000</v>
      </c>
      <c r="AE32" s="54">
        <v>60</v>
      </c>
      <c r="AF32" s="57">
        <v>126000</v>
      </c>
      <c r="AG32" s="55">
        <f t="shared" si="15"/>
        <v>7560000</v>
      </c>
      <c r="AH32" s="68">
        <v>50</v>
      </c>
      <c r="AI32" s="75">
        <v>168000</v>
      </c>
      <c r="AJ32" s="69">
        <f t="shared" si="13"/>
        <v>8400000</v>
      </c>
      <c r="AK32" s="5">
        <f>25+65</f>
        <v>90</v>
      </c>
      <c r="AL32" s="20">
        <v>126000</v>
      </c>
      <c r="AM32" s="11">
        <f t="shared" si="16"/>
        <v>11340000</v>
      </c>
      <c r="AN32" s="68">
        <v>50</v>
      </c>
      <c r="AO32" s="75">
        <v>168000</v>
      </c>
      <c r="AP32" s="73">
        <f t="shared" si="7"/>
        <v>8400000</v>
      </c>
      <c r="AQ32" s="105">
        <f>35+25</f>
        <v>60</v>
      </c>
      <c r="AR32" s="57">
        <v>126000</v>
      </c>
      <c r="AS32" s="106">
        <f>AQ32*AR32</f>
        <v>7560000</v>
      </c>
      <c r="AT32" s="105">
        <f>50+100</f>
        <v>150</v>
      </c>
      <c r="AU32" s="57">
        <v>126000</v>
      </c>
      <c r="AV32" s="106">
        <f>AT32*AU32</f>
        <v>18900000</v>
      </c>
      <c r="AW32" s="105">
        <v>100</v>
      </c>
      <c r="AX32" s="57">
        <v>146000</v>
      </c>
      <c r="AY32" s="106">
        <f t="shared" si="9"/>
        <v>14600000</v>
      </c>
      <c r="AZ32" s="105"/>
      <c r="BA32" s="57"/>
      <c r="BB32" s="106"/>
      <c r="BC32" s="105"/>
      <c r="BD32" s="57"/>
      <c r="BE32" s="106"/>
      <c r="BF32" s="105">
        <v>18</v>
      </c>
      <c r="BG32" s="57">
        <v>168000</v>
      </c>
      <c r="BH32" s="106">
        <f t="shared" si="2"/>
        <v>3024000</v>
      </c>
    </row>
    <row r="33" spans="1:60" s="6" customFormat="1" ht="27" customHeight="1" x14ac:dyDescent="0.25">
      <c r="A33" s="4">
        <v>28</v>
      </c>
      <c r="B33" s="9" t="s">
        <v>52</v>
      </c>
      <c r="C33" s="10" t="s">
        <v>97</v>
      </c>
      <c r="D33" s="5">
        <f>70+127</f>
        <v>197</v>
      </c>
      <c r="E33" s="20">
        <v>122000</v>
      </c>
      <c r="F33" s="11">
        <f t="shared" si="3"/>
        <v>23553320</v>
      </c>
      <c r="G33" s="7">
        <v>0.02</v>
      </c>
      <c r="H33" s="68">
        <f>50+40</f>
        <v>90</v>
      </c>
      <c r="I33" s="75">
        <v>171000</v>
      </c>
      <c r="J33" s="69">
        <f>H33*I33</f>
        <v>15390000</v>
      </c>
      <c r="K33" s="5">
        <f>163+100</f>
        <v>263</v>
      </c>
      <c r="L33" s="20">
        <v>122000</v>
      </c>
      <c r="M33" s="11">
        <f t="shared" si="18"/>
        <v>31444280</v>
      </c>
      <c r="N33" s="7">
        <v>0.02</v>
      </c>
      <c r="O33" s="68">
        <v>50</v>
      </c>
      <c r="P33" s="75">
        <v>171000</v>
      </c>
      <c r="Q33" s="69">
        <f>O33*P33</f>
        <v>8550000</v>
      </c>
      <c r="R33" s="12">
        <v>190</v>
      </c>
      <c r="S33" s="20">
        <v>122000</v>
      </c>
      <c r="T33" s="1">
        <f>R33*S33*98%</f>
        <v>22716400</v>
      </c>
      <c r="U33" s="7">
        <v>0.02</v>
      </c>
      <c r="V33" s="68">
        <f>100+30</f>
        <v>130</v>
      </c>
      <c r="W33" s="75">
        <v>171000</v>
      </c>
      <c r="X33" s="69">
        <f>V33*W33</f>
        <v>22230000</v>
      </c>
      <c r="Y33" s="12">
        <f>150+22</f>
        <v>172</v>
      </c>
      <c r="Z33" s="20">
        <v>122000</v>
      </c>
      <c r="AA33" s="1">
        <f t="shared" si="14"/>
        <v>20984000</v>
      </c>
      <c r="AB33" s="68">
        <f>47+30</f>
        <v>77</v>
      </c>
      <c r="AC33" s="75">
        <v>171000</v>
      </c>
      <c r="AD33" s="69">
        <f>AB33*AC33</f>
        <v>13167000</v>
      </c>
      <c r="AE33" s="54">
        <v>205</v>
      </c>
      <c r="AF33" s="57">
        <v>134200</v>
      </c>
      <c r="AG33" s="55">
        <f t="shared" si="15"/>
        <v>27511000</v>
      </c>
      <c r="AH33" s="68">
        <f>50+183</f>
        <v>233</v>
      </c>
      <c r="AI33" s="75">
        <v>171000</v>
      </c>
      <c r="AJ33" s="69">
        <f t="shared" si="13"/>
        <v>39843000</v>
      </c>
      <c r="AK33" s="5">
        <f>38+325</f>
        <v>363</v>
      </c>
      <c r="AL33" s="20">
        <v>134200</v>
      </c>
      <c r="AM33" s="11">
        <f t="shared" si="16"/>
        <v>48714600</v>
      </c>
      <c r="AN33" s="68"/>
      <c r="AO33" s="75"/>
      <c r="AP33" s="73">
        <f t="shared" si="7"/>
        <v>0</v>
      </c>
      <c r="AQ33" s="105">
        <v>15</v>
      </c>
      <c r="AR33" s="57">
        <v>134200</v>
      </c>
      <c r="AS33" s="106">
        <f>AQ33*AR33</f>
        <v>2013000</v>
      </c>
      <c r="AT33" s="105">
        <v>85</v>
      </c>
      <c r="AU33" s="57">
        <v>134200</v>
      </c>
      <c r="AV33" s="106">
        <f>AT33*AU33</f>
        <v>11407000</v>
      </c>
      <c r="AW33" s="105">
        <v>100</v>
      </c>
      <c r="AX33" s="57">
        <v>155500</v>
      </c>
      <c r="AY33" s="106">
        <f t="shared" si="9"/>
        <v>15550000</v>
      </c>
      <c r="AZ33" s="105">
        <v>200</v>
      </c>
      <c r="BA33" s="57">
        <v>171000</v>
      </c>
      <c r="BB33" s="106">
        <f t="shared" si="8"/>
        <v>34200000</v>
      </c>
      <c r="BC33" s="105">
        <v>30</v>
      </c>
      <c r="BD33" s="57">
        <v>171000</v>
      </c>
      <c r="BE33" s="106">
        <f t="shared" si="17"/>
        <v>5130000</v>
      </c>
      <c r="BF33" s="105">
        <f>100+20</f>
        <v>120</v>
      </c>
      <c r="BG33" s="57">
        <v>171000</v>
      </c>
      <c r="BH33" s="106">
        <f t="shared" si="2"/>
        <v>20520000</v>
      </c>
    </row>
    <row r="34" spans="1:60" s="6" customFormat="1" ht="27" customHeight="1" x14ac:dyDescent="0.25">
      <c r="A34" s="4">
        <v>29</v>
      </c>
      <c r="B34" s="9" t="s">
        <v>53</v>
      </c>
      <c r="C34" s="10" t="s">
        <v>96</v>
      </c>
      <c r="D34" s="5">
        <f>15+20</f>
        <v>35</v>
      </c>
      <c r="E34" s="20">
        <v>130000</v>
      </c>
      <c r="F34" s="11">
        <f t="shared" si="3"/>
        <v>4459000</v>
      </c>
      <c r="G34" s="7">
        <v>0.02</v>
      </c>
      <c r="H34" s="68"/>
      <c r="I34" s="75"/>
      <c r="J34" s="69"/>
      <c r="K34" s="5">
        <v>55</v>
      </c>
      <c r="L34" s="20">
        <v>130000</v>
      </c>
      <c r="M34" s="11">
        <f t="shared" si="18"/>
        <v>7007000</v>
      </c>
      <c r="N34" s="7">
        <v>0.02</v>
      </c>
      <c r="O34" s="68">
        <v>100</v>
      </c>
      <c r="P34" s="75">
        <v>190500</v>
      </c>
      <c r="Q34" s="69">
        <f>O34*P34</f>
        <v>19050000</v>
      </c>
      <c r="R34" s="12">
        <v>77</v>
      </c>
      <c r="S34" s="20">
        <v>130000</v>
      </c>
      <c r="T34" s="1">
        <f>R34*S34*98%</f>
        <v>9809800</v>
      </c>
      <c r="U34" s="7">
        <v>0.02</v>
      </c>
      <c r="V34" s="70"/>
      <c r="W34" s="77"/>
      <c r="X34" s="70"/>
      <c r="Y34" s="12">
        <v>20</v>
      </c>
      <c r="Z34" s="20">
        <v>130000</v>
      </c>
      <c r="AA34" s="1">
        <f t="shared" si="14"/>
        <v>2600000</v>
      </c>
      <c r="AB34" s="70"/>
      <c r="AC34" s="77"/>
      <c r="AD34" s="70"/>
      <c r="AE34" s="54">
        <v>50</v>
      </c>
      <c r="AF34" s="57">
        <v>143000</v>
      </c>
      <c r="AG34" s="55">
        <f t="shared" si="15"/>
        <v>7150000</v>
      </c>
      <c r="AH34" s="68">
        <v>50</v>
      </c>
      <c r="AI34" s="75">
        <v>190500</v>
      </c>
      <c r="AJ34" s="69">
        <f t="shared" si="13"/>
        <v>9525000</v>
      </c>
      <c r="AK34" s="5">
        <f>50+180</f>
        <v>230</v>
      </c>
      <c r="AL34" s="20">
        <v>143000</v>
      </c>
      <c r="AM34" s="11">
        <f t="shared" si="16"/>
        <v>32890000</v>
      </c>
      <c r="AN34" s="68">
        <v>50</v>
      </c>
      <c r="AO34" s="75">
        <v>190500</v>
      </c>
      <c r="AP34" s="73">
        <f t="shared" si="7"/>
        <v>9525000</v>
      </c>
      <c r="AQ34" s="105"/>
      <c r="AR34" s="57"/>
      <c r="AS34" s="106"/>
      <c r="AT34" s="105">
        <v>33</v>
      </c>
      <c r="AU34" s="57">
        <v>143000</v>
      </c>
      <c r="AV34" s="106">
        <f>AT34*AU34</f>
        <v>4719000</v>
      </c>
      <c r="AW34" s="105"/>
      <c r="AX34" s="57"/>
      <c r="AY34" s="106"/>
      <c r="AZ34" s="105"/>
      <c r="BA34" s="57"/>
      <c r="BB34" s="106"/>
      <c r="BC34" s="105"/>
      <c r="BD34" s="57"/>
      <c r="BE34" s="106"/>
      <c r="BF34" s="105">
        <v>50</v>
      </c>
      <c r="BG34" s="57">
        <v>190500</v>
      </c>
      <c r="BH34" s="106">
        <f t="shared" si="2"/>
        <v>9525000</v>
      </c>
    </row>
    <row r="35" spans="1:60" s="6" customFormat="1" ht="27" customHeight="1" x14ac:dyDescent="0.25">
      <c r="A35" s="4">
        <v>30</v>
      </c>
      <c r="B35" s="9" t="s">
        <v>78</v>
      </c>
      <c r="C35" s="10" t="s">
        <v>94</v>
      </c>
      <c r="D35" s="5"/>
      <c r="E35" s="20"/>
      <c r="F35" s="11"/>
      <c r="G35" s="7"/>
      <c r="H35" s="68"/>
      <c r="I35" s="75"/>
      <c r="J35" s="69"/>
      <c r="K35" s="5">
        <f>44+10</f>
        <v>54</v>
      </c>
      <c r="L35" s="20">
        <v>144500</v>
      </c>
      <c r="M35" s="11">
        <f t="shared" si="18"/>
        <v>7646940</v>
      </c>
      <c r="N35" s="7">
        <v>0.02</v>
      </c>
      <c r="O35" s="70"/>
      <c r="P35" s="77"/>
      <c r="Q35" s="70"/>
      <c r="R35" s="12"/>
      <c r="S35" s="20"/>
      <c r="T35" s="1"/>
      <c r="U35" s="7"/>
      <c r="V35" s="68">
        <v>100</v>
      </c>
      <c r="W35" s="75">
        <v>206000</v>
      </c>
      <c r="X35" s="69">
        <f>V35*W35</f>
        <v>20600000</v>
      </c>
      <c r="Y35" s="12">
        <f>56+10</f>
        <v>66</v>
      </c>
      <c r="Z35" s="20">
        <v>144500</v>
      </c>
      <c r="AA35" s="1">
        <f t="shared" si="14"/>
        <v>9537000</v>
      </c>
      <c r="AB35" s="70"/>
      <c r="AC35" s="77"/>
      <c r="AD35" s="70"/>
      <c r="AE35" s="54">
        <v>65</v>
      </c>
      <c r="AF35" s="57">
        <v>159000</v>
      </c>
      <c r="AG35" s="55">
        <f t="shared" si="15"/>
        <v>10335000</v>
      </c>
      <c r="AH35" s="70"/>
      <c r="AI35" s="77"/>
      <c r="AJ35" s="70"/>
      <c r="AK35" s="5">
        <f>35+160</f>
        <v>195</v>
      </c>
      <c r="AL35" s="20">
        <v>159000</v>
      </c>
      <c r="AM35" s="11">
        <f t="shared" si="16"/>
        <v>31005000</v>
      </c>
      <c r="AN35" s="70">
        <v>20</v>
      </c>
      <c r="AO35" s="77">
        <v>206000</v>
      </c>
      <c r="AP35" s="73">
        <f t="shared" si="7"/>
        <v>4120000</v>
      </c>
      <c r="AQ35" s="105"/>
      <c r="AR35" s="57"/>
      <c r="AS35" s="106"/>
      <c r="AT35" s="105"/>
      <c r="AU35" s="57"/>
      <c r="AV35" s="106"/>
      <c r="AW35" s="105">
        <f>30+50</f>
        <v>80</v>
      </c>
      <c r="AX35" s="57" t="s">
        <v>132</v>
      </c>
      <c r="AY35" s="106">
        <f>5250000+9200000</f>
        <v>14450000</v>
      </c>
      <c r="AZ35" s="105">
        <f>50+30</f>
        <v>80</v>
      </c>
      <c r="BA35" s="57">
        <v>206000</v>
      </c>
      <c r="BB35" s="106">
        <f t="shared" si="8"/>
        <v>16480000</v>
      </c>
      <c r="BC35" s="105"/>
      <c r="BD35" s="57"/>
      <c r="BE35" s="106"/>
      <c r="BF35" s="105"/>
      <c r="BG35" s="57"/>
      <c r="BH35" s="106"/>
    </row>
    <row r="36" spans="1:60" s="6" customFormat="1" ht="27" customHeight="1" x14ac:dyDescent="0.25">
      <c r="A36" s="4">
        <v>31</v>
      </c>
      <c r="B36" s="9" t="s">
        <v>54</v>
      </c>
      <c r="C36" s="10" t="s">
        <v>99</v>
      </c>
      <c r="D36" s="5">
        <v>53</v>
      </c>
      <c r="E36" s="20">
        <v>144500</v>
      </c>
      <c r="F36" s="11">
        <f t="shared" si="3"/>
        <v>7505330</v>
      </c>
      <c r="G36" s="7">
        <v>0.02</v>
      </c>
      <c r="H36" s="68"/>
      <c r="I36" s="75"/>
      <c r="J36" s="69"/>
      <c r="K36" s="5">
        <f>80+59</f>
        <v>139</v>
      </c>
      <c r="L36" s="20">
        <v>144500</v>
      </c>
      <c r="M36" s="11">
        <f t="shared" si="18"/>
        <v>19683790</v>
      </c>
      <c r="N36" s="7">
        <v>0.02</v>
      </c>
      <c r="O36" s="68">
        <v>100</v>
      </c>
      <c r="P36" s="75">
        <v>206000</v>
      </c>
      <c r="Q36" s="69">
        <f>O36*P36</f>
        <v>20600000</v>
      </c>
      <c r="R36" s="12">
        <v>70</v>
      </c>
      <c r="S36" s="20">
        <v>144500</v>
      </c>
      <c r="T36" s="1">
        <f>R36*S36*98%</f>
        <v>9912700</v>
      </c>
      <c r="U36" s="7">
        <v>0.02</v>
      </c>
      <c r="V36" s="68">
        <v>50</v>
      </c>
      <c r="W36" s="75">
        <v>206000</v>
      </c>
      <c r="X36" s="69">
        <f>V36*W36</f>
        <v>10300000</v>
      </c>
      <c r="Y36" s="12">
        <f>56+13</f>
        <v>69</v>
      </c>
      <c r="Z36" s="20">
        <v>144500</v>
      </c>
      <c r="AA36" s="1">
        <f t="shared" si="14"/>
        <v>9970500</v>
      </c>
      <c r="AB36" s="68">
        <v>50</v>
      </c>
      <c r="AC36" s="75">
        <v>206000</v>
      </c>
      <c r="AD36" s="69">
        <f>AB36*AC36</f>
        <v>10300000</v>
      </c>
      <c r="AE36" s="54">
        <v>30</v>
      </c>
      <c r="AF36" s="57">
        <v>159000</v>
      </c>
      <c r="AG36" s="55">
        <f t="shared" si="15"/>
        <v>4770000</v>
      </c>
      <c r="AH36" s="70"/>
      <c r="AI36" s="77"/>
      <c r="AJ36" s="70"/>
      <c r="AK36" s="15">
        <v>15</v>
      </c>
      <c r="AL36" s="25">
        <v>159000</v>
      </c>
      <c r="AM36" s="16">
        <f t="shared" si="16"/>
        <v>2385000</v>
      </c>
      <c r="AN36" s="70"/>
      <c r="AO36" s="77"/>
      <c r="AP36" s="73">
        <f t="shared" si="7"/>
        <v>0</v>
      </c>
      <c r="AQ36" s="105"/>
      <c r="AR36" s="57"/>
      <c r="AS36" s="106"/>
      <c r="AT36" s="105"/>
      <c r="AU36" s="57"/>
      <c r="AV36" s="106"/>
      <c r="AW36" s="105">
        <f>30+50</f>
        <v>80</v>
      </c>
      <c r="AX36" s="57" t="s">
        <v>132</v>
      </c>
      <c r="AY36" s="106">
        <f>5250000+9200000</f>
        <v>14450000</v>
      </c>
      <c r="AZ36" s="105">
        <v>30</v>
      </c>
      <c r="BA36" s="57">
        <v>206000</v>
      </c>
      <c r="BB36" s="106">
        <f t="shared" si="8"/>
        <v>6180000</v>
      </c>
      <c r="BC36" s="105"/>
      <c r="BD36" s="57"/>
      <c r="BE36" s="106"/>
      <c r="BF36" s="105"/>
      <c r="BG36" s="57"/>
      <c r="BH36" s="106"/>
    </row>
    <row r="37" spans="1:60" s="6" customFormat="1" ht="27" customHeight="1" x14ac:dyDescent="0.25">
      <c r="A37" s="4">
        <v>32</v>
      </c>
      <c r="B37" s="9" t="s">
        <v>55</v>
      </c>
      <c r="C37" s="10" t="s">
        <v>100</v>
      </c>
      <c r="D37" s="5">
        <f>120+229</f>
        <v>349</v>
      </c>
      <c r="E37" s="20">
        <v>153000</v>
      </c>
      <c r="F37" s="11">
        <f t="shared" si="3"/>
        <v>52329060</v>
      </c>
      <c r="G37" s="7">
        <v>0.02</v>
      </c>
      <c r="H37" s="68">
        <f>50+116</f>
        <v>166</v>
      </c>
      <c r="I37" s="75">
        <v>213500</v>
      </c>
      <c r="J37" s="69">
        <f>H37*I37</f>
        <v>35441000</v>
      </c>
      <c r="K37" s="5">
        <f>180+90</f>
        <v>270</v>
      </c>
      <c r="L37" s="20">
        <v>153000</v>
      </c>
      <c r="M37" s="11">
        <f t="shared" si="18"/>
        <v>40483800</v>
      </c>
      <c r="N37" s="7">
        <v>0.02</v>
      </c>
      <c r="O37" s="68">
        <v>341</v>
      </c>
      <c r="P37" s="75">
        <v>213500</v>
      </c>
      <c r="Q37" s="69">
        <f>O37*P37</f>
        <v>72803500</v>
      </c>
      <c r="R37" s="12">
        <v>140</v>
      </c>
      <c r="S37" s="20">
        <v>153000</v>
      </c>
      <c r="T37" s="1">
        <f>R37*S37*98%</f>
        <v>20991600</v>
      </c>
      <c r="U37" s="7">
        <v>0.02</v>
      </c>
      <c r="V37" s="68">
        <f>209+143</f>
        <v>352</v>
      </c>
      <c r="W37" s="75">
        <v>213500</v>
      </c>
      <c r="X37" s="69">
        <f>V37*W37</f>
        <v>75152000</v>
      </c>
      <c r="Y37" s="12">
        <f>254+75</f>
        <v>329</v>
      </c>
      <c r="Z37" s="20">
        <v>153000</v>
      </c>
      <c r="AA37" s="1">
        <f t="shared" si="14"/>
        <v>50337000</v>
      </c>
      <c r="AB37" s="70"/>
      <c r="AC37" s="77"/>
      <c r="AD37" s="70"/>
      <c r="AE37" s="54">
        <v>415</v>
      </c>
      <c r="AF37" s="58">
        <v>168300</v>
      </c>
      <c r="AG37" s="55">
        <f t="shared" si="15"/>
        <v>69844500</v>
      </c>
      <c r="AH37" s="68">
        <f>100+100</f>
        <v>200</v>
      </c>
      <c r="AI37" s="75">
        <v>213500</v>
      </c>
      <c r="AJ37" s="69">
        <f>AH37*AI37</f>
        <v>42700000</v>
      </c>
      <c r="AK37" s="5">
        <f>100+546</f>
        <v>646</v>
      </c>
      <c r="AL37" s="20">
        <v>168300</v>
      </c>
      <c r="AM37" s="11">
        <f t="shared" si="16"/>
        <v>108721800</v>
      </c>
      <c r="AN37" s="68">
        <v>100</v>
      </c>
      <c r="AO37" s="75">
        <v>213500</v>
      </c>
      <c r="AP37" s="73">
        <f t="shared" si="7"/>
        <v>21350000</v>
      </c>
      <c r="AQ37" s="105">
        <v>30</v>
      </c>
      <c r="AR37" s="57">
        <v>168300</v>
      </c>
      <c r="AS37" s="106">
        <f>AQ37*AR37</f>
        <v>5049000</v>
      </c>
      <c r="AT37" s="105">
        <v>50</v>
      </c>
      <c r="AU37" s="57">
        <v>168300</v>
      </c>
      <c r="AV37" s="106">
        <f>AT37*AU37</f>
        <v>8415000</v>
      </c>
      <c r="AW37" s="105">
        <f>40+40</f>
        <v>80</v>
      </c>
      <c r="AX37" s="57" t="s">
        <v>133</v>
      </c>
      <c r="AY37" s="106">
        <f>7400000+7760000</f>
        <v>15160000</v>
      </c>
      <c r="AZ37" s="105">
        <v>42</v>
      </c>
      <c r="BA37" s="57">
        <v>213500</v>
      </c>
      <c r="BB37" s="106">
        <f t="shared" si="8"/>
        <v>8967000</v>
      </c>
      <c r="BC37" s="105">
        <v>50</v>
      </c>
      <c r="BD37" s="57">
        <v>213500</v>
      </c>
      <c r="BE37" s="106">
        <f t="shared" si="17"/>
        <v>10675000</v>
      </c>
      <c r="BF37" s="105">
        <f>50+91</f>
        <v>141</v>
      </c>
      <c r="BG37" s="57">
        <v>213500</v>
      </c>
      <c r="BH37" s="106">
        <f t="shared" si="2"/>
        <v>30103500</v>
      </c>
    </row>
    <row r="38" spans="1:60" s="6" customFormat="1" ht="27" customHeight="1" x14ac:dyDescent="0.25">
      <c r="A38" s="4">
        <v>33</v>
      </c>
      <c r="B38" s="9" t="s">
        <v>79</v>
      </c>
      <c r="C38" s="8" t="s">
        <v>101</v>
      </c>
      <c r="D38" s="5">
        <v>86</v>
      </c>
      <c r="E38" s="20">
        <v>160000</v>
      </c>
      <c r="F38" s="11">
        <f t="shared" si="3"/>
        <v>13484800</v>
      </c>
      <c r="G38" s="7">
        <v>0.02</v>
      </c>
      <c r="H38" s="68"/>
      <c r="I38" s="75"/>
      <c r="J38" s="69"/>
      <c r="K38" s="5"/>
      <c r="L38" s="20"/>
      <c r="M38" s="11"/>
      <c r="N38" s="7"/>
      <c r="O38" s="68">
        <v>100</v>
      </c>
      <c r="P38" s="75">
        <v>216500</v>
      </c>
      <c r="Q38" s="69">
        <f>O38*P38</f>
        <v>21650000</v>
      </c>
      <c r="R38" s="12">
        <v>100</v>
      </c>
      <c r="S38" s="20">
        <v>160000</v>
      </c>
      <c r="T38" s="1">
        <f>R38*S38*98%</f>
        <v>15680000</v>
      </c>
      <c r="U38" s="7">
        <v>0.02</v>
      </c>
      <c r="V38" s="70"/>
      <c r="W38" s="77"/>
      <c r="X38" s="70"/>
      <c r="Y38" s="19"/>
      <c r="Z38" s="24"/>
      <c r="AA38" s="19"/>
      <c r="AB38" s="70"/>
      <c r="AC38" s="77"/>
      <c r="AD38" s="70"/>
      <c r="AE38" s="54">
        <v>58</v>
      </c>
      <c r="AF38" s="58">
        <v>176000</v>
      </c>
      <c r="AG38" s="55">
        <f t="shared" si="15"/>
        <v>10208000</v>
      </c>
      <c r="AH38" s="68">
        <v>100</v>
      </c>
      <c r="AI38" s="75">
        <v>216500</v>
      </c>
      <c r="AJ38" s="69">
        <f>AH38*AI38</f>
        <v>21650000</v>
      </c>
      <c r="AK38" s="5">
        <f>26+75</f>
        <v>101</v>
      </c>
      <c r="AL38" s="20">
        <v>176000</v>
      </c>
      <c r="AM38" s="11">
        <f t="shared" si="16"/>
        <v>17776000</v>
      </c>
      <c r="AN38" s="68">
        <v>30</v>
      </c>
      <c r="AO38" s="75">
        <v>216500</v>
      </c>
      <c r="AP38" s="73">
        <f t="shared" si="7"/>
        <v>6495000</v>
      </c>
      <c r="AQ38" s="105">
        <f>65+20</f>
        <v>85</v>
      </c>
      <c r="AR38" s="57">
        <v>176000</v>
      </c>
      <c r="AS38" s="106">
        <f>AQ38*AR38</f>
        <v>14960000</v>
      </c>
      <c r="AT38" s="105">
        <f>20+80</f>
        <v>100</v>
      </c>
      <c r="AU38" s="57">
        <v>176000</v>
      </c>
      <c r="AV38" s="106">
        <f>AT38*AU38</f>
        <v>17600000</v>
      </c>
      <c r="AW38" s="105">
        <v>50</v>
      </c>
      <c r="AX38" s="57">
        <v>204000</v>
      </c>
      <c r="AY38" s="106">
        <f t="shared" si="9"/>
        <v>10200000</v>
      </c>
      <c r="AZ38" s="105"/>
      <c r="BA38" s="57"/>
      <c r="BB38" s="106"/>
      <c r="BC38" s="105"/>
      <c r="BD38" s="57"/>
      <c r="BE38" s="106"/>
      <c r="BF38" s="105"/>
      <c r="BG38" s="57"/>
      <c r="BH38" s="106"/>
    </row>
    <row r="39" spans="1:60" s="6" customFormat="1" ht="27" customHeight="1" x14ac:dyDescent="0.25">
      <c r="A39" s="4">
        <v>34</v>
      </c>
      <c r="B39" s="9" t="s">
        <v>73</v>
      </c>
      <c r="C39" s="8" t="s">
        <v>111</v>
      </c>
      <c r="D39" s="5"/>
      <c r="E39" s="20"/>
      <c r="F39" s="11"/>
      <c r="G39" s="7"/>
      <c r="H39" s="68"/>
      <c r="I39" s="75"/>
      <c r="J39" s="69"/>
      <c r="K39" s="5"/>
      <c r="L39" s="20"/>
      <c r="M39" s="11"/>
      <c r="N39" s="7"/>
      <c r="O39" s="70"/>
      <c r="P39" s="77"/>
      <c r="Q39" s="70"/>
      <c r="R39" s="12"/>
      <c r="S39" s="20"/>
      <c r="T39" s="1"/>
      <c r="U39" s="7"/>
      <c r="V39" s="70"/>
      <c r="W39" s="77"/>
      <c r="X39" s="70"/>
      <c r="Y39" s="19"/>
      <c r="Z39" s="24"/>
      <c r="AA39" s="19"/>
      <c r="AB39" s="70"/>
      <c r="AC39" s="77"/>
      <c r="AD39" s="70"/>
      <c r="AE39" s="19"/>
      <c r="AF39" s="19"/>
      <c r="AG39" s="19"/>
      <c r="AH39" s="70"/>
      <c r="AI39" s="77"/>
      <c r="AJ39" s="70"/>
      <c r="AK39" s="19"/>
      <c r="AL39" s="24"/>
      <c r="AM39" s="19"/>
      <c r="AN39" s="70"/>
      <c r="AO39" s="77"/>
      <c r="AP39" s="73">
        <f t="shared" si="7"/>
        <v>0</v>
      </c>
      <c r="AQ39" s="105"/>
      <c r="AR39" s="57"/>
      <c r="AS39" s="106"/>
      <c r="AT39" s="105"/>
      <c r="AU39" s="57"/>
      <c r="AV39" s="106"/>
      <c r="AW39" s="105"/>
      <c r="AX39" s="57"/>
      <c r="AY39" s="106"/>
      <c r="AZ39" s="105"/>
      <c r="BA39" s="57"/>
      <c r="BB39" s="106"/>
      <c r="BC39" s="105"/>
      <c r="BD39" s="57"/>
      <c r="BE39" s="106"/>
      <c r="BF39" s="105"/>
      <c r="BG39" s="57"/>
      <c r="BH39" s="106"/>
    </row>
    <row r="40" spans="1:60" s="6" customFormat="1" ht="27" customHeight="1" x14ac:dyDescent="0.25">
      <c r="A40" s="4">
        <v>35</v>
      </c>
      <c r="B40" s="9" t="s">
        <v>80</v>
      </c>
      <c r="C40" s="10" t="s">
        <v>27</v>
      </c>
      <c r="D40" s="5"/>
      <c r="E40" s="20"/>
      <c r="F40" s="11"/>
      <c r="G40" s="7"/>
      <c r="H40" s="68"/>
      <c r="I40" s="75"/>
      <c r="J40" s="69"/>
      <c r="K40" s="5"/>
      <c r="L40" s="20"/>
      <c r="M40" s="11"/>
      <c r="N40" s="7"/>
      <c r="O40" s="68">
        <v>20</v>
      </c>
      <c r="P40" s="75">
        <v>247000</v>
      </c>
      <c r="Q40" s="69">
        <f>O40*P40</f>
        <v>4940000</v>
      </c>
      <c r="R40" s="12"/>
      <c r="S40" s="20"/>
      <c r="T40" s="1"/>
      <c r="U40" s="7"/>
      <c r="V40" s="70"/>
      <c r="W40" s="77"/>
      <c r="X40" s="70"/>
      <c r="Y40" s="19"/>
      <c r="Z40" s="24"/>
      <c r="AA40" s="19"/>
      <c r="AB40" s="70"/>
      <c r="AC40" s="77"/>
      <c r="AD40" s="70"/>
      <c r="AE40" s="19"/>
      <c r="AF40" s="19"/>
      <c r="AG40" s="19"/>
      <c r="AH40" s="68">
        <v>50</v>
      </c>
      <c r="AI40" s="75">
        <v>247000</v>
      </c>
      <c r="AJ40" s="69">
        <f>AH40*AI40</f>
        <v>12350000</v>
      </c>
      <c r="AK40" s="15">
        <v>10</v>
      </c>
      <c r="AL40" s="25">
        <v>191200</v>
      </c>
      <c r="AM40" s="16">
        <f>AK40*AL40</f>
        <v>1912000</v>
      </c>
      <c r="AN40" s="68"/>
      <c r="AO40" s="75"/>
      <c r="AP40" s="73">
        <f t="shared" si="7"/>
        <v>0</v>
      </c>
      <c r="AQ40" s="105"/>
      <c r="AR40" s="57"/>
      <c r="AS40" s="106"/>
      <c r="AT40" s="105">
        <v>40</v>
      </c>
      <c r="AU40" s="57">
        <v>191200</v>
      </c>
      <c r="AV40" s="106">
        <f>AT40*AU40</f>
        <v>7648000</v>
      </c>
      <c r="AW40" s="105">
        <v>20</v>
      </c>
      <c r="AX40" s="57">
        <v>220500</v>
      </c>
      <c r="AY40" s="106">
        <f t="shared" si="9"/>
        <v>4410000</v>
      </c>
      <c r="AZ40" s="105"/>
      <c r="BA40" s="57"/>
      <c r="BB40" s="106"/>
      <c r="BC40" s="105"/>
      <c r="BD40" s="57"/>
      <c r="BE40" s="106"/>
      <c r="BF40" s="105"/>
      <c r="BG40" s="57"/>
      <c r="BH40" s="106"/>
    </row>
    <row r="41" spans="1:60" s="6" customFormat="1" ht="27" customHeight="1" x14ac:dyDescent="0.25">
      <c r="A41" s="4">
        <v>36</v>
      </c>
      <c r="B41" s="9" t="s">
        <v>56</v>
      </c>
      <c r="C41" s="10" t="s">
        <v>102</v>
      </c>
      <c r="D41" s="5">
        <f>93+60</f>
        <v>153</v>
      </c>
      <c r="E41" s="20">
        <v>183000</v>
      </c>
      <c r="F41" s="11">
        <f t="shared" si="3"/>
        <v>27439020</v>
      </c>
      <c r="G41" s="7">
        <v>0.02</v>
      </c>
      <c r="H41" s="68">
        <f>17+30</f>
        <v>47</v>
      </c>
      <c r="I41" s="75">
        <v>256000</v>
      </c>
      <c r="J41" s="69">
        <f>H41*I41</f>
        <v>12032000</v>
      </c>
      <c r="K41" s="5">
        <f>87+60</f>
        <v>147</v>
      </c>
      <c r="L41" s="20">
        <v>183000</v>
      </c>
      <c r="M41" s="11">
        <f>K41*L41*98%</f>
        <v>26362980</v>
      </c>
      <c r="N41" s="7">
        <v>0.02</v>
      </c>
      <c r="O41" s="68">
        <f>39+63</f>
        <v>102</v>
      </c>
      <c r="P41" s="75">
        <v>256000</v>
      </c>
      <c r="Q41" s="69">
        <f>O41*P41</f>
        <v>26112000</v>
      </c>
      <c r="R41" s="12"/>
      <c r="S41" s="20"/>
      <c r="T41" s="1"/>
      <c r="U41" s="7"/>
      <c r="V41" s="68">
        <f>50+81</f>
        <v>131</v>
      </c>
      <c r="W41" s="75">
        <v>256000</v>
      </c>
      <c r="X41" s="69">
        <f>V41*W41</f>
        <v>33536000</v>
      </c>
      <c r="Y41" s="12">
        <f>35+10</f>
        <v>45</v>
      </c>
      <c r="Z41" s="20">
        <v>183000</v>
      </c>
      <c r="AA41" s="1">
        <f>Y41*Z41</f>
        <v>8235000</v>
      </c>
      <c r="AB41" s="70"/>
      <c r="AC41" s="77"/>
      <c r="AD41" s="70"/>
      <c r="AE41" s="54">
        <v>215</v>
      </c>
      <c r="AF41" s="57">
        <v>197700</v>
      </c>
      <c r="AG41" s="55">
        <f>AE41*AF41</f>
        <v>42505500</v>
      </c>
      <c r="AH41" s="70"/>
      <c r="AI41" s="77"/>
      <c r="AJ41" s="70"/>
      <c r="AK41" s="15">
        <v>50</v>
      </c>
      <c r="AL41" s="25">
        <v>197700</v>
      </c>
      <c r="AM41" s="16">
        <f>AK41*AL41</f>
        <v>9885000</v>
      </c>
      <c r="AN41" s="70">
        <v>30</v>
      </c>
      <c r="AO41" s="77">
        <v>256000</v>
      </c>
      <c r="AP41" s="73">
        <f t="shared" si="7"/>
        <v>7680000</v>
      </c>
      <c r="AQ41" s="105"/>
      <c r="AR41" s="57"/>
      <c r="AS41" s="106"/>
      <c r="AT41" s="105"/>
      <c r="AU41" s="57"/>
      <c r="AV41" s="106"/>
      <c r="AW41" s="105">
        <f>50+20+50</f>
        <v>120</v>
      </c>
      <c r="AX41" s="57" t="s">
        <v>134</v>
      </c>
      <c r="AY41" s="106">
        <f>15225000+11425000</f>
        <v>26650000</v>
      </c>
      <c r="AZ41" s="105">
        <v>50</v>
      </c>
      <c r="BA41" s="57">
        <v>256000</v>
      </c>
      <c r="BB41" s="106">
        <f t="shared" si="8"/>
        <v>12800000</v>
      </c>
      <c r="BC41" s="105">
        <v>29</v>
      </c>
      <c r="BD41" s="57">
        <v>256000</v>
      </c>
      <c r="BE41" s="106">
        <f t="shared" si="17"/>
        <v>7424000</v>
      </c>
      <c r="BF41" s="105">
        <f>50+71</f>
        <v>121</v>
      </c>
      <c r="BG41" s="57">
        <v>256000</v>
      </c>
      <c r="BH41" s="106">
        <f t="shared" si="2"/>
        <v>30976000</v>
      </c>
    </row>
    <row r="42" spans="1:60" s="6" customFormat="1" ht="27" customHeight="1" x14ac:dyDescent="0.25">
      <c r="A42" s="4">
        <v>37</v>
      </c>
      <c r="B42" s="9" t="s">
        <v>81</v>
      </c>
      <c r="C42" s="10" t="s">
        <v>103</v>
      </c>
      <c r="D42" s="5"/>
      <c r="E42" s="20"/>
      <c r="F42" s="11"/>
      <c r="G42" s="7"/>
      <c r="H42" s="68"/>
      <c r="I42" s="75"/>
      <c r="J42" s="69"/>
      <c r="K42" s="5"/>
      <c r="L42" s="20"/>
      <c r="M42" s="11"/>
      <c r="N42" s="7"/>
      <c r="O42" s="70"/>
      <c r="P42" s="77"/>
      <c r="Q42" s="70"/>
      <c r="R42" s="12"/>
      <c r="S42" s="20"/>
      <c r="T42" s="1"/>
      <c r="U42" s="7"/>
      <c r="V42" s="70"/>
      <c r="W42" s="77"/>
      <c r="X42" s="70"/>
      <c r="Y42" s="19"/>
      <c r="Z42" s="24"/>
      <c r="AA42" s="19"/>
      <c r="AB42" s="70"/>
      <c r="AC42" s="77"/>
      <c r="AD42" s="70"/>
      <c r="AE42" s="19"/>
      <c r="AF42" s="19"/>
      <c r="AG42" s="19"/>
      <c r="AH42" s="68">
        <v>20</v>
      </c>
      <c r="AI42" s="75">
        <v>257500</v>
      </c>
      <c r="AJ42" s="69">
        <f>AH42*AI42</f>
        <v>5150000</v>
      </c>
      <c r="AK42" s="5">
        <v>50</v>
      </c>
      <c r="AL42" s="20">
        <v>198800</v>
      </c>
      <c r="AM42" s="11">
        <f>AK42*AL42</f>
        <v>9940000</v>
      </c>
      <c r="AN42" s="68"/>
      <c r="AO42" s="75"/>
      <c r="AP42" s="73">
        <f t="shared" si="7"/>
        <v>0</v>
      </c>
      <c r="AQ42" s="105"/>
      <c r="AR42" s="57"/>
      <c r="AS42" s="106"/>
      <c r="AT42" s="105">
        <v>50</v>
      </c>
      <c r="AU42" s="57">
        <v>198800</v>
      </c>
      <c r="AV42" s="106">
        <f>AT42*AU42</f>
        <v>9940000</v>
      </c>
      <c r="AW42" s="105"/>
      <c r="AX42" s="57"/>
      <c r="AY42" s="106"/>
      <c r="AZ42" s="105"/>
      <c r="BA42" s="57"/>
      <c r="BB42" s="106"/>
      <c r="BC42" s="105"/>
      <c r="BD42" s="57"/>
      <c r="BE42" s="106"/>
      <c r="BF42" s="105">
        <v>10</v>
      </c>
      <c r="BG42" s="57">
        <v>257500</v>
      </c>
      <c r="BH42" s="106">
        <f t="shared" si="2"/>
        <v>2575000</v>
      </c>
    </row>
    <row r="43" spans="1:60" s="6" customFormat="1" ht="27" customHeight="1" x14ac:dyDescent="0.25">
      <c r="A43" s="4">
        <v>38</v>
      </c>
      <c r="B43" s="9" t="s">
        <v>83</v>
      </c>
      <c r="C43" s="10" t="s">
        <v>32</v>
      </c>
      <c r="D43" s="5"/>
      <c r="E43" s="20"/>
      <c r="F43" s="11"/>
      <c r="G43" s="7"/>
      <c r="H43" s="68"/>
      <c r="I43" s="75"/>
      <c r="J43" s="69"/>
      <c r="K43" s="5">
        <v>10</v>
      </c>
      <c r="L43" s="20">
        <v>194500</v>
      </c>
      <c r="M43" s="11">
        <f>K43*L43*98%</f>
        <v>1906100</v>
      </c>
      <c r="N43" s="7">
        <v>0.02</v>
      </c>
      <c r="O43" s="70"/>
      <c r="P43" s="77"/>
      <c r="Q43" s="70"/>
      <c r="R43" s="12"/>
      <c r="S43" s="20"/>
      <c r="T43" s="1"/>
      <c r="U43" s="7"/>
      <c r="V43" s="70"/>
      <c r="W43" s="77"/>
      <c r="X43" s="70"/>
      <c r="Y43" s="19"/>
      <c r="Z43" s="24"/>
      <c r="AA43" s="19"/>
      <c r="AB43" s="70"/>
      <c r="AC43" s="77"/>
      <c r="AD43" s="70"/>
      <c r="AE43" s="19"/>
      <c r="AF43" s="19"/>
      <c r="AG43" s="19"/>
      <c r="AH43" s="70"/>
      <c r="AI43" s="77"/>
      <c r="AJ43" s="70"/>
      <c r="AK43" s="19"/>
      <c r="AL43" s="24"/>
      <c r="AM43" s="19"/>
      <c r="AN43" s="70"/>
      <c r="AO43" s="77"/>
      <c r="AP43" s="73">
        <f t="shared" si="7"/>
        <v>0</v>
      </c>
      <c r="AQ43" s="105"/>
      <c r="AR43" s="57"/>
      <c r="AS43" s="106"/>
      <c r="AT43" s="105"/>
      <c r="AU43" s="57"/>
      <c r="AV43" s="106"/>
      <c r="AW43" s="105"/>
      <c r="AX43" s="57"/>
      <c r="AY43" s="106"/>
      <c r="AZ43" s="105">
        <v>30</v>
      </c>
      <c r="BA43" s="57">
        <v>279000</v>
      </c>
      <c r="BB43" s="106">
        <f t="shared" si="8"/>
        <v>8370000</v>
      </c>
      <c r="BC43" s="105"/>
      <c r="BD43" s="57"/>
      <c r="BE43" s="106"/>
      <c r="BF43" s="105"/>
      <c r="BG43" s="57"/>
      <c r="BH43" s="106"/>
    </row>
    <row r="44" spans="1:60" s="6" customFormat="1" ht="27" customHeight="1" x14ac:dyDescent="0.25">
      <c r="A44" s="4">
        <v>39</v>
      </c>
      <c r="B44" s="9" t="s">
        <v>82</v>
      </c>
      <c r="C44" s="8" t="s">
        <v>104</v>
      </c>
      <c r="D44" s="5"/>
      <c r="E44" s="20"/>
      <c r="F44" s="11"/>
      <c r="G44" s="7"/>
      <c r="H44" s="68"/>
      <c r="I44" s="75"/>
      <c r="J44" s="69"/>
      <c r="K44" s="5"/>
      <c r="L44" s="20"/>
      <c r="M44" s="11"/>
      <c r="N44" s="7"/>
      <c r="O44" s="70"/>
      <c r="P44" s="77"/>
      <c r="Q44" s="70"/>
      <c r="R44" s="12"/>
      <c r="S44" s="20"/>
      <c r="T44" s="1"/>
      <c r="U44" s="7"/>
      <c r="V44" s="70"/>
      <c r="W44" s="77"/>
      <c r="X44" s="70"/>
      <c r="Y44" s="19"/>
      <c r="Z44" s="24"/>
      <c r="AA44" s="19"/>
      <c r="AB44" s="70"/>
      <c r="AC44" s="77"/>
      <c r="AD44" s="70"/>
      <c r="AE44" s="19"/>
      <c r="AF44" s="19"/>
      <c r="AG44" s="19"/>
      <c r="AH44" s="70"/>
      <c r="AI44" s="77"/>
      <c r="AJ44" s="70"/>
      <c r="AK44" s="19"/>
      <c r="AL44" s="24"/>
      <c r="AM44" s="19"/>
      <c r="AN44" s="70"/>
      <c r="AO44" s="77"/>
      <c r="AP44" s="73">
        <f t="shared" si="7"/>
        <v>0</v>
      </c>
      <c r="AQ44" s="105"/>
      <c r="AR44" s="57"/>
      <c r="AS44" s="106"/>
      <c r="AT44" s="105"/>
      <c r="AU44" s="57"/>
      <c r="AV44" s="106"/>
      <c r="AW44" s="105"/>
      <c r="AX44" s="57"/>
      <c r="AY44" s="106"/>
      <c r="AZ44" s="105"/>
      <c r="BA44" s="57"/>
      <c r="BB44" s="106"/>
      <c r="BC44" s="105"/>
      <c r="BD44" s="57"/>
      <c r="BE44" s="106"/>
      <c r="BF44" s="105"/>
      <c r="BG44" s="57"/>
      <c r="BH44" s="106"/>
    </row>
    <row r="45" spans="1:60" s="6" customFormat="1" ht="27" customHeight="1" x14ac:dyDescent="0.25">
      <c r="A45" s="4">
        <v>40</v>
      </c>
      <c r="B45" s="9" t="s">
        <v>57</v>
      </c>
      <c r="C45" s="10" t="s">
        <v>95</v>
      </c>
      <c r="D45" s="5">
        <v>100</v>
      </c>
      <c r="E45" s="20">
        <v>196500</v>
      </c>
      <c r="F45" s="11">
        <f t="shared" si="3"/>
        <v>19257000</v>
      </c>
      <c r="G45" s="7">
        <v>0.02</v>
      </c>
      <c r="H45" s="68">
        <v>20</v>
      </c>
      <c r="I45" s="75">
        <v>274500</v>
      </c>
      <c r="J45" s="69">
        <f>H45*I45</f>
        <v>5490000</v>
      </c>
      <c r="K45" s="5">
        <v>50</v>
      </c>
      <c r="L45" s="20">
        <v>196500</v>
      </c>
      <c r="M45" s="11">
        <f>K45*L45*98%</f>
        <v>9628500</v>
      </c>
      <c r="N45" s="7">
        <v>0.02</v>
      </c>
      <c r="O45" s="68">
        <v>34</v>
      </c>
      <c r="P45" s="75">
        <v>274500</v>
      </c>
      <c r="Q45" s="69">
        <f>O45*P45</f>
        <v>9333000</v>
      </c>
      <c r="R45" s="12"/>
      <c r="S45" s="20"/>
      <c r="T45" s="1"/>
      <c r="U45" s="7"/>
      <c r="V45" s="68">
        <f>50+16</f>
        <v>66</v>
      </c>
      <c r="W45" s="75">
        <v>274500</v>
      </c>
      <c r="X45" s="69">
        <f>V45*W45</f>
        <v>18117000</v>
      </c>
      <c r="Y45" s="19"/>
      <c r="Z45" s="24"/>
      <c r="AA45" s="19"/>
      <c r="AB45" s="70"/>
      <c r="AC45" s="77"/>
      <c r="AD45" s="70"/>
      <c r="AE45" s="54">
        <v>30</v>
      </c>
      <c r="AF45" s="57">
        <v>212300</v>
      </c>
      <c r="AG45" s="55">
        <f>AE45*AF45</f>
        <v>6369000</v>
      </c>
      <c r="AH45" s="70"/>
      <c r="AI45" s="77"/>
      <c r="AJ45" s="70"/>
      <c r="AK45" s="5">
        <f>40+80</f>
        <v>120</v>
      </c>
      <c r="AL45" s="20">
        <v>212300</v>
      </c>
      <c r="AM45" s="11">
        <f>AK45*AL45</f>
        <v>25476000</v>
      </c>
      <c r="AN45" s="70"/>
      <c r="AO45" s="77"/>
      <c r="AP45" s="73">
        <f t="shared" si="7"/>
        <v>0</v>
      </c>
      <c r="AQ45" s="105"/>
      <c r="AR45" s="57"/>
      <c r="AS45" s="106"/>
      <c r="AT45" s="105"/>
      <c r="AU45" s="57"/>
      <c r="AV45" s="106"/>
      <c r="AW45" s="105">
        <f>20+50</f>
        <v>70</v>
      </c>
      <c r="AX45" s="57">
        <v>233500</v>
      </c>
      <c r="AY45" s="106">
        <f t="shared" si="9"/>
        <v>16345000</v>
      </c>
      <c r="AZ45" s="105">
        <f>50+10</f>
        <v>60</v>
      </c>
      <c r="BA45" s="57">
        <v>274500</v>
      </c>
      <c r="BB45" s="106">
        <f t="shared" si="8"/>
        <v>16470000</v>
      </c>
      <c r="BC45" s="105"/>
      <c r="BD45" s="57"/>
      <c r="BE45" s="106"/>
      <c r="BF45" s="105">
        <f>10+20</f>
        <v>30</v>
      </c>
      <c r="BG45" s="57">
        <v>274500</v>
      </c>
      <c r="BH45" s="106">
        <f t="shared" si="2"/>
        <v>8235000</v>
      </c>
    </row>
    <row r="46" spans="1:60" s="6" customFormat="1" ht="27" customHeight="1" x14ac:dyDescent="0.25">
      <c r="A46" s="4">
        <v>41</v>
      </c>
      <c r="B46" s="9" t="s">
        <v>84</v>
      </c>
      <c r="C46" s="10" t="s">
        <v>105</v>
      </c>
      <c r="D46" s="5"/>
      <c r="E46" s="20"/>
      <c r="F46" s="11"/>
      <c r="G46" s="7"/>
      <c r="H46" s="68"/>
      <c r="I46" s="75"/>
      <c r="J46" s="69"/>
      <c r="K46" s="5"/>
      <c r="L46" s="20"/>
      <c r="M46" s="11"/>
      <c r="N46" s="7"/>
      <c r="O46" s="68">
        <v>20</v>
      </c>
      <c r="P46" s="75">
        <v>282000</v>
      </c>
      <c r="Q46" s="69">
        <f>O46*P46</f>
        <v>5640000</v>
      </c>
      <c r="R46" s="19"/>
      <c r="S46" s="24"/>
      <c r="T46" s="19"/>
      <c r="U46" s="19"/>
      <c r="V46" s="70"/>
      <c r="W46" s="77"/>
      <c r="X46" s="70"/>
      <c r="Y46" s="19"/>
      <c r="Z46" s="24"/>
      <c r="AA46" s="19"/>
      <c r="AB46" s="70"/>
      <c r="AC46" s="77"/>
      <c r="AD46" s="70"/>
      <c r="AE46" s="19"/>
      <c r="AF46" s="19"/>
      <c r="AG46" s="19"/>
      <c r="AH46" s="70"/>
      <c r="AI46" s="77"/>
      <c r="AJ46" s="70"/>
      <c r="AK46" s="19"/>
      <c r="AL46" s="24"/>
      <c r="AM46" s="19"/>
      <c r="AN46" s="70"/>
      <c r="AO46" s="77"/>
      <c r="AP46" s="73">
        <f t="shared" si="7"/>
        <v>0</v>
      </c>
      <c r="AQ46" s="105"/>
      <c r="AR46" s="57"/>
      <c r="AS46" s="106"/>
      <c r="AT46" s="105"/>
      <c r="AU46" s="57"/>
      <c r="AV46" s="106"/>
      <c r="AW46" s="105"/>
      <c r="AX46" s="57"/>
      <c r="AY46" s="106"/>
      <c r="AZ46" s="105"/>
      <c r="BA46" s="57"/>
      <c r="BB46" s="106"/>
      <c r="BC46" s="105">
        <v>10</v>
      </c>
      <c r="BD46" s="57">
        <v>282000</v>
      </c>
      <c r="BE46" s="106">
        <f t="shared" si="17"/>
        <v>2820000</v>
      </c>
      <c r="BF46" s="105">
        <v>10</v>
      </c>
      <c r="BG46" s="57">
        <v>282000</v>
      </c>
      <c r="BH46" s="106">
        <f t="shared" si="2"/>
        <v>2820000</v>
      </c>
    </row>
    <row r="47" spans="1:60" s="6" customFormat="1" ht="27" customHeight="1" x14ac:dyDescent="0.25">
      <c r="A47" s="4">
        <v>42</v>
      </c>
      <c r="B47" s="9" t="s">
        <v>76</v>
      </c>
      <c r="C47" s="10" t="s">
        <v>112</v>
      </c>
      <c r="D47" s="5"/>
      <c r="E47" s="20"/>
      <c r="F47" s="11"/>
      <c r="G47" s="7"/>
      <c r="H47" s="68">
        <v>30</v>
      </c>
      <c r="I47" s="75">
        <v>122000</v>
      </c>
      <c r="J47" s="69">
        <f>H47*I47</f>
        <v>3660000</v>
      </c>
      <c r="K47" s="5">
        <f>100+10</f>
        <v>110</v>
      </c>
      <c r="L47" s="20">
        <v>83000</v>
      </c>
      <c r="M47" s="11">
        <f>K47*L47*98%</f>
        <v>8947400</v>
      </c>
      <c r="N47" s="7">
        <v>0.02</v>
      </c>
      <c r="O47" s="68">
        <v>100</v>
      </c>
      <c r="P47" s="75">
        <v>122000</v>
      </c>
      <c r="Q47" s="69">
        <f>O47*P47</f>
        <v>12200000</v>
      </c>
      <c r="R47" s="12">
        <v>100</v>
      </c>
      <c r="S47" s="20">
        <v>83000</v>
      </c>
      <c r="T47" s="1">
        <f>R47*S47*98%</f>
        <v>8134000</v>
      </c>
      <c r="U47" s="7">
        <v>0.02</v>
      </c>
      <c r="V47" s="68">
        <v>50</v>
      </c>
      <c r="W47" s="75">
        <v>122000</v>
      </c>
      <c r="X47" s="69">
        <f>V47*W47</f>
        <v>6100000</v>
      </c>
      <c r="Y47" s="12">
        <v>15</v>
      </c>
      <c r="Z47" s="20">
        <v>83000</v>
      </c>
      <c r="AA47" s="1">
        <f>Y47*Z47</f>
        <v>1245000</v>
      </c>
      <c r="AB47" s="68">
        <v>100</v>
      </c>
      <c r="AC47" s="75">
        <v>122000</v>
      </c>
      <c r="AD47" s="69">
        <v>12200000</v>
      </c>
      <c r="AE47" s="54">
        <v>120</v>
      </c>
      <c r="AF47" s="57">
        <v>91300</v>
      </c>
      <c r="AG47" s="55">
        <f>AE47*AF47</f>
        <v>10956000</v>
      </c>
      <c r="AH47" s="68">
        <v>50</v>
      </c>
      <c r="AI47" s="75">
        <v>122000</v>
      </c>
      <c r="AJ47" s="69">
        <f>AH47*AI47</f>
        <v>6100000</v>
      </c>
      <c r="AK47" s="5">
        <f>25+195</f>
        <v>220</v>
      </c>
      <c r="AL47" s="20">
        <v>91300</v>
      </c>
      <c r="AM47" s="11">
        <f>AK47*AL47</f>
        <v>20086000</v>
      </c>
      <c r="AN47" s="68"/>
      <c r="AO47" s="75"/>
      <c r="AP47" s="73">
        <f t="shared" si="7"/>
        <v>0</v>
      </c>
      <c r="AQ47" s="105"/>
      <c r="AR47" s="57"/>
      <c r="AS47" s="106"/>
      <c r="AT47" s="105">
        <v>15</v>
      </c>
      <c r="AU47" s="57">
        <v>91300</v>
      </c>
      <c r="AV47" s="106">
        <f>AT47*AU47</f>
        <v>1369500</v>
      </c>
      <c r="AW47" s="105">
        <f>20+100</f>
        <v>120</v>
      </c>
      <c r="AX47" s="57">
        <v>106000</v>
      </c>
      <c r="AY47" s="106">
        <f t="shared" si="9"/>
        <v>12720000</v>
      </c>
      <c r="AZ47" s="105">
        <f>100+30</f>
        <v>130</v>
      </c>
      <c r="BA47" s="57">
        <v>122000</v>
      </c>
      <c r="BB47" s="106">
        <f t="shared" si="8"/>
        <v>15860000</v>
      </c>
      <c r="BC47" s="105"/>
      <c r="BD47" s="57"/>
      <c r="BE47" s="106"/>
      <c r="BF47" s="105"/>
      <c r="BG47" s="57"/>
      <c r="BH47" s="106"/>
    </row>
    <row r="48" spans="1:60" s="6" customFormat="1" ht="27" customHeight="1" x14ac:dyDescent="0.25">
      <c r="A48" s="4">
        <v>43</v>
      </c>
      <c r="B48" s="9" t="s">
        <v>58</v>
      </c>
      <c r="C48" s="10" t="s">
        <v>106</v>
      </c>
      <c r="D48" s="5">
        <v>30</v>
      </c>
      <c r="E48" s="20">
        <v>255000</v>
      </c>
      <c r="F48" s="11">
        <f t="shared" si="3"/>
        <v>7497000</v>
      </c>
      <c r="G48" s="7">
        <v>0.02</v>
      </c>
      <c r="H48" s="68">
        <f>20+10</f>
        <v>30</v>
      </c>
      <c r="I48" s="75">
        <v>363500</v>
      </c>
      <c r="J48" s="69">
        <f>H48*I48</f>
        <v>10905000</v>
      </c>
      <c r="K48" s="5"/>
      <c r="L48" s="20"/>
      <c r="M48" s="11"/>
      <c r="N48" s="7"/>
      <c r="O48" s="70"/>
      <c r="P48" s="77"/>
      <c r="Q48" s="70"/>
      <c r="R48" s="12">
        <v>46</v>
      </c>
      <c r="S48" s="20">
        <v>255000</v>
      </c>
      <c r="T48" s="1">
        <f>R48*S48*98%</f>
        <v>11495400</v>
      </c>
      <c r="U48" s="7">
        <v>0.02</v>
      </c>
      <c r="V48" s="68">
        <v>20</v>
      </c>
      <c r="W48" s="75">
        <v>363500</v>
      </c>
      <c r="X48" s="69">
        <f>V48*W48</f>
        <v>7270000</v>
      </c>
      <c r="Y48" s="19"/>
      <c r="Z48" s="24"/>
      <c r="AA48" s="19"/>
      <c r="AB48" s="70"/>
      <c r="AC48" s="77"/>
      <c r="AD48" s="70"/>
      <c r="AE48" s="54">
        <v>74</v>
      </c>
      <c r="AF48" s="57">
        <v>272900</v>
      </c>
      <c r="AG48" s="55">
        <f>AE48*AF48</f>
        <v>20194600</v>
      </c>
      <c r="AH48" s="70"/>
      <c r="AI48" s="77"/>
      <c r="AJ48" s="70"/>
      <c r="AK48" s="15">
        <v>10</v>
      </c>
      <c r="AL48" s="25">
        <v>272900</v>
      </c>
      <c r="AM48" s="16">
        <f>AK48*AL48</f>
        <v>2729000</v>
      </c>
      <c r="AN48" s="70"/>
      <c r="AO48" s="77"/>
      <c r="AP48" s="73">
        <f t="shared" si="7"/>
        <v>0</v>
      </c>
      <c r="AQ48" s="105"/>
      <c r="AR48" s="57"/>
      <c r="AS48" s="106"/>
      <c r="AT48" s="105">
        <v>10</v>
      </c>
      <c r="AU48" s="57">
        <v>272900</v>
      </c>
      <c r="AV48" s="106">
        <f>AT48*AU48</f>
        <v>2729000</v>
      </c>
      <c r="AW48" s="105">
        <v>50</v>
      </c>
      <c r="AX48" s="57">
        <v>316000</v>
      </c>
      <c r="AY48" s="106">
        <f t="shared" si="9"/>
        <v>15800000</v>
      </c>
      <c r="AZ48" s="105"/>
      <c r="BA48" s="57"/>
      <c r="BB48" s="106"/>
      <c r="BC48" s="105"/>
      <c r="BD48" s="57"/>
      <c r="BE48" s="106"/>
      <c r="BF48" s="105">
        <v>20</v>
      </c>
      <c r="BG48" s="57">
        <v>363500</v>
      </c>
      <c r="BH48" s="106">
        <f t="shared" si="2"/>
        <v>7270000</v>
      </c>
    </row>
    <row r="49" spans="1:60" s="6" customFormat="1" ht="27" customHeight="1" x14ac:dyDescent="0.25">
      <c r="A49" s="4">
        <v>44</v>
      </c>
      <c r="B49" s="9" t="s">
        <v>85</v>
      </c>
      <c r="C49" s="10" t="s">
        <v>121</v>
      </c>
      <c r="D49" s="5"/>
      <c r="E49" s="20"/>
      <c r="F49" s="11"/>
      <c r="G49" s="7"/>
      <c r="H49" s="68"/>
      <c r="I49" s="75"/>
      <c r="J49" s="69"/>
      <c r="K49" s="5"/>
      <c r="L49" s="20"/>
      <c r="M49" s="11"/>
      <c r="N49" s="7"/>
      <c r="O49" s="68">
        <f>10+20</f>
        <v>30</v>
      </c>
      <c r="P49" s="75">
        <v>340500</v>
      </c>
      <c r="Q49" s="69">
        <f>O49*P49</f>
        <v>10215000</v>
      </c>
      <c r="R49" s="19"/>
      <c r="S49" s="24"/>
      <c r="T49" s="19"/>
      <c r="U49" s="19"/>
      <c r="V49" s="68">
        <v>10</v>
      </c>
      <c r="W49" s="75">
        <v>340500</v>
      </c>
      <c r="X49" s="69">
        <f>V49*W49</f>
        <v>3405000</v>
      </c>
      <c r="Y49" s="12">
        <v>7</v>
      </c>
      <c r="Z49" s="20">
        <v>239000</v>
      </c>
      <c r="AA49" s="1">
        <f>Y49*Z49</f>
        <v>1673000</v>
      </c>
      <c r="AB49" s="68">
        <v>10</v>
      </c>
      <c r="AC49" s="75">
        <v>363500</v>
      </c>
      <c r="AD49" s="69">
        <f>AB49*AC49</f>
        <v>3635000</v>
      </c>
      <c r="AE49" s="19"/>
      <c r="AF49" s="19"/>
      <c r="AG49" s="19"/>
      <c r="AH49" s="70"/>
      <c r="AI49" s="77"/>
      <c r="AJ49" s="70"/>
      <c r="AK49" s="19"/>
      <c r="AL49" s="24"/>
      <c r="AM49" s="19"/>
      <c r="AN49" s="70"/>
      <c r="AO49" s="77"/>
      <c r="AP49" s="73">
        <f t="shared" si="7"/>
        <v>0</v>
      </c>
      <c r="AQ49" s="105"/>
      <c r="AR49" s="57"/>
      <c r="AS49" s="106"/>
      <c r="AT49" s="105">
        <v>20</v>
      </c>
      <c r="AU49" s="57">
        <v>255800</v>
      </c>
      <c r="AV49" s="106">
        <f>AT49*AU49</f>
        <v>5116000</v>
      </c>
      <c r="AW49" s="105">
        <v>50</v>
      </c>
      <c r="AX49" s="57">
        <v>282000</v>
      </c>
      <c r="AY49" s="106">
        <f t="shared" si="9"/>
        <v>14100000</v>
      </c>
      <c r="AZ49" s="105"/>
      <c r="BA49" s="57"/>
      <c r="BB49" s="106"/>
      <c r="BC49" s="105">
        <v>10</v>
      </c>
      <c r="BD49" s="57">
        <v>340500</v>
      </c>
      <c r="BE49" s="106">
        <f t="shared" si="17"/>
        <v>3405000</v>
      </c>
      <c r="BF49" s="105"/>
      <c r="BG49" s="57"/>
      <c r="BH49" s="106"/>
    </row>
    <row r="50" spans="1:60" s="6" customFormat="1" ht="27" customHeight="1" x14ac:dyDescent="0.25">
      <c r="A50" s="4">
        <v>45</v>
      </c>
      <c r="B50" s="9" t="s">
        <v>59</v>
      </c>
      <c r="C50" s="10" t="s">
        <v>113</v>
      </c>
      <c r="D50" s="5"/>
      <c r="E50" s="20"/>
      <c r="F50" s="11"/>
      <c r="G50" s="7"/>
      <c r="H50" s="68"/>
      <c r="I50" s="75"/>
      <c r="J50" s="69"/>
      <c r="K50" s="5"/>
      <c r="L50" s="20"/>
      <c r="M50" s="11"/>
      <c r="N50" s="7"/>
      <c r="O50" s="70"/>
      <c r="P50" s="77"/>
      <c r="Q50" s="70"/>
      <c r="R50" s="19"/>
      <c r="S50" s="24"/>
      <c r="T50" s="19"/>
      <c r="U50" s="19"/>
      <c r="V50" s="70"/>
      <c r="W50" s="77"/>
      <c r="X50" s="70"/>
      <c r="Y50" s="19"/>
      <c r="Z50" s="24"/>
      <c r="AA50" s="19"/>
      <c r="AB50" s="70"/>
      <c r="AC50" s="77"/>
      <c r="AD50" s="70"/>
      <c r="AE50" s="19"/>
      <c r="AF50" s="19"/>
      <c r="AG50" s="19"/>
      <c r="AH50" s="68">
        <v>20</v>
      </c>
      <c r="AI50" s="75">
        <v>222000</v>
      </c>
      <c r="AJ50" s="69">
        <f>AH50*AI50</f>
        <v>4440000</v>
      </c>
      <c r="AK50" s="15">
        <v>20</v>
      </c>
      <c r="AL50" s="25">
        <v>175000</v>
      </c>
      <c r="AM50" s="16">
        <f>AK50*AL50</f>
        <v>3500000</v>
      </c>
      <c r="AN50" s="68"/>
      <c r="AO50" s="75"/>
      <c r="AP50" s="73">
        <f t="shared" si="7"/>
        <v>0</v>
      </c>
      <c r="AQ50" s="105"/>
      <c r="AR50" s="57"/>
      <c r="AS50" s="106"/>
      <c r="AT50" s="105"/>
      <c r="AU50" s="57"/>
      <c r="AV50" s="106"/>
      <c r="AW50" s="105"/>
      <c r="AX50" s="57"/>
      <c r="AY50" s="106"/>
      <c r="AZ50" s="105"/>
      <c r="BA50" s="57"/>
      <c r="BB50" s="106"/>
      <c r="BC50" s="105"/>
      <c r="BD50" s="57"/>
      <c r="BE50" s="106"/>
      <c r="BF50" s="105"/>
      <c r="BG50" s="57"/>
      <c r="BH50" s="106"/>
    </row>
    <row r="51" spans="1:60" s="6" customFormat="1" ht="27" customHeight="1" x14ac:dyDescent="0.25">
      <c r="A51" s="4">
        <v>46</v>
      </c>
      <c r="B51" s="9" t="s">
        <v>60</v>
      </c>
      <c r="C51" s="10" t="s">
        <v>107</v>
      </c>
      <c r="D51" s="5">
        <v>150</v>
      </c>
      <c r="E51" s="20">
        <v>14000</v>
      </c>
      <c r="F51" s="11">
        <f t="shared" si="3"/>
        <v>2058000</v>
      </c>
      <c r="G51" s="7">
        <v>0.02</v>
      </c>
      <c r="H51" s="68"/>
      <c r="I51" s="75"/>
      <c r="J51" s="69"/>
      <c r="K51" s="5"/>
      <c r="L51" s="20"/>
      <c r="M51" s="11"/>
      <c r="N51" s="7"/>
      <c r="O51" s="68">
        <v>50</v>
      </c>
      <c r="P51" s="75">
        <v>20000</v>
      </c>
      <c r="Q51" s="69">
        <f>O51*P51</f>
        <v>1000000</v>
      </c>
      <c r="R51" s="19"/>
      <c r="S51" s="24"/>
      <c r="T51" s="19"/>
      <c r="U51" s="19"/>
      <c r="V51" s="68">
        <f>100+50</f>
        <v>150</v>
      </c>
      <c r="W51" s="75">
        <v>20000</v>
      </c>
      <c r="X51" s="69">
        <f>V51*W51</f>
        <v>3000000</v>
      </c>
      <c r="Y51" s="12">
        <v>50</v>
      </c>
      <c r="Z51" s="20">
        <v>14000</v>
      </c>
      <c r="AA51" s="1">
        <f>Y51*Z51</f>
        <v>700000</v>
      </c>
      <c r="AB51" s="68">
        <f>60+50</f>
        <v>110</v>
      </c>
      <c r="AC51" s="75">
        <v>20000</v>
      </c>
      <c r="AD51" s="69">
        <f>AB51*AC51</f>
        <v>2200000</v>
      </c>
      <c r="AE51" s="19"/>
      <c r="AF51" s="19"/>
      <c r="AG51" s="19"/>
      <c r="AH51" s="68">
        <v>300</v>
      </c>
      <c r="AI51" s="75">
        <v>20000</v>
      </c>
      <c r="AJ51" s="69">
        <f>AH51*AI51</f>
        <v>6000000</v>
      </c>
      <c r="AK51" s="5">
        <f>100+200</f>
        <v>300</v>
      </c>
      <c r="AL51" s="20">
        <v>14000</v>
      </c>
      <c r="AM51" s="11">
        <f>AK51*AL51</f>
        <v>4200000</v>
      </c>
      <c r="AN51" s="68">
        <v>100</v>
      </c>
      <c r="AO51" s="75">
        <v>20000</v>
      </c>
      <c r="AP51" s="73">
        <f t="shared" si="7"/>
        <v>2000000</v>
      </c>
      <c r="AQ51" s="105"/>
      <c r="AR51" s="57"/>
      <c r="AS51" s="106"/>
      <c r="AT51" s="105"/>
      <c r="AU51" s="57"/>
      <c r="AV51" s="106"/>
      <c r="AW51" s="105">
        <v>100</v>
      </c>
      <c r="AX51" s="57">
        <v>17000</v>
      </c>
      <c r="AY51" s="106">
        <f t="shared" si="9"/>
        <v>1700000</v>
      </c>
      <c r="AZ51" s="105"/>
      <c r="BA51" s="57"/>
      <c r="BB51" s="106"/>
      <c r="BC51" s="105">
        <f>50+100</f>
        <v>150</v>
      </c>
      <c r="BD51" s="57">
        <v>20000</v>
      </c>
      <c r="BE51" s="106">
        <f t="shared" si="17"/>
        <v>3000000</v>
      </c>
      <c r="BF51" s="105">
        <v>50</v>
      </c>
      <c r="BG51" s="57">
        <v>20000</v>
      </c>
      <c r="BH51" s="106">
        <f t="shared" si="2"/>
        <v>1000000</v>
      </c>
    </row>
    <row r="52" spans="1:60" s="6" customFormat="1" ht="27" customHeight="1" x14ac:dyDescent="0.25">
      <c r="A52" s="4">
        <v>47</v>
      </c>
      <c r="B52" s="9" t="s">
        <v>61</v>
      </c>
      <c r="C52" s="10" t="s">
        <v>114</v>
      </c>
      <c r="D52" s="5"/>
      <c r="E52" s="20"/>
      <c r="F52" s="11"/>
      <c r="G52" s="7"/>
      <c r="H52" s="68"/>
      <c r="I52" s="75"/>
      <c r="J52" s="69"/>
      <c r="K52" s="5"/>
      <c r="L52" s="20"/>
      <c r="M52" s="11"/>
      <c r="N52" s="7"/>
      <c r="O52" s="70"/>
      <c r="P52" s="77"/>
      <c r="Q52" s="70"/>
      <c r="R52" s="19"/>
      <c r="S52" s="24"/>
      <c r="T52" s="19"/>
      <c r="U52" s="19"/>
      <c r="V52" s="70"/>
      <c r="W52" s="77"/>
      <c r="X52" s="70"/>
      <c r="Y52" s="19"/>
      <c r="Z52" s="24"/>
      <c r="AA52" s="19"/>
      <c r="AB52" s="70"/>
      <c r="AC52" s="77"/>
      <c r="AD52" s="70"/>
      <c r="AE52" s="54">
        <v>10</v>
      </c>
      <c r="AF52" s="57">
        <v>240500</v>
      </c>
      <c r="AG52" s="55">
        <f>AE52*AF52</f>
        <v>2405000</v>
      </c>
      <c r="AH52" s="70"/>
      <c r="AI52" s="77"/>
      <c r="AJ52" s="70"/>
      <c r="AK52" s="19"/>
      <c r="AL52" s="24"/>
      <c r="AM52" s="19"/>
      <c r="AN52" s="70"/>
      <c r="AO52" s="77"/>
      <c r="AP52" s="73">
        <f t="shared" si="7"/>
        <v>0</v>
      </c>
      <c r="AQ52" s="105"/>
      <c r="AR52" s="57"/>
      <c r="AS52" s="106"/>
      <c r="AT52" s="105"/>
      <c r="AU52" s="57"/>
      <c r="AV52" s="106"/>
      <c r="AW52" s="105"/>
      <c r="AX52" s="57"/>
      <c r="AY52" s="106"/>
      <c r="AZ52" s="105"/>
      <c r="BA52" s="57"/>
      <c r="BB52" s="106"/>
      <c r="BC52" s="105"/>
      <c r="BD52" s="57"/>
      <c r="BE52" s="106"/>
      <c r="BF52" s="105"/>
      <c r="BG52" s="57"/>
      <c r="BH52" s="106"/>
    </row>
    <row r="53" spans="1:60" s="6" customFormat="1" ht="27" customHeight="1" x14ac:dyDescent="0.25">
      <c r="A53" s="4">
        <v>48</v>
      </c>
      <c r="B53" s="9" t="s">
        <v>86</v>
      </c>
      <c r="C53" s="10" t="s">
        <v>115</v>
      </c>
      <c r="D53" s="5"/>
      <c r="E53" s="20"/>
      <c r="F53" s="11"/>
      <c r="G53" s="7"/>
      <c r="H53" s="68">
        <v>20</v>
      </c>
      <c r="I53" s="75">
        <v>339000</v>
      </c>
      <c r="J53" s="69">
        <f>H53*I53</f>
        <v>6780000</v>
      </c>
      <c r="K53" s="5"/>
      <c r="L53" s="20"/>
      <c r="M53" s="11"/>
      <c r="N53" s="7"/>
      <c r="O53" s="70"/>
      <c r="P53" s="77"/>
      <c r="Q53" s="70"/>
      <c r="R53" s="19"/>
      <c r="S53" s="24"/>
      <c r="T53" s="19"/>
      <c r="U53" s="19"/>
      <c r="V53" s="70"/>
      <c r="W53" s="77"/>
      <c r="X53" s="70"/>
      <c r="Y53" s="19"/>
      <c r="Z53" s="24"/>
      <c r="AA53" s="19"/>
      <c r="AB53" s="68">
        <v>10</v>
      </c>
      <c r="AC53" s="75">
        <v>339000</v>
      </c>
      <c r="AD53" s="69">
        <f>AB53*AC53</f>
        <v>3390000</v>
      </c>
      <c r="AE53" s="54">
        <v>20</v>
      </c>
      <c r="AF53" s="57">
        <v>261500</v>
      </c>
      <c r="AG53" s="55">
        <f>AE53*AF53</f>
        <v>5230000</v>
      </c>
      <c r="AH53" s="68">
        <v>30</v>
      </c>
      <c r="AI53" s="75">
        <v>339000</v>
      </c>
      <c r="AJ53" s="69">
        <f>AH53*AI53</f>
        <v>10170000</v>
      </c>
      <c r="AK53" s="19"/>
      <c r="AL53" s="24"/>
      <c r="AM53" s="19"/>
      <c r="AN53" s="68"/>
      <c r="AO53" s="75"/>
      <c r="AP53" s="73">
        <f t="shared" si="7"/>
        <v>0</v>
      </c>
      <c r="AQ53" s="105"/>
      <c r="AR53" s="57"/>
      <c r="AS53" s="106"/>
      <c r="AT53" s="105">
        <v>20</v>
      </c>
      <c r="AU53" s="57">
        <v>261500</v>
      </c>
      <c r="AV53" s="106">
        <f>AT53*AU53</f>
        <v>5230000</v>
      </c>
      <c r="AW53" s="105">
        <v>10</v>
      </c>
      <c r="AX53" s="57">
        <v>302500</v>
      </c>
      <c r="AY53" s="106">
        <f t="shared" si="9"/>
        <v>3025000</v>
      </c>
      <c r="AZ53" s="105">
        <v>5</v>
      </c>
      <c r="BA53" s="57">
        <v>339000</v>
      </c>
      <c r="BB53" s="106">
        <f t="shared" si="8"/>
        <v>1695000</v>
      </c>
      <c r="BC53" s="105"/>
      <c r="BD53" s="57"/>
      <c r="BE53" s="106"/>
      <c r="BF53" s="105"/>
      <c r="BG53" s="57"/>
      <c r="BH53" s="106"/>
    </row>
    <row r="54" spans="1:60" s="6" customFormat="1" ht="27" customHeight="1" x14ac:dyDescent="0.25">
      <c r="A54" s="4">
        <v>49</v>
      </c>
      <c r="B54" s="9" t="s">
        <v>62</v>
      </c>
      <c r="C54" s="10" t="s">
        <v>108</v>
      </c>
      <c r="D54" s="5"/>
      <c r="E54" s="20"/>
      <c r="F54" s="11"/>
      <c r="G54" s="7"/>
      <c r="H54" s="68"/>
      <c r="I54" s="75"/>
      <c r="J54" s="69"/>
      <c r="K54" s="5"/>
      <c r="L54" s="20"/>
      <c r="M54" s="11"/>
      <c r="N54" s="7"/>
      <c r="O54" s="70"/>
      <c r="P54" s="77"/>
      <c r="Q54" s="70"/>
      <c r="R54" s="19"/>
      <c r="S54" s="24"/>
      <c r="T54" s="19"/>
      <c r="U54" s="19"/>
      <c r="V54" s="70"/>
      <c r="W54" s="77"/>
      <c r="X54" s="70"/>
      <c r="Y54" s="19"/>
      <c r="Z54" s="24"/>
      <c r="AA54" s="19"/>
      <c r="AB54" s="70"/>
      <c r="AC54" s="77"/>
      <c r="AD54" s="70"/>
      <c r="AE54" s="19"/>
      <c r="AF54" s="19"/>
      <c r="AG54" s="19"/>
      <c r="AH54" s="70"/>
      <c r="AI54" s="77"/>
      <c r="AJ54" s="70"/>
      <c r="AK54" s="19"/>
      <c r="AL54" s="24"/>
      <c r="AM54" s="19"/>
      <c r="AN54" s="70"/>
      <c r="AO54" s="77"/>
      <c r="AP54" s="73">
        <f t="shared" si="7"/>
        <v>0</v>
      </c>
      <c r="AQ54" s="105"/>
      <c r="AR54" s="57"/>
      <c r="AS54" s="106"/>
      <c r="AT54" s="105"/>
      <c r="AU54" s="57"/>
      <c r="AV54" s="106"/>
      <c r="AW54" s="105"/>
      <c r="AX54" s="57"/>
      <c r="AY54" s="106"/>
      <c r="AZ54" s="105"/>
      <c r="BA54" s="57"/>
      <c r="BB54" s="106"/>
      <c r="BC54" s="105"/>
      <c r="BD54" s="57"/>
      <c r="BE54" s="106"/>
      <c r="BF54" s="105"/>
      <c r="BG54" s="57"/>
      <c r="BH54" s="106"/>
    </row>
    <row r="55" spans="1:60" s="6" customFormat="1" ht="27" customHeight="1" x14ac:dyDescent="0.25">
      <c r="A55" s="4">
        <v>50</v>
      </c>
      <c r="B55" s="9" t="s">
        <v>63</v>
      </c>
      <c r="C55" s="10" t="s">
        <v>109</v>
      </c>
      <c r="D55" s="5"/>
      <c r="E55" s="20"/>
      <c r="F55" s="11"/>
      <c r="G55" s="7"/>
      <c r="H55" s="68"/>
      <c r="I55" s="75"/>
      <c r="J55" s="69"/>
      <c r="K55" s="5"/>
      <c r="L55" s="20"/>
      <c r="M55" s="11"/>
      <c r="N55" s="7"/>
      <c r="O55" s="68">
        <f>50+70</f>
        <v>120</v>
      </c>
      <c r="P55" s="75">
        <v>20000</v>
      </c>
      <c r="Q55" s="69">
        <f>O55*P55</f>
        <v>2400000</v>
      </c>
      <c r="R55" s="19"/>
      <c r="S55" s="24"/>
      <c r="T55" s="19"/>
      <c r="U55" s="19"/>
      <c r="V55" s="68">
        <f>180+50</f>
        <v>230</v>
      </c>
      <c r="W55" s="75">
        <v>20000</v>
      </c>
      <c r="X55" s="69">
        <f>V55*W55</f>
        <v>4600000</v>
      </c>
      <c r="Y55" s="12">
        <v>50</v>
      </c>
      <c r="Z55" s="20">
        <v>15000</v>
      </c>
      <c r="AA55" s="1">
        <f>Y55*Z55</f>
        <v>750000</v>
      </c>
      <c r="AB55" s="68">
        <v>60</v>
      </c>
      <c r="AC55" s="75">
        <v>20000</v>
      </c>
      <c r="AD55" s="69">
        <v>1200000</v>
      </c>
      <c r="AE55" s="54">
        <v>50</v>
      </c>
      <c r="AF55" s="57">
        <v>15000</v>
      </c>
      <c r="AG55" s="55">
        <f>AE55*AF55</f>
        <v>750000</v>
      </c>
      <c r="AH55" s="68">
        <f>100+100</f>
        <v>200</v>
      </c>
      <c r="AI55" s="75">
        <v>20000</v>
      </c>
      <c r="AJ55" s="69">
        <f>AH55*AI55</f>
        <v>4000000</v>
      </c>
      <c r="AK55" s="5">
        <f>100+100</f>
        <v>200</v>
      </c>
      <c r="AL55" s="20">
        <v>15000</v>
      </c>
      <c r="AM55" s="11">
        <f>AK55*AL55</f>
        <v>3000000</v>
      </c>
      <c r="AN55" s="68">
        <v>200</v>
      </c>
      <c r="AO55" s="75">
        <v>20000</v>
      </c>
      <c r="AP55" s="73">
        <f t="shared" si="7"/>
        <v>4000000</v>
      </c>
      <c r="AQ55" s="105"/>
      <c r="AR55" s="57"/>
      <c r="AS55" s="106"/>
      <c r="AT55" s="105"/>
      <c r="AU55" s="57"/>
      <c r="AV55" s="106"/>
      <c r="AW55" s="105">
        <f>50+100</f>
        <v>150</v>
      </c>
      <c r="AX55" s="57" t="s">
        <v>135</v>
      </c>
      <c r="AY55" s="106">
        <f>900000+1700000</f>
        <v>2600000</v>
      </c>
      <c r="AZ55" s="105">
        <v>80</v>
      </c>
      <c r="BA55" s="57">
        <v>20000</v>
      </c>
      <c r="BB55" s="106">
        <f t="shared" si="8"/>
        <v>1600000</v>
      </c>
      <c r="BC55" s="105">
        <f>50+100</f>
        <v>150</v>
      </c>
      <c r="BD55" s="57">
        <v>20000</v>
      </c>
      <c r="BE55" s="106">
        <f t="shared" si="17"/>
        <v>3000000</v>
      </c>
      <c r="BF55" s="105"/>
      <c r="BG55" s="57"/>
      <c r="BH55" s="106"/>
    </row>
    <row r="56" spans="1:60" s="6" customFormat="1" ht="27" customHeight="1" x14ac:dyDescent="0.25">
      <c r="A56" s="4">
        <v>51</v>
      </c>
      <c r="B56" s="9" t="s">
        <v>64</v>
      </c>
      <c r="C56" s="10" t="s">
        <v>116</v>
      </c>
      <c r="D56" s="5"/>
      <c r="E56" s="20"/>
      <c r="F56" s="11"/>
      <c r="G56" s="7"/>
      <c r="H56" s="68"/>
      <c r="I56" s="75"/>
      <c r="J56" s="69"/>
      <c r="K56" s="5"/>
      <c r="L56" s="20"/>
      <c r="M56" s="11"/>
      <c r="N56" s="7"/>
      <c r="O56" s="70"/>
      <c r="P56" s="77"/>
      <c r="Q56" s="70"/>
      <c r="R56" s="19"/>
      <c r="S56" s="24"/>
      <c r="T56" s="19"/>
      <c r="U56" s="19"/>
      <c r="V56" s="70"/>
      <c r="W56" s="77"/>
      <c r="X56" s="70"/>
      <c r="Y56" s="19"/>
      <c r="Z56" s="24"/>
      <c r="AA56" s="19"/>
      <c r="AB56" s="70"/>
      <c r="AC56" s="77"/>
      <c r="AD56" s="70"/>
      <c r="AE56" s="19"/>
      <c r="AF56" s="19"/>
      <c r="AG56" s="19"/>
      <c r="AH56" s="70"/>
      <c r="AI56" s="77"/>
      <c r="AJ56" s="70"/>
      <c r="AK56" s="19"/>
      <c r="AL56" s="24"/>
      <c r="AM56" s="19"/>
      <c r="AN56" s="70"/>
      <c r="AO56" s="77"/>
      <c r="AP56" s="73">
        <f t="shared" si="7"/>
        <v>0</v>
      </c>
      <c r="AQ56" s="105"/>
      <c r="AR56" s="57"/>
      <c r="AS56" s="106"/>
      <c r="AT56" s="105"/>
      <c r="AU56" s="57"/>
      <c r="AV56" s="106"/>
      <c r="AW56" s="105"/>
      <c r="AX56" s="57"/>
      <c r="AY56" s="106"/>
      <c r="AZ56" s="105">
        <v>10</v>
      </c>
      <c r="BA56" s="57">
        <v>176500</v>
      </c>
      <c r="BB56" s="106">
        <f t="shared" si="8"/>
        <v>1765000</v>
      </c>
      <c r="BC56" s="105"/>
      <c r="BD56" s="57"/>
      <c r="BE56" s="106"/>
      <c r="BF56" s="105"/>
      <c r="BG56" s="57"/>
      <c r="BH56" s="106"/>
    </row>
    <row r="57" spans="1:60" s="6" customFormat="1" ht="27" customHeight="1" x14ac:dyDescent="0.25">
      <c r="A57" s="4">
        <v>52</v>
      </c>
      <c r="B57" s="9" t="s">
        <v>87</v>
      </c>
      <c r="C57" s="10" t="s">
        <v>122</v>
      </c>
      <c r="D57" s="5"/>
      <c r="E57" s="20"/>
      <c r="F57" s="11"/>
      <c r="G57" s="7"/>
      <c r="H57" s="68"/>
      <c r="I57" s="75"/>
      <c r="J57" s="69"/>
      <c r="K57" s="5"/>
      <c r="L57" s="20"/>
      <c r="M57" s="11"/>
      <c r="N57" s="7"/>
      <c r="O57" s="70"/>
      <c r="P57" s="77"/>
      <c r="Q57" s="70"/>
      <c r="R57" s="19"/>
      <c r="S57" s="24"/>
      <c r="T57" s="19"/>
      <c r="U57" s="19"/>
      <c r="V57" s="70"/>
      <c r="W57" s="77"/>
      <c r="X57" s="70"/>
      <c r="Y57" s="19"/>
      <c r="Z57" s="24"/>
      <c r="AA57" s="19"/>
      <c r="AB57" s="70"/>
      <c r="AC57" s="77"/>
      <c r="AD57" s="70"/>
      <c r="AE57" s="54">
        <v>10</v>
      </c>
      <c r="AF57" s="57">
        <v>189000</v>
      </c>
      <c r="AG57" s="55">
        <f>AE57*AF57</f>
        <v>1890000</v>
      </c>
      <c r="AH57" s="70"/>
      <c r="AI57" s="77"/>
      <c r="AJ57" s="70"/>
      <c r="AK57" s="19"/>
      <c r="AL57" s="24"/>
      <c r="AM57" s="19"/>
      <c r="AN57" s="70"/>
      <c r="AO57" s="77"/>
      <c r="AP57" s="73">
        <f t="shared" si="7"/>
        <v>0</v>
      </c>
      <c r="AQ57" s="105"/>
      <c r="AR57" s="57"/>
      <c r="AS57" s="106"/>
      <c r="AT57" s="105"/>
      <c r="AU57" s="57"/>
      <c r="AV57" s="106"/>
      <c r="AW57" s="105"/>
      <c r="AX57" s="57"/>
      <c r="AY57" s="106"/>
      <c r="AZ57" s="105"/>
      <c r="BA57" s="57"/>
      <c r="BB57" s="106"/>
      <c r="BC57" s="105"/>
      <c r="BD57" s="57"/>
      <c r="BE57" s="106"/>
      <c r="BF57" s="105"/>
      <c r="BG57" s="57"/>
      <c r="BH57" s="106"/>
    </row>
    <row r="58" spans="1:60" s="6" customFormat="1" ht="27" customHeight="1" x14ac:dyDescent="0.25">
      <c r="A58" s="4">
        <v>53</v>
      </c>
      <c r="B58" s="9" t="s">
        <v>92</v>
      </c>
      <c r="C58" s="10" t="s">
        <v>123</v>
      </c>
      <c r="D58" s="5"/>
      <c r="E58" s="20"/>
      <c r="F58" s="11"/>
      <c r="G58" s="7"/>
      <c r="H58" s="68"/>
      <c r="I58" s="75"/>
      <c r="J58" s="69"/>
      <c r="K58" s="5"/>
      <c r="L58" s="20"/>
      <c r="M58" s="11"/>
      <c r="N58" s="7"/>
      <c r="O58" s="70"/>
      <c r="P58" s="77"/>
      <c r="Q58" s="70"/>
      <c r="R58" s="19"/>
      <c r="S58" s="24"/>
      <c r="T58" s="19"/>
      <c r="U58" s="19"/>
      <c r="V58" s="70"/>
      <c r="W58" s="77"/>
      <c r="X58" s="70"/>
      <c r="Y58" s="19"/>
      <c r="Z58" s="24"/>
      <c r="AA58" s="19"/>
      <c r="AB58" s="68">
        <v>14</v>
      </c>
      <c r="AC58" s="75">
        <v>271500</v>
      </c>
      <c r="AD58" s="69">
        <f>AB58*AC58</f>
        <v>3801000</v>
      </c>
      <c r="AE58" s="19"/>
      <c r="AF58" s="19"/>
      <c r="AG58" s="19"/>
      <c r="AH58" s="68">
        <v>6</v>
      </c>
      <c r="AI58" s="75">
        <v>271500</v>
      </c>
      <c r="AJ58" s="69">
        <f>AH58*AI58</f>
        <v>1629000</v>
      </c>
      <c r="AK58" s="19"/>
      <c r="AL58" s="24"/>
      <c r="AM58" s="19"/>
      <c r="AN58" s="68">
        <v>10</v>
      </c>
      <c r="AO58" s="75">
        <v>271500</v>
      </c>
      <c r="AP58" s="73">
        <f t="shared" si="7"/>
        <v>2715000</v>
      </c>
      <c r="AQ58" s="105">
        <v>10</v>
      </c>
      <c r="AR58" s="57">
        <v>210000</v>
      </c>
      <c r="AS58" s="106">
        <f>AQ58*AR58</f>
        <v>2100000</v>
      </c>
      <c r="AT58" s="105"/>
      <c r="AU58" s="57"/>
      <c r="AV58" s="106"/>
      <c r="AW58" s="105"/>
      <c r="AX58" s="57"/>
      <c r="AY58" s="106"/>
      <c r="AZ58" s="105"/>
      <c r="BA58" s="57"/>
      <c r="BB58" s="106"/>
      <c r="BC58" s="105"/>
      <c r="BD58" s="57"/>
      <c r="BE58" s="106"/>
      <c r="BF58" s="105"/>
      <c r="BG58" s="57"/>
      <c r="BH58" s="106"/>
    </row>
    <row r="59" spans="1:60" s="6" customFormat="1" ht="27" customHeight="1" x14ac:dyDescent="0.25">
      <c r="A59" s="4">
        <v>54</v>
      </c>
      <c r="B59" s="9" t="s">
        <v>88</v>
      </c>
      <c r="C59" s="10" t="s">
        <v>14</v>
      </c>
      <c r="D59" s="5">
        <f>40+30</f>
        <v>70</v>
      </c>
      <c r="E59" s="20">
        <v>38500</v>
      </c>
      <c r="F59" s="11">
        <f t="shared" si="3"/>
        <v>2641100</v>
      </c>
      <c r="G59" s="7">
        <v>0.02</v>
      </c>
      <c r="H59" s="68">
        <f>127+65</f>
        <v>192</v>
      </c>
      <c r="I59" s="75">
        <v>55500</v>
      </c>
      <c r="J59" s="69">
        <f>H59*I59</f>
        <v>10656000</v>
      </c>
      <c r="K59" s="5">
        <f>170+70</f>
        <v>240</v>
      </c>
      <c r="L59" s="20">
        <v>38500</v>
      </c>
      <c r="M59" s="11">
        <f>K59*L59*98%</f>
        <v>9055200</v>
      </c>
      <c r="N59" s="7">
        <v>0.02</v>
      </c>
      <c r="O59" s="68">
        <f>135+273</f>
        <v>408</v>
      </c>
      <c r="P59" s="75">
        <v>55500</v>
      </c>
      <c r="Q59" s="69">
        <f>O59*P59</f>
        <v>22644000</v>
      </c>
      <c r="R59" s="12">
        <v>150</v>
      </c>
      <c r="S59" s="20">
        <v>38500</v>
      </c>
      <c r="T59" s="1">
        <f>R59*S59*98%</f>
        <v>5659500</v>
      </c>
      <c r="U59" s="7">
        <v>0.02</v>
      </c>
      <c r="V59" s="68">
        <f>200+250</f>
        <v>450</v>
      </c>
      <c r="W59" s="75">
        <v>55500</v>
      </c>
      <c r="X59" s="69">
        <f>V59*W59</f>
        <v>24975000</v>
      </c>
      <c r="Y59" s="12">
        <f>283+35</f>
        <v>318</v>
      </c>
      <c r="Z59" s="20">
        <v>38500</v>
      </c>
      <c r="AA59" s="1">
        <f>Y59*Z59</f>
        <v>12243000</v>
      </c>
      <c r="AB59" s="68">
        <f>100+100</f>
        <v>200</v>
      </c>
      <c r="AC59" s="75">
        <v>55500</v>
      </c>
      <c r="AD59" s="69">
        <f>AB59*AC59</f>
        <v>11100000</v>
      </c>
      <c r="AE59" s="54">
        <v>432</v>
      </c>
      <c r="AF59" s="57">
        <v>42400</v>
      </c>
      <c r="AG59" s="55">
        <f>AE59*AF59</f>
        <v>18316800</v>
      </c>
      <c r="AH59" s="68">
        <v>100</v>
      </c>
      <c r="AI59" s="75">
        <v>55500</v>
      </c>
      <c r="AJ59" s="69">
        <f>AH59*AI59</f>
        <v>5550000</v>
      </c>
      <c r="AK59" s="5">
        <f>80+575</f>
        <v>655</v>
      </c>
      <c r="AL59" s="20">
        <v>42400</v>
      </c>
      <c r="AM59" s="11">
        <f>AK59*AL59</f>
        <v>27772000</v>
      </c>
      <c r="AN59" s="68">
        <v>500</v>
      </c>
      <c r="AO59" s="75">
        <v>55500</v>
      </c>
      <c r="AP59" s="73">
        <f t="shared" si="7"/>
        <v>27750000</v>
      </c>
      <c r="AQ59" s="105">
        <f>30+35</f>
        <v>65</v>
      </c>
      <c r="AR59" s="57">
        <v>42400</v>
      </c>
      <c r="AS59" s="106">
        <f>AQ59*AR59</f>
        <v>2756000</v>
      </c>
      <c r="AT59" s="105">
        <f>170+100</f>
        <v>270</v>
      </c>
      <c r="AU59" s="57">
        <v>42400</v>
      </c>
      <c r="AV59" s="106">
        <f>AT59*AU59</f>
        <v>11448000</v>
      </c>
      <c r="AW59" s="105">
        <f>100+100</f>
        <v>200</v>
      </c>
      <c r="AX59" s="57" t="s">
        <v>136</v>
      </c>
      <c r="AY59" s="106">
        <f>4700000+4950000</f>
        <v>9650000</v>
      </c>
      <c r="AZ59" s="105">
        <v>100</v>
      </c>
      <c r="BA59" s="57">
        <v>55500</v>
      </c>
      <c r="BB59" s="106">
        <f t="shared" si="8"/>
        <v>5550000</v>
      </c>
      <c r="BC59" s="105">
        <f>50+100</f>
        <v>150</v>
      </c>
      <c r="BD59" s="57">
        <v>55500</v>
      </c>
      <c r="BE59" s="106">
        <f t="shared" si="17"/>
        <v>8325000</v>
      </c>
      <c r="BF59" s="105">
        <v>50</v>
      </c>
      <c r="BG59" s="57">
        <v>55500</v>
      </c>
      <c r="BH59" s="106">
        <f t="shared" si="2"/>
        <v>2775000</v>
      </c>
    </row>
    <row r="60" spans="1:60" s="6" customFormat="1" ht="27" customHeight="1" x14ac:dyDescent="0.5">
      <c r="A60" s="4">
        <v>55</v>
      </c>
      <c r="B60" s="9" t="s">
        <v>65</v>
      </c>
      <c r="C60" s="10" t="s">
        <v>118</v>
      </c>
      <c r="D60" s="40"/>
      <c r="E60" s="41"/>
      <c r="F60" s="42"/>
      <c r="G60" s="34"/>
      <c r="H60" s="68">
        <v>20</v>
      </c>
      <c r="I60" s="75">
        <v>139500</v>
      </c>
      <c r="J60" s="69">
        <f>H60*I60</f>
        <v>2790000</v>
      </c>
      <c r="K60" s="43"/>
      <c r="L60" s="24"/>
      <c r="M60" s="19"/>
      <c r="N60" s="19"/>
      <c r="O60" s="70"/>
      <c r="P60" s="77"/>
      <c r="Q60" s="70"/>
      <c r="R60" s="19"/>
      <c r="S60" s="24"/>
      <c r="T60" s="19"/>
      <c r="U60" s="19"/>
      <c r="V60" s="70"/>
      <c r="W60" s="77"/>
      <c r="X60" s="70"/>
      <c r="Y60" s="19"/>
      <c r="Z60" s="24"/>
      <c r="AA60" s="19"/>
      <c r="AB60" s="70"/>
      <c r="AC60" s="77"/>
      <c r="AD60" s="70"/>
      <c r="AE60" s="61"/>
      <c r="AF60" s="62"/>
      <c r="AG60" s="61"/>
      <c r="AH60" s="68">
        <v>50</v>
      </c>
      <c r="AI60" s="75">
        <v>139500</v>
      </c>
      <c r="AJ60" s="69">
        <f>AH60*AI60</f>
        <v>6975000</v>
      </c>
      <c r="AK60" s="19"/>
      <c r="AL60" s="24"/>
      <c r="AM60" s="19"/>
      <c r="AN60" s="68"/>
      <c r="AO60" s="75"/>
      <c r="AP60" s="73">
        <f t="shared" si="7"/>
        <v>0</v>
      </c>
      <c r="AQ60" s="105">
        <v>10</v>
      </c>
      <c r="AR60" s="57">
        <v>105000</v>
      </c>
      <c r="AS60" s="106">
        <f>AQ60*AR60</f>
        <v>1050000</v>
      </c>
      <c r="AT60" s="105">
        <v>10</v>
      </c>
      <c r="AU60" s="57">
        <v>105000</v>
      </c>
      <c r="AV60" s="106">
        <f>AT60*AU60</f>
        <v>1050000</v>
      </c>
      <c r="AW60" s="105"/>
      <c r="AX60" s="57"/>
      <c r="AY60" s="106"/>
      <c r="AZ60" s="105"/>
      <c r="BA60" s="57"/>
      <c r="BB60" s="106"/>
      <c r="BC60" s="105"/>
      <c r="BD60" s="57"/>
      <c r="BE60" s="106"/>
      <c r="BF60" s="105"/>
      <c r="BG60" s="57"/>
      <c r="BH60" s="106"/>
    </row>
    <row r="61" spans="1:60" s="6" customFormat="1" ht="27" customHeight="1" x14ac:dyDescent="0.5">
      <c r="A61" s="4">
        <v>56</v>
      </c>
      <c r="B61" s="9" t="s">
        <v>77</v>
      </c>
      <c r="C61" s="10" t="s">
        <v>117</v>
      </c>
      <c r="D61" s="12"/>
      <c r="E61" s="44"/>
      <c r="F61" s="12"/>
      <c r="G61" s="12"/>
      <c r="H61" s="68"/>
      <c r="I61" s="75"/>
      <c r="J61" s="69"/>
      <c r="K61" s="19"/>
      <c r="L61" s="24"/>
      <c r="M61" s="19"/>
      <c r="N61" s="19"/>
      <c r="O61" s="70"/>
      <c r="P61" s="77"/>
      <c r="Q61" s="70"/>
      <c r="R61" s="19"/>
      <c r="S61" s="24"/>
      <c r="T61" s="19"/>
      <c r="U61" s="19"/>
      <c r="V61" s="70"/>
      <c r="W61" s="77"/>
      <c r="X61" s="70"/>
      <c r="Y61" s="19"/>
      <c r="Z61" s="24"/>
      <c r="AA61" s="19"/>
      <c r="AB61" s="68">
        <v>10</v>
      </c>
      <c r="AC61" s="75">
        <v>234500</v>
      </c>
      <c r="AD61" s="69">
        <f>AB61*AC61</f>
        <v>2345000</v>
      </c>
      <c r="AE61" s="61"/>
      <c r="AF61" s="62"/>
      <c r="AG61" s="61"/>
      <c r="AH61" s="68">
        <v>20</v>
      </c>
      <c r="AI61" s="75">
        <v>234500</v>
      </c>
      <c r="AJ61" s="69">
        <f>AH61*AI61</f>
        <v>4690000</v>
      </c>
      <c r="AK61" s="19"/>
      <c r="AL61" s="24"/>
      <c r="AM61" s="19"/>
      <c r="AN61" s="68"/>
      <c r="AO61" s="75"/>
      <c r="AP61" s="73">
        <f t="shared" si="7"/>
        <v>0</v>
      </c>
      <c r="AQ61" s="107"/>
      <c r="AR61" s="24"/>
      <c r="AS61" s="107"/>
      <c r="AT61" s="107"/>
      <c r="AU61" s="24"/>
      <c r="AV61" s="107"/>
      <c r="AW61" s="105">
        <v>6</v>
      </c>
      <c r="AX61" s="57">
        <v>203500</v>
      </c>
      <c r="AY61" s="106">
        <f t="shared" si="9"/>
        <v>1221000</v>
      </c>
      <c r="AZ61" s="105">
        <v>4</v>
      </c>
      <c r="BA61" s="57">
        <v>234500</v>
      </c>
      <c r="BB61" s="106">
        <f t="shared" si="8"/>
        <v>938000</v>
      </c>
      <c r="BC61" s="105">
        <v>10</v>
      </c>
      <c r="BD61" s="57">
        <v>234500</v>
      </c>
      <c r="BE61" s="106">
        <f t="shared" si="17"/>
        <v>2345000</v>
      </c>
      <c r="BF61" s="105">
        <v>30</v>
      </c>
      <c r="BG61" s="57">
        <v>234500</v>
      </c>
      <c r="BH61" s="106">
        <f t="shared" si="2"/>
        <v>7035000</v>
      </c>
    </row>
    <row r="62" spans="1:60" s="2" customFormat="1" ht="27" customHeight="1" x14ac:dyDescent="0.5">
      <c r="A62" s="4">
        <v>57</v>
      </c>
      <c r="B62" s="9" t="s">
        <v>93</v>
      </c>
      <c r="C62" s="10" t="s">
        <v>110</v>
      </c>
      <c r="D62" s="45"/>
      <c r="E62" s="46"/>
      <c r="F62" s="47"/>
      <c r="G62" s="48"/>
      <c r="H62" s="68"/>
      <c r="I62" s="75"/>
      <c r="J62" s="69"/>
      <c r="K62" s="43"/>
      <c r="L62" s="49"/>
      <c r="M62" s="43"/>
      <c r="N62" s="19"/>
      <c r="O62" s="70"/>
      <c r="P62" s="77"/>
      <c r="Q62" s="70"/>
      <c r="R62" s="19"/>
      <c r="S62" s="24"/>
      <c r="T62" s="19"/>
      <c r="U62" s="19"/>
      <c r="V62" s="68">
        <v>30</v>
      </c>
      <c r="W62" s="75">
        <v>165000</v>
      </c>
      <c r="X62" s="69">
        <f t="shared" ref="X62" si="19">V62*W62</f>
        <v>4950000</v>
      </c>
      <c r="Y62" s="19"/>
      <c r="Z62" s="24"/>
      <c r="AA62" s="19"/>
      <c r="AB62" s="68">
        <v>50</v>
      </c>
      <c r="AC62" s="75">
        <v>165000</v>
      </c>
      <c r="AD62" s="69">
        <v>8250000</v>
      </c>
      <c r="AE62" s="61"/>
      <c r="AF62" s="62"/>
      <c r="AG62" s="61"/>
      <c r="AH62" s="70"/>
      <c r="AI62" s="77"/>
      <c r="AJ62" s="70"/>
      <c r="AK62" s="19"/>
      <c r="AL62" s="24"/>
      <c r="AM62" s="19"/>
      <c r="AN62" s="70"/>
      <c r="AO62" s="77"/>
      <c r="AP62" s="73">
        <f t="shared" si="7"/>
        <v>0</v>
      </c>
      <c r="AQ62" s="107"/>
      <c r="AR62" s="24"/>
      <c r="AS62" s="107"/>
      <c r="AT62" s="107"/>
      <c r="AU62" s="24"/>
      <c r="AV62" s="107"/>
      <c r="AW62" s="107"/>
      <c r="AX62" s="24"/>
      <c r="AY62" s="107"/>
      <c r="AZ62" s="107"/>
      <c r="BA62" s="24"/>
      <c r="BB62" s="107"/>
      <c r="BC62" s="107"/>
      <c r="BD62" s="24"/>
      <c r="BE62" s="107"/>
      <c r="BF62" s="107"/>
      <c r="BG62" s="24"/>
      <c r="BH62" s="107"/>
    </row>
    <row r="63" spans="1:60" s="2" customFormat="1" ht="27" customHeight="1" x14ac:dyDescent="0.25">
      <c r="A63" s="85" t="s">
        <v>30</v>
      </c>
      <c r="B63" s="85"/>
      <c r="C63" s="85"/>
      <c r="D63" s="50">
        <f>SUM(D6:D62)</f>
        <v>4229</v>
      </c>
      <c r="E63" s="49"/>
      <c r="F63" s="43">
        <f>SUM(F6:F62)</f>
        <v>328573420</v>
      </c>
      <c r="G63" s="43"/>
      <c r="H63" s="72">
        <f>SUM(H6:H62)</f>
        <v>2237</v>
      </c>
      <c r="I63" s="74"/>
      <c r="J63" s="78">
        <f>SUM(J6:J62)</f>
        <v>250409500</v>
      </c>
      <c r="K63" s="50">
        <f>SUM(K6:K62)</f>
        <v>3599</v>
      </c>
      <c r="L63" s="49"/>
      <c r="M63" s="43">
        <f>SUM(M6:M62)</f>
        <v>308729890</v>
      </c>
      <c r="N63" s="51"/>
      <c r="O63" s="70">
        <f>SUM(O6:O62)</f>
        <v>3605</v>
      </c>
      <c r="P63" s="79"/>
      <c r="Q63" s="71">
        <f>SUM(Q6:Q62)</f>
        <v>410535500</v>
      </c>
      <c r="R63" s="50">
        <f>SUM(R6:R62)</f>
        <v>3021</v>
      </c>
      <c r="S63" s="52"/>
      <c r="T63" s="43">
        <f>SUM(T6:T62)</f>
        <v>242753350</v>
      </c>
      <c r="U63" s="51"/>
      <c r="V63" s="70">
        <f>SUM(V6:V62)</f>
        <v>4437</v>
      </c>
      <c r="W63" s="79"/>
      <c r="X63" s="71">
        <f>SUM(X6:X62)</f>
        <v>470345000</v>
      </c>
      <c r="Y63" s="50">
        <f>SUM(Y6:Y62)</f>
        <v>2864</v>
      </c>
      <c r="Z63" s="52"/>
      <c r="AA63" s="19">
        <f>SUM(AA6:AA62)</f>
        <v>225904500</v>
      </c>
      <c r="AB63" s="70">
        <f>SUM(AB6:AB62)</f>
        <v>1675</v>
      </c>
      <c r="AC63" s="79"/>
      <c r="AD63" s="71">
        <f>SUM(AD6:AD62)</f>
        <v>151580000</v>
      </c>
      <c r="AE63" s="63">
        <f>SUM(AE7:AE62)</f>
        <v>4532</v>
      </c>
      <c r="AF63" s="64"/>
      <c r="AG63" s="65">
        <f>SUM(AG7:AG62)</f>
        <v>436724400</v>
      </c>
      <c r="AH63" s="70">
        <f>SUM(AH6:AH62)</f>
        <v>2999</v>
      </c>
      <c r="AI63" s="77"/>
      <c r="AJ63" s="70">
        <f>SUM(AJ6:AJ62)</f>
        <v>327244500</v>
      </c>
      <c r="AK63" s="12">
        <f>SUM(AK6:AK62)</f>
        <v>7100</v>
      </c>
      <c r="AL63" s="52"/>
      <c r="AM63" s="53">
        <f>SUM(AM6:AM62)</f>
        <v>635778400</v>
      </c>
      <c r="AN63" s="70">
        <f>SUM(AN6:AN62)</f>
        <v>2610</v>
      </c>
      <c r="AO63" s="77"/>
      <c r="AP63" s="82">
        <f>SUM(AP6:AP62)</f>
        <v>210885000</v>
      </c>
      <c r="AQ63" s="108">
        <f>SUM(AQ6:AQ62)</f>
        <v>1440</v>
      </c>
      <c r="AR63" s="109"/>
      <c r="AS63" s="110">
        <f>SUM(AS6:AS62)</f>
        <v>108919000</v>
      </c>
      <c r="AT63" s="108">
        <f>SUM(AT6:AT62)</f>
        <v>3298</v>
      </c>
      <c r="AU63" s="109"/>
      <c r="AV63" s="110">
        <f>SUM(AV6:AV62)</f>
        <v>259446000</v>
      </c>
      <c r="AW63" s="108">
        <f>SUM(AW6:AW62)</f>
        <v>3031</v>
      </c>
      <c r="AX63" s="109"/>
      <c r="AY63" s="108">
        <f>SUM(AY6:AY62)</f>
        <v>314931000</v>
      </c>
      <c r="AZ63" s="108">
        <f>SUM(AZ6:AZ62)</f>
        <v>2331</v>
      </c>
      <c r="BA63" s="109"/>
      <c r="BB63" s="108">
        <f>SUM(BB6:BB62)</f>
        <v>273537500</v>
      </c>
      <c r="BC63" s="108">
        <f>SUM(BC6:BC62)</f>
        <v>1550</v>
      </c>
      <c r="BD63" s="109"/>
      <c r="BE63" s="110">
        <f>SUM(BE6:BE62)</f>
        <v>124168000</v>
      </c>
      <c r="BF63" s="108">
        <f>SUM(BF6:BF62)</f>
        <v>1969</v>
      </c>
      <c r="BG63" s="109"/>
      <c r="BH63" s="110">
        <f>SUM(BH6:BH62)</f>
        <v>237262000</v>
      </c>
    </row>
    <row r="65" spans="1:39" ht="27" customHeight="1" x14ac:dyDescent="0.5">
      <c r="F65" s="21"/>
      <c r="K65" s="3"/>
      <c r="M65" s="21"/>
      <c r="R65" s="3"/>
      <c r="T65" s="21"/>
      <c r="Y65" s="3"/>
      <c r="AA65" s="21"/>
      <c r="AK65" s="3"/>
      <c r="AM65" s="21"/>
    </row>
    <row r="67" spans="1:39" ht="27" customHeight="1" x14ac:dyDescent="0.5">
      <c r="A67" s="13"/>
      <c r="B67" s="13"/>
      <c r="C67" s="13"/>
      <c r="D67" s="13"/>
      <c r="E67" s="3"/>
      <c r="F67" s="3"/>
      <c r="G67" s="3"/>
      <c r="K67" s="3"/>
      <c r="L67" s="3"/>
      <c r="M67" s="3"/>
      <c r="N67" s="3"/>
      <c r="R67" s="3"/>
      <c r="S67" s="3"/>
      <c r="T67" s="3"/>
      <c r="U67" s="3"/>
      <c r="Y67" s="3"/>
      <c r="Z67" s="3"/>
      <c r="AA67" s="3"/>
      <c r="AE67" s="3"/>
      <c r="AF67" s="3"/>
      <c r="AG67" s="3"/>
      <c r="AK67" s="3"/>
      <c r="AL67" s="3"/>
      <c r="AM67" s="3"/>
    </row>
  </sheetData>
  <sortState ref="A67:G89">
    <sortCondition ref="B67:B89"/>
  </sortState>
  <mergeCells count="24">
    <mergeCell ref="BF4:BH4"/>
    <mergeCell ref="AQ4:AS4"/>
    <mergeCell ref="AT4:AV4"/>
    <mergeCell ref="AW4:AY4"/>
    <mergeCell ref="AZ4:BB4"/>
    <mergeCell ref="BC4:BE4"/>
    <mergeCell ref="A2:AP2"/>
    <mergeCell ref="A1:AP1"/>
    <mergeCell ref="AH4:AJ4"/>
    <mergeCell ref="AN4:AP4"/>
    <mergeCell ref="Y4:AA4"/>
    <mergeCell ref="AK4:AM4"/>
    <mergeCell ref="K4:N4"/>
    <mergeCell ref="R4:U4"/>
    <mergeCell ref="AE4:AG4"/>
    <mergeCell ref="H4:J4"/>
    <mergeCell ref="O4:Q4"/>
    <mergeCell ref="V4:X4"/>
    <mergeCell ref="AB4:AD4"/>
    <mergeCell ref="A63:C63"/>
    <mergeCell ref="D4:G4"/>
    <mergeCell ref="C4:C5"/>
    <mergeCell ref="B4:B5"/>
    <mergeCell ref="A4:A5"/>
  </mergeCells>
  <pageMargins left="0.6" right="0" top="0.3" bottom="0.5" header="0.3" footer="0.3"/>
  <pageSetup paperSize="9" scale="90" orientation="portrait" verticalDpi="1200" r:id="rId1"/>
  <headerFooter>
    <oddFooter xml:space="preserve">&amp;C
Page -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workbookViewId="0">
      <selection activeCell="D9" sqref="D9"/>
    </sheetView>
  </sheetViews>
  <sheetFormatPr defaultColWidth="9.140625" defaultRowHeight="19.5" x14ac:dyDescent="0.5"/>
  <cols>
    <col min="1" max="1" width="6" style="3" customWidth="1"/>
    <col min="2" max="2" width="9" style="14" customWidth="1"/>
    <col min="3" max="3" width="43" style="2" customWidth="1"/>
    <col min="4" max="4" width="9" style="13" customWidth="1"/>
    <col min="5" max="5" width="16" style="13" customWidth="1"/>
    <col min="6" max="6" width="9" style="100" customWidth="1"/>
    <col min="7" max="7" width="16" style="100" customWidth="1"/>
    <col min="8" max="8" width="9" style="2" customWidth="1"/>
    <col min="9" max="9" width="16" style="116" customWidth="1"/>
    <col min="10" max="16384" width="9.140625" style="13"/>
  </cols>
  <sheetData>
    <row r="1" spans="1:9" ht="26.25" customHeight="1" x14ac:dyDescent="0.5">
      <c r="A1" s="95" t="s">
        <v>124</v>
      </c>
      <c r="B1" s="95"/>
      <c r="C1" s="95"/>
      <c r="D1" s="95"/>
      <c r="E1" s="95"/>
      <c r="F1" s="95"/>
      <c r="G1" s="95"/>
      <c r="H1" s="95"/>
      <c r="I1" s="95"/>
    </row>
    <row r="2" spans="1:9" s="26" customFormat="1" ht="26.25" customHeight="1" x14ac:dyDescent="0.25">
      <c r="A2" s="95" t="s">
        <v>140</v>
      </c>
      <c r="B2" s="95"/>
      <c r="C2" s="95"/>
      <c r="D2" s="95"/>
      <c r="E2" s="95"/>
      <c r="F2" s="95"/>
      <c r="G2" s="95"/>
      <c r="H2" s="95"/>
      <c r="I2" s="95"/>
    </row>
    <row r="3" spans="1:9" s="26" customFormat="1" ht="27" customHeight="1" x14ac:dyDescent="0.25">
      <c r="A3" s="80"/>
      <c r="B3" s="80"/>
      <c r="C3" s="80"/>
      <c r="D3" s="80"/>
      <c r="E3" s="80"/>
      <c r="F3" s="100"/>
      <c r="G3" s="100"/>
      <c r="H3" s="96" t="s">
        <v>125</v>
      </c>
      <c r="I3" s="96"/>
    </row>
    <row r="4" spans="1:9" s="2" customFormat="1" ht="36.75" customHeight="1" x14ac:dyDescent="0.25">
      <c r="A4" s="87" t="s">
        <v>4</v>
      </c>
      <c r="B4" s="88" t="s">
        <v>35</v>
      </c>
      <c r="C4" s="87" t="s">
        <v>1</v>
      </c>
      <c r="D4" s="97" t="s">
        <v>138</v>
      </c>
      <c r="E4" s="91"/>
      <c r="F4" s="113" t="s">
        <v>137</v>
      </c>
      <c r="G4" s="103"/>
      <c r="H4" s="97" t="s">
        <v>139</v>
      </c>
      <c r="I4" s="91"/>
    </row>
    <row r="5" spans="1:9" s="39" customFormat="1" ht="29.25" customHeight="1" x14ac:dyDescent="0.25">
      <c r="A5" s="87"/>
      <c r="B5" s="88"/>
      <c r="C5" s="87"/>
      <c r="D5" s="18" t="s">
        <v>2</v>
      </c>
      <c r="E5" s="84" t="s">
        <v>3</v>
      </c>
      <c r="F5" s="104" t="s">
        <v>2</v>
      </c>
      <c r="G5" s="104" t="s">
        <v>3</v>
      </c>
      <c r="H5" s="84" t="s">
        <v>2</v>
      </c>
      <c r="I5" s="114" t="s">
        <v>3</v>
      </c>
    </row>
    <row r="6" spans="1:9" s="39" customFormat="1" ht="27" customHeight="1" x14ac:dyDescent="0.25">
      <c r="A6" s="4">
        <v>1</v>
      </c>
      <c r="B6" s="9" t="s">
        <v>36</v>
      </c>
      <c r="C6" s="10" t="s">
        <v>22</v>
      </c>
      <c r="D6" s="5">
        <v>270</v>
      </c>
      <c r="E6" s="115">
        <v>9746500</v>
      </c>
      <c r="F6" s="105">
        <v>430</v>
      </c>
      <c r="G6" s="106">
        <v>19131000</v>
      </c>
      <c r="H6" s="12">
        <v>250</v>
      </c>
      <c r="I6" s="1">
        <v>13125000</v>
      </c>
    </row>
    <row r="7" spans="1:9" s="6" customFormat="1" ht="27" customHeight="1" x14ac:dyDescent="0.25">
      <c r="A7" s="4">
        <v>2</v>
      </c>
      <c r="B7" s="9" t="s">
        <v>66</v>
      </c>
      <c r="C7" s="10" t="s">
        <v>18</v>
      </c>
      <c r="D7" s="5">
        <v>2750</v>
      </c>
      <c r="E7" s="115">
        <v>104291900</v>
      </c>
      <c r="F7" s="105">
        <v>1990</v>
      </c>
      <c r="G7" s="106">
        <v>93942500</v>
      </c>
      <c r="H7" s="12">
        <v>2580</v>
      </c>
      <c r="I7" s="1">
        <v>136740000</v>
      </c>
    </row>
    <row r="8" spans="1:9" s="6" customFormat="1" ht="27" customHeight="1" x14ac:dyDescent="0.25">
      <c r="A8" s="4">
        <v>3</v>
      </c>
      <c r="B8" s="9" t="s">
        <v>37</v>
      </c>
      <c r="C8" s="10" t="s">
        <v>119</v>
      </c>
      <c r="D8" s="5">
        <v>2035</v>
      </c>
      <c r="E8" s="115">
        <v>89347950</v>
      </c>
      <c r="F8" s="105">
        <v>979</v>
      </c>
      <c r="G8" s="106">
        <v>55758500</v>
      </c>
      <c r="H8" s="12">
        <v>1741</v>
      </c>
      <c r="I8" s="1">
        <v>108812500</v>
      </c>
    </row>
    <row r="9" spans="1:9" s="6" customFormat="1" ht="27" customHeight="1" x14ac:dyDescent="0.25">
      <c r="A9" s="4">
        <v>4</v>
      </c>
      <c r="B9" s="9" t="s">
        <v>71</v>
      </c>
      <c r="C9" s="10" t="s">
        <v>120</v>
      </c>
      <c r="D9" s="5">
        <v>60</v>
      </c>
      <c r="E9" s="115">
        <v>3744000</v>
      </c>
      <c r="F9" s="105">
        <v>50</v>
      </c>
      <c r="G9" s="106">
        <v>3450000</v>
      </c>
      <c r="H9" s="12">
        <v>20</v>
      </c>
      <c r="I9" s="1">
        <v>1810000</v>
      </c>
    </row>
    <row r="10" spans="1:9" s="6" customFormat="1" ht="27" customHeight="1" x14ac:dyDescent="0.25">
      <c r="A10" s="4">
        <v>5</v>
      </c>
      <c r="B10" s="9" t="s">
        <v>67</v>
      </c>
      <c r="C10" s="10" t="s">
        <v>23</v>
      </c>
      <c r="D10" s="5">
        <v>20</v>
      </c>
      <c r="E10" s="115">
        <v>958000</v>
      </c>
      <c r="F10" s="105">
        <v>180</v>
      </c>
      <c r="G10" s="106">
        <v>9199000</v>
      </c>
      <c r="H10" s="12">
        <v>30</v>
      </c>
      <c r="I10" s="1">
        <v>1920000</v>
      </c>
    </row>
    <row r="11" spans="1:9" s="6" customFormat="1" ht="27" customHeight="1" x14ac:dyDescent="0.25">
      <c r="A11" s="4">
        <v>6</v>
      </c>
      <c r="B11" s="9" t="s">
        <v>38</v>
      </c>
      <c r="C11" s="10" t="s">
        <v>11</v>
      </c>
      <c r="D11" s="5">
        <v>540</v>
      </c>
      <c r="E11" s="115">
        <v>24675200</v>
      </c>
      <c r="F11" s="105">
        <v>410</v>
      </c>
      <c r="G11" s="106">
        <v>22769000</v>
      </c>
      <c r="H11" s="12">
        <v>250</v>
      </c>
      <c r="I11" s="1">
        <v>16125000</v>
      </c>
    </row>
    <row r="12" spans="1:9" s="6" customFormat="1" ht="27" customHeight="1" x14ac:dyDescent="0.25">
      <c r="A12" s="4">
        <v>7</v>
      </c>
      <c r="B12" s="9" t="s">
        <v>39</v>
      </c>
      <c r="C12" s="10" t="s">
        <v>29</v>
      </c>
      <c r="D12" s="5">
        <v>100</v>
      </c>
      <c r="E12" s="115">
        <v>4802000</v>
      </c>
      <c r="F12" s="105">
        <v>0</v>
      </c>
      <c r="G12" s="106">
        <v>0</v>
      </c>
      <c r="H12" s="12">
        <v>0</v>
      </c>
      <c r="I12" s="1">
        <v>0</v>
      </c>
    </row>
    <row r="13" spans="1:9" s="6" customFormat="1" ht="27" customHeight="1" x14ac:dyDescent="0.25">
      <c r="A13" s="4">
        <v>8</v>
      </c>
      <c r="B13" s="9" t="s">
        <v>69</v>
      </c>
      <c r="C13" s="10" t="s">
        <v>20</v>
      </c>
      <c r="D13" s="5">
        <v>165</v>
      </c>
      <c r="E13" s="115">
        <v>9355500</v>
      </c>
      <c r="F13" s="105">
        <v>75</v>
      </c>
      <c r="G13" s="106">
        <v>4252500</v>
      </c>
      <c r="H13" s="12">
        <v>0</v>
      </c>
      <c r="I13" s="1">
        <v>0</v>
      </c>
    </row>
    <row r="14" spans="1:9" s="6" customFormat="1" ht="27" customHeight="1" x14ac:dyDescent="0.25">
      <c r="A14" s="4">
        <v>9</v>
      </c>
      <c r="B14" s="9" t="s">
        <v>68</v>
      </c>
      <c r="C14" s="8" t="s">
        <v>19</v>
      </c>
      <c r="D14" s="5">
        <v>155</v>
      </c>
      <c r="E14" s="115">
        <v>8641000</v>
      </c>
      <c r="F14" s="105">
        <v>295</v>
      </c>
      <c r="G14" s="106">
        <v>18525000</v>
      </c>
      <c r="H14" s="12">
        <v>50</v>
      </c>
      <c r="I14" s="1">
        <v>3825000</v>
      </c>
    </row>
    <row r="15" spans="1:9" s="6" customFormat="1" ht="27" customHeight="1" x14ac:dyDescent="0.25">
      <c r="A15" s="4">
        <v>10</v>
      </c>
      <c r="B15" s="9" t="s">
        <v>70</v>
      </c>
      <c r="C15" s="8" t="s">
        <v>24</v>
      </c>
      <c r="D15" s="5">
        <v>180</v>
      </c>
      <c r="E15" s="115">
        <v>9760900</v>
      </c>
      <c r="F15" s="105">
        <v>200</v>
      </c>
      <c r="G15" s="106">
        <v>13771000</v>
      </c>
      <c r="H15" s="12">
        <v>100</v>
      </c>
      <c r="I15" s="1">
        <v>7900000</v>
      </c>
    </row>
    <row r="16" spans="1:9" s="6" customFormat="1" ht="27" customHeight="1" x14ac:dyDescent="0.25">
      <c r="A16" s="4">
        <v>11</v>
      </c>
      <c r="B16" s="9" t="s">
        <v>40</v>
      </c>
      <c r="C16" s="10" t="s">
        <v>5</v>
      </c>
      <c r="D16" s="5">
        <v>600</v>
      </c>
      <c r="E16" s="115">
        <v>33102000</v>
      </c>
      <c r="F16" s="105">
        <v>209</v>
      </c>
      <c r="G16" s="106">
        <v>14080500</v>
      </c>
      <c r="H16" s="12">
        <v>141</v>
      </c>
      <c r="I16" s="1">
        <v>11209500</v>
      </c>
    </row>
    <row r="17" spans="1:9" s="6" customFormat="1" ht="27" customHeight="1" x14ac:dyDescent="0.25">
      <c r="A17" s="4">
        <v>12</v>
      </c>
      <c r="B17" s="9" t="s">
        <v>72</v>
      </c>
      <c r="C17" s="8" t="s">
        <v>25</v>
      </c>
      <c r="D17" s="5">
        <v>65</v>
      </c>
      <c r="E17" s="115">
        <v>4652900</v>
      </c>
      <c r="F17" s="105">
        <v>145</v>
      </c>
      <c r="G17" s="106">
        <v>12789000</v>
      </c>
      <c r="H17" s="12">
        <v>40</v>
      </c>
      <c r="I17" s="1">
        <v>4000000</v>
      </c>
    </row>
    <row r="18" spans="1:9" s="6" customFormat="1" ht="27" customHeight="1" x14ac:dyDescent="0.25">
      <c r="A18" s="4">
        <v>13</v>
      </c>
      <c r="B18" s="9" t="s">
        <v>41</v>
      </c>
      <c r="C18" s="10" t="s">
        <v>12</v>
      </c>
      <c r="D18" s="5">
        <v>1375</v>
      </c>
      <c r="E18" s="115">
        <v>83864650</v>
      </c>
      <c r="F18" s="105">
        <v>580</v>
      </c>
      <c r="G18" s="106">
        <v>42930000</v>
      </c>
      <c r="H18" s="12">
        <v>850</v>
      </c>
      <c r="I18" s="1">
        <v>71825000</v>
      </c>
    </row>
    <row r="19" spans="1:9" s="6" customFormat="1" ht="27" customHeight="1" x14ac:dyDescent="0.25">
      <c r="A19" s="4">
        <v>14</v>
      </c>
      <c r="B19" s="9" t="s">
        <v>42</v>
      </c>
      <c r="C19" s="10" t="s">
        <v>16</v>
      </c>
      <c r="D19" s="5">
        <v>1850</v>
      </c>
      <c r="E19" s="115">
        <v>120425900</v>
      </c>
      <c r="F19" s="105">
        <v>770</v>
      </c>
      <c r="G19" s="106">
        <v>59336000</v>
      </c>
      <c r="H19" s="12">
        <v>1500</v>
      </c>
      <c r="I19" s="1">
        <v>135000000</v>
      </c>
    </row>
    <row r="20" spans="1:9" s="6" customFormat="1" ht="27" customHeight="1" x14ac:dyDescent="0.25">
      <c r="A20" s="4">
        <v>15</v>
      </c>
      <c r="B20" s="9" t="s">
        <v>44</v>
      </c>
      <c r="C20" s="10" t="s">
        <v>26</v>
      </c>
      <c r="D20" s="5"/>
      <c r="E20" s="115"/>
      <c r="F20" s="105">
        <v>100</v>
      </c>
      <c r="G20" s="106">
        <v>7210000</v>
      </c>
      <c r="H20" s="12"/>
      <c r="I20" s="1"/>
    </row>
    <row r="21" spans="1:9" s="6" customFormat="1" ht="27" customHeight="1" x14ac:dyDescent="0.25">
      <c r="A21" s="4">
        <v>16</v>
      </c>
      <c r="B21" s="9" t="s">
        <v>45</v>
      </c>
      <c r="C21" s="10" t="s">
        <v>33</v>
      </c>
      <c r="D21" s="5"/>
      <c r="E21" s="115"/>
      <c r="F21" s="105">
        <v>100</v>
      </c>
      <c r="G21" s="106">
        <v>7320000</v>
      </c>
      <c r="H21" s="12"/>
      <c r="I21" s="1"/>
    </row>
    <row r="22" spans="1:9" s="6" customFormat="1" ht="27" customHeight="1" x14ac:dyDescent="0.25">
      <c r="A22" s="4">
        <v>17</v>
      </c>
      <c r="B22" s="9" t="s">
        <v>74</v>
      </c>
      <c r="C22" s="8" t="s">
        <v>17</v>
      </c>
      <c r="D22" s="5">
        <v>425</v>
      </c>
      <c r="E22" s="115">
        <v>42016000</v>
      </c>
      <c r="F22" s="105">
        <v>104</v>
      </c>
      <c r="G22" s="106">
        <v>12928500</v>
      </c>
      <c r="H22" s="12"/>
      <c r="I22" s="1"/>
    </row>
    <row r="23" spans="1:9" s="6" customFormat="1" ht="27" customHeight="1" x14ac:dyDescent="0.25">
      <c r="A23" s="4">
        <v>18</v>
      </c>
      <c r="B23" s="9" t="s">
        <v>75</v>
      </c>
      <c r="C23" s="8" t="s">
        <v>13</v>
      </c>
      <c r="D23" s="5">
        <v>235</v>
      </c>
      <c r="E23" s="115">
        <v>24040500</v>
      </c>
      <c r="F23" s="105">
        <v>65</v>
      </c>
      <c r="G23" s="106">
        <v>6649500</v>
      </c>
      <c r="H23" s="12"/>
      <c r="I23" s="1"/>
    </row>
    <row r="24" spans="1:9" s="6" customFormat="1" ht="27" customHeight="1" x14ac:dyDescent="0.25">
      <c r="A24" s="4">
        <v>19</v>
      </c>
      <c r="B24" s="9" t="s">
        <v>43</v>
      </c>
      <c r="C24" s="10" t="s">
        <v>15</v>
      </c>
      <c r="D24" s="5">
        <v>100</v>
      </c>
      <c r="E24" s="115">
        <v>11440000</v>
      </c>
      <c r="F24" s="105">
        <v>100</v>
      </c>
      <c r="G24" s="106">
        <v>11440000</v>
      </c>
      <c r="H24" s="12">
        <v>110</v>
      </c>
      <c r="I24" s="1">
        <v>17490000</v>
      </c>
    </row>
    <row r="25" spans="1:9" s="6" customFormat="1" ht="27" customHeight="1" x14ac:dyDescent="0.25">
      <c r="A25" s="4">
        <v>20</v>
      </c>
      <c r="B25" s="9" t="s">
        <v>46</v>
      </c>
      <c r="C25" s="10" t="s">
        <v>21</v>
      </c>
      <c r="D25" s="5">
        <v>545</v>
      </c>
      <c r="E25" s="115">
        <v>43836000</v>
      </c>
      <c r="F25" s="105">
        <v>315</v>
      </c>
      <c r="G25" s="106">
        <v>31719000</v>
      </c>
      <c r="H25" s="12">
        <v>280</v>
      </c>
      <c r="I25" s="1">
        <v>33040000</v>
      </c>
    </row>
    <row r="26" spans="1:9" s="6" customFormat="1" ht="27" customHeight="1" x14ac:dyDescent="0.25">
      <c r="A26" s="4">
        <v>21</v>
      </c>
      <c r="B26" s="9" t="s">
        <v>47</v>
      </c>
      <c r="C26" s="10" t="s">
        <v>10</v>
      </c>
      <c r="D26" s="5">
        <v>1029</v>
      </c>
      <c r="E26" s="115">
        <v>83480880</v>
      </c>
      <c r="F26" s="105">
        <v>460</v>
      </c>
      <c r="G26" s="106">
        <v>50340000</v>
      </c>
      <c r="H26" s="12">
        <v>450</v>
      </c>
      <c r="I26" s="1">
        <v>53550000</v>
      </c>
    </row>
    <row r="27" spans="1:9" s="6" customFormat="1" ht="27" customHeight="1" x14ac:dyDescent="0.25">
      <c r="A27" s="4">
        <v>22</v>
      </c>
      <c r="B27" s="9" t="s">
        <v>48</v>
      </c>
      <c r="C27" s="10" t="s">
        <v>34</v>
      </c>
      <c r="D27" s="5">
        <v>235</v>
      </c>
      <c r="E27" s="115">
        <v>21575500</v>
      </c>
      <c r="F27" s="105">
        <v>275</v>
      </c>
      <c r="G27" s="106">
        <v>29969500</v>
      </c>
      <c r="H27" s="12">
        <v>130</v>
      </c>
      <c r="I27" s="1">
        <v>16640000</v>
      </c>
    </row>
    <row r="28" spans="1:9" s="6" customFormat="1" ht="27" customHeight="1" x14ac:dyDescent="0.25">
      <c r="A28" s="4">
        <v>23</v>
      </c>
      <c r="B28" s="9" t="s">
        <v>89</v>
      </c>
      <c r="C28" s="10" t="s">
        <v>98</v>
      </c>
      <c r="D28" s="5"/>
      <c r="E28" s="115"/>
      <c r="F28" s="105">
        <v>0</v>
      </c>
      <c r="G28" s="106">
        <v>0</v>
      </c>
      <c r="H28" s="12"/>
      <c r="I28" s="1"/>
    </row>
    <row r="29" spans="1:9" s="6" customFormat="1" ht="27" customHeight="1" x14ac:dyDescent="0.25">
      <c r="A29" s="4">
        <v>24</v>
      </c>
      <c r="B29" s="9" t="s">
        <v>90</v>
      </c>
      <c r="C29" s="10" t="s">
        <v>91</v>
      </c>
      <c r="D29" s="5"/>
      <c r="E29" s="115"/>
      <c r="F29" s="105">
        <v>20</v>
      </c>
      <c r="G29" s="106">
        <v>2500000</v>
      </c>
      <c r="H29" s="12">
        <v>40</v>
      </c>
      <c r="I29" s="1">
        <v>5600000</v>
      </c>
    </row>
    <row r="30" spans="1:9" s="6" customFormat="1" ht="27" customHeight="1" x14ac:dyDescent="0.25">
      <c r="A30" s="4">
        <v>25</v>
      </c>
      <c r="B30" s="9" t="s">
        <v>49</v>
      </c>
      <c r="C30" s="10" t="s">
        <v>7</v>
      </c>
      <c r="D30" s="5">
        <v>520</v>
      </c>
      <c r="E30" s="115">
        <v>50849700</v>
      </c>
      <c r="F30" s="105">
        <v>413</v>
      </c>
      <c r="G30" s="106">
        <v>49506000</v>
      </c>
      <c r="H30" s="12">
        <v>300</v>
      </c>
      <c r="I30" s="1">
        <v>40350000</v>
      </c>
    </row>
    <row r="31" spans="1:9" s="6" customFormat="1" ht="27" customHeight="1" x14ac:dyDescent="0.25">
      <c r="A31" s="4">
        <v>26</v>
      </c>
      <c r="B31" s="9" t="s">
        <v>50</v>
      </c>
      <c r="C31" s="10" t="s">
        <v>8</v>
      </c>
      <c r="D31" s="5">
        <v>2148</v>
      </c>
      <c r="E31" s="115">
        <v>213504760</v>
      </c>
      <c r="F31" s="105">
        <v>780</v>
      </c>
      <c r="G31" s="106">
        <v>102199000</v>
      </c>
      <c r="H31" s="12">
        <v>1250</v>
      </c>
      <c r="I31" s="1">
        <v>173750000</v>
      </c>
    </row>
    <row r="32" spans="1:9" s="6" customFormat="1" ht="27" customHeight="1" x14ac:dyDescent="0.25">
      <c r="A32" s="4">
        <v>27</v>
      </c>
      <c r="B32" s="9" t="s">
        <v>51</v>
      </c>
      <c r="C32" s="10" t="s">
        <v>9</v>
      </c>
      <c r="D32" s="5">
        <v>399</v>
      </c>
      <c r="E32" s="115">
        <v>46860900</v>
      </c>
      <c r="F32" s="105">
        <v>328</v>
      </c>
      <c r="G32" s="106">
        <v>44084000</v>
      </c>
      <c r="H32" s="12">
        <v>332</v>
      </c>
      <c r="I32" s="1">
        <v>55776000</v>
      </c>
    </row>
    <row r="33" spans="1:9" s="6" customFormat="1" ht="27" customHeight="1" x14ac:dyDescent="0.25">
      <c r="A33" s="4">
        <v>28</v>
      </c>
      <c r="B33" s="9" t="s">
        <v>52</v>
      </c>
      <c r="C33" s="10" t="s">
        <v>97</v>
      </c>
      <c r="D33" s="5">
        <v>1390</v>
      </c>
      <c r="E33" s="115">
        <v>174923600</v>
      </c>
      <c r="F33" s="105">
        <v>550</v>
      </c>
      <c r="G33" s="106">
        <v>88820000</v>
      </c>
      <c r="H33" s="12">
        <v>580</v>
      </c>
      <c r="I33" s="1">
        <v>99180000</v>
      </c>
    </row>
    <row r="34" spans="1:9" s="6" customFormat="1" ht="27" customHeight="1" x14ac:dyDescent="0.25">
      <c r="A34" s="4">
        <v>29</v>
      </c>
      <c r="B34" s="9" t="s">
        <v>53</v>
      </c>
      <c r="C34" s="10" t="s">
        <v>96</v>
      </c>
      <c r="D34" s="5">
        <v>467</v>
      </c>
      <c r="E34" s="115">
        <v>63915800</v>
      </c>
      <c r="F34" s="105">
        <v>83</v>
      </c>
      <c r="G34" s="106">
        <v>14244000</v>
      </c>
      <c r="H34" s="12">
        <v>200</v>
      </c>
      <c r="I34" s="1">
        <v>38100000</v>
      </c>
    </row>
    <row r="35" spans="1:9" s="6" customFormat="1" ht="27" customHeight="1" x14ac:dyDescent="0.25">
      <c r="A35" s="4">
        <v>30</v>
      </c>
      <c r="B35" s="9" t="s">
        <v>78</v>
      </c>
      <c r="C35" s="10" t="s">
        <v>94</v>
      </c>
      <c r="D35" s="5">
        <v>380</v>
      </c>
      <c r="E35" s="115">
        <v>58523940</v>
      </c>
      <c r="F35" s="105">
        <v>160</v>
      </c>
      <c r="G35" s="106">
        <v>30930000</v>
      </c>
      <c r="H35" s="12">
        <v>120</v>
      </c>
      <c r="I35" s="1">
        <v>24720000</v>
      </c>
    </row>
    <row r="36" spans="1:9" s="6" customFormat="1" ht="27" customHeight="1" x14ac:dyDescent="0.25">
      <c r="A36" s="4">
        <v>31</v>
      </c>
      <c r="B36" s="9" t="s">
        <v>54</v>
      </c>
      <c r="C36" s="10" t="s">
        <v>99</v>
      </c>
      <c r="D36" s="5">
        <v>376</v>
      </c>
      <c r="E36" s="115">
        <v>54227320</v>
      </c>
      <c r="F36" s="105">
        <v>110</v>
      </c>
      <c r="G36" s="106">
        <v>20630000</v>
      </c>
      <c r="H36" s="12">
        <v>200</v>
      </c>
      <c r="I36" s="1">
        <v>41200000</v>
      </c>
    </row>
    <row r="37" spans="1:9" s="6" customFormat="1" ht="27" customHeight="1" x14ac:dyDescent="0.25">
      <c r="A37" s="4">
        <v>32</v>
      </c>
      <c r="B37" s="9" t="s">
        <v>55</v>
      </c>
      <c r="C37" s="10" t="s">
        <v>100</v>
      </c>
      <c r="D37" s="5">
        <v>2149</v>
      </c>
      <c r="E37" s="115">
        <v>342707760</v>
      </c>
      <c r="F37" s="105">
        <v>393</v>
      </c>
      <c r="G37" s="106">
        <v>78369500</v>
      </c>
      <c r="H37" s="12">
        <v>1159</v>
      </c>
      <c r="I37" s="1">
        <v>247446500</v>
      </c>
    </row>
    <row r="38" spans="1:9" s="6" customFormat="1" ht="27" customHeight="1" x14ac:dyDescent="0.25">
      <c r="A38" s="4">
        <v>33</v>
      </c>
      <c r="B38" s="9" t="s">
        <v>79</v>
      </c>
      <c r="C38" s="8" t="s">
        <v>101</v>
      </c>
      <c r="D38" s="5">
        <v>345</v>
      </c>
      <c r="E38" s="115">
        <v>57148800</v>
      </c>
      <c r="F38" s="105">
        <v>235</v>
      </c>
      <c r="G38" s="106">
        <v>42760000</v>
      </c>
      <c r="H38" s="12">
        <v>230</v>
      </c>
      <c r="I38" s="1">
        <v>49795000</v>
      </c>
    </row>
    <row r="39" spans="1:9" s="6" customFormat="1" ht="27" customHeight="1" x14ac:dyDescent="0.25">
      <c r="A39" s="4">
        <v>34</v>
      </c>
      <c r="B39" s="9" t="s">
        <v>73</v>
      </c>
      <c r="C39" s="8" t="s">
        <v>111</v>
      </c>
      <c r="D39" s="5"/>
      <c r="E39" s="115"/>
      <c r="F39" s="105">
        <v>0</v>
      </c>
      <c r="G39" s="106">
        <v>0</v>
      </c>
      <c r="H39" s="12"/>
      <c r="I39" s="1"/>
    </row>
    <row r="40" spans="1:9" s="6" customFormat="1" ht="27" customHeight="1" x14ac:dyDescent="0.25">
      <c r="A40" s="4">
        <v>35</v>
      </c>
      <c r="B40" s="9" t="s">
        <v>80</v>
      </c>
      <c r="C40" s="10" t="s">
        <v>27</v>
      </c>
      <c r="D40" s="5">
        <v>10</v>
      </c>
      <c r="E40" s="115">
        <v>1912000</v>
      </c>
      <c r="F40" s="105">
        <v>60</v>
      </c>
      <c r="G40" s="106">
        <v>12058000</v>
      </c>
      <c r="H40" s="12">
        <v>70</v>
      </c>
      <c r="I40" s="1">
        <v>17290000</v>
      </c>
    </row>
    <row r="41" spans="1:9" s="6" customFormat="1" ht="27" customHeight="1" x14ac:dyDescent="0.25">
      <c r="A41" s="4">
        <v>36</v>
      </c>
      <c r="B41" s="9" t="s">
        <v>56</v>
      </c>
      <c r="C41" s="10" t="s">
        <v>102</v>
      </c>
      <c r="D41" s="5">
        <v>610</v>
      </c>
      <c r="E41" s="115">
        <v>114427500</v>
      </c>
      <c r="F41" s="105">
        <v>320</v>
      </c>
      <c r="G41" s="106">
        <v>77850000</v>
      </c>
      <c r="H41" s="12">
        <v>310</v>
      </c>
      <c r="I41" s="1">
        <v>79360000</v>
      </c>
    </row>
    <row r="42" spans="1:9" s="6" customFormat="1" ht="27" customHeight="1" x14ac:dyDescent="0.25">
      <c r="A42" s="4">
        <v>37</v>
      </c>
      <c r="B42" s="9" t="s">
        <v>81</v>
      </c>
      <c r="C42" s="10" t="s">
        <v>103</v>
      </c>
      <c r="D42" s="5">
        <v>50</v>
      </c>
      <c r="E42" s="115">
        <v>9940000</v>
      </c>
      <c r="F42" s="105">
        <v>60</v>
      </c>
      <c r="G42" s="106">
        <v>12515000</v>
      </c>
      <c r="H42" s="12">
        <v>20</v>
      </c>
      <c r="I42" s="1">
        <v>5150000</v>
      </c>
    </row>
    <row r="43" spans="1:9" s="6" customFormat="1" ht="27" customHeight="1" x14ac:dyDescent="0.25">
      <c r="A43" s="4">
        <v>38</v>
      </c>
      <c r="B43" s="9" t="s">
        <v>83</v>
      </c>
      <c r="C43" s="10" t="s">
        <v>32</v>
      </c>
      <c r="D43" s="5">
        <v>10</v>
      </c>
      <c r="E43" s="115">
        <v>1906100</v>
      </c>
      <c r="F43" s="105">
        <v>30</v>
      </c>
      <c r="G43" s="106">
        <v>8370000</v>
      </c>
      <c r="H43" s="12"/>
      <c r="I43" s="1"/>
    </row>
    <row r="44" spans="1:9" s="6" customFormat="1" ht="27" customHeight="1" x14ac:dyDescent="0.25">
      <c r="A44" s="4">
        <v>39</v>
      </c>
      <c r="B44" s="9" t="s">
        <v>82</v>
      </c>
      <c r="C44" s="8" t="s">
        <v>104</v>
      </c>
      <c r="D44" s="5"/>
      <c r="E44" s="115"/>
      <c r="F44" s="105">
        <v>0</v>
      </c>
      <c r="G44" s="106">
        <v>0</v>
      </c>
      <c r="H44" s="12"/>
      <c r="I44" s="1"/>
    </row>
    <row r="45" spans="1:9" s="6" customFormat="1" ht="27" customHeight="1" x14ac:dyDescent="0.25">
      <c r="A45" s="4">
        <v>40</v>
      </c>
      <c r="B45" s="9" t="s">
        <v>57</v>
      </c>
      <c r="C45" s="10" t="s">
        <v>95</v>
      </c>
      <c r="D45" s="5">
        <v>300</v>
      </c>
      <c r="E45" s="115">
        <v>60730500</v>
      </c>
      <c r="F45" s="105">
        <v>160</v>
      </c>
      <c r="G45" s="106">
        <v>41050000</v>
      </c>
      <c r="H45" s="12">
        <v>120</v>
      </c>
      <c r="I45" s="1">
        <v>32940000</v>
      </c>
    </row>
    <row r="46" spans="1:9" s="6" customFormat="1" ht="27" customHeight="1" x14ac:dyDescent="0.25">
      <c r="A46" s="4">
        <v>41</v>
      </c>
      <c r="B46" s="9" t="s">
        <v>84</v>
      </c>
      <c r="C46" s="10" t="s">
        <v>105</v>
      </c>
      <c r="D46" s="5"/>
      <c r="E46" s="115"/>
      <c r="F46" s="105">
        <v>20</v>
      </c>
      <c r="G46" s="106">
        <v>5640000</v>
      </c>
      <c r="H46" s="12">
        <v>20</v>
      </c>
      <c r="I46" s="1">
        <v>5640000</v>
      </c>
    </row>
    <row r="47" spans="1:9" s="6" customFormat="1" ht="27" customHeight="1" x14ac:dyDescent="0.25">
      <c r="A47" s="4">
        <v>42</v>
      </c>
      <c r="B47" s="9" t="s">
        <v>76</v>
      </c>
      <c r="C47" s="10" t="s">
        <v>112</v>
      </c>
      <c r="D47" s="5">
        <v>565</v>
      </c>
      <c r="E47" s="115">
        <v>49368400</v>
      </c>
      <c r="F47" s="105">
        <v>265</v>
      </c>
      <c r="G47" s="106">
        <v>29949500</v>
      </c>
      <c r="H47" s="12">
        <v>330</v>
      </c>
      <c r="I47" s="1">
        <v>40260000</v>
      </c>
    </row>
    <row r="48" spans="1:9" s="6" customFormat="1" ht="27" customHeight="1" x14ac:dyDescent="0.25">
      <c r="A48" s="4">
        <v>43</v>
      </c>
      <c r="B48" s="9" t="s">
        <v>58</v>
      </c>
      <c r="C48" s="10" t="s">
        <v>106</v>
      </c>
      <c r="D48" s="5">
        <v>160</v>
      </c>
      <c r="E48" s="115">
        <v>41916000</v>
      </c>
      <c r="F48" s="105">
        <v>80</v>
      </c>
      <c r="G48" s="106">
        <v>25799000</v>
      </c>
      <c r="H48" s="12">
        <v>50</v>
      </c>
      <c r="I48" s="1">
        <v>18175000</v>
      </c>
    </row>
    <row r="49" spans="1:9" s="6" customFormat="1" ht="27" customHeight="1" x14ac:dyDescent="0.25">
      <c r="A49" s="4">
        <v>44</v>
      </c>
      <c r="B49" s="9" t="s">
        <v>85</v>
      </c>
      <c r="C49" s="10" t="s">
        <v>121</v>
      </c>
      <c r="D49" s="5">
        <v>7</v>
      </c>
      <c r="E49" s="115">
        <v>1673000</v>
      </c>
      <c r="F49" s="105">
        <v>80</v>
      </c>
      <c r="G49" s="106">
        <v>22621000</v>
      </c>
      <c r="H49" s="12">
        <v>50</v>
      </c>
      <c r="I49" s="1">
        <v>17255000</v>
      </c>
    </row>
    <row r="50" spans="1:9" s="6" customFormat="1" ht="27" customHeight="1" x14ac:dyDescent="0.25">
      <c r="A50" s="4">
        <v>45</v>
      </c>
      <c r="B50" s="9" t="s">
        <v>59</v>
      </c>
      <c r="C50" s="10" t="s">
        <v>113</v>
      </c>
      <c r="D50" s="5">
        <v>20</v>
      </c>
      <c r="E50" s="115">
        <v>3500000</v>
      </c>
      <c r="F50" s="105">
        <v>0</v>
      </c>
      <c r="G50" s="106">
        <v>0</v>
      </c>
      <c r="H50" s="12">
        <v>20</v>
      </c>
      <c r="I50" s="1">
        <v>4440000</v>
      </c>
    </row>
    <row r="51" spans="1:9" s="6" customFormat="1" ht="27" customHeight="1" x14ac:dyDescent="0.25">
      <c r="A51" s="4">
        <v>46</v>
      </c>
      <c r="B51" s="9" t="s">
        <v>60</v>
      </c>
      <c r="C51" s="10" t="s">
        <v>107</v>
      </c>
      <c r="D51" s="5">
        <v>500</v>
      </c>
      <c r="E51" s="115">
        <v>6958000</v>
      </c>
      <c r="F51" s="105">
        <v>300</v>
      </c>
      <c r="G51" s="106">
        <v>5700000</v>
      </c>
      <c r="H51" s="12">
        <v>710</v>
      </c>
      <c r="I51" s="1">
        <v>14200000</v>
      </c>
    </row>
    <row r="52" spans="1:9" s="6" customFormat="1" ht="27" customHeight="1" x14ac:dyDescent="0.25">
      <c r="A52" s="4">
        <v>47</v>
      </c>
      <c r="B52" s="9" t="s">
        <v>61</v>
      </c>
      <c r="C52" s="10" t="s">
        <v>114</v>
      </c>
      <c r="D52" s="5">
        <v>10</v>
      </c>
      <c r="E52" s="115">
        <v>2405000</v>
      </c>
      <c r="F52" s="105">
        <v>0</v>
      </c>
      <c r="G52" s="106">
        <v>0</v>
      </c>
      <c r="H52" s="12"/>
      <c r="I52" s="1"/>
    </row>
    <row r="53" spans="1:9" s="6" customFormat="1" ht="27" customHeight="1" x14ac:dyDescent="0.25">
      <c r="A53" s="4">
        <v>48</v>
      </c>
      <c r="B53" s="9" t="s">
        <v>86</v>
      </c>
      <c r="C53" s="10" t="s">
        <v>115</v>
      </c>
      <c r="D53" s="5">
        <v>20</v>
      </c>
      <c r="E53" s="115">
        <v>5230000</v>
      </c>
      <c r="F53" s="105">
        <v>35</v>
      </c>
      <c r="G53" s="106">
        <v>9950000</v>
      </c>
      <c r="H53" s="12">
        <v>60</v>
      </c>
      <c r="I53" s="1">
        <v>20340000</v>
      </c>
    </row>
    <row r="54" spans="1:9" s="6" customFormat="1" ht="27" customHeight="1" x14ac:dyDescent="0.25">
      <c r="A54" s="4">
        <v>49</v>
      </c>
      <c r="B54" s="9" t="s">
        <v>62</v>
      </c>
      <c r="C54" s="10" t="s">
        <v>108</v>
      </c>
      <c r="D54" s="5"/>
      <c r="E54" s="115"/>
      <c r="F54" s="105">
        <v>0</v>
      </c>
      <c r="G54" s="106">
        <v>0</v>
      </c>
      <c r="H54" s="12"/>
      <c r="I54" s="1"/>
    </row>
    <row r="55" spans="1:9" s="6" customFormat="1" ht="27" customHeight="1" x14ac:dyDescent="0.25">
      <c r="A55" s="4">
        <v>50</v>
      </c>
      <c r="B55" s="9" t="s">
        <v>63</v>
      </c>
      <c r="C55" s="10" t="s">
        <v>109</v>
      </c>
      <c r="D55" s="5">
        <v>300</v>
      </c>
      <c r="E55" s="115">
        <v>4500000</v>
      </c>
      <c r="F55" s="105">
        <v>380</v>
      </c>
      <c r="G55" s="106">
        <v>7200000</v>
      </c>
      <c r="H55" s="12">
        <v>810</v>
      </c>
      <c r="I55" s="1">
        <v>16200000</v>
      </c>
    </row>
    <row r="56" spans="1:9" s="6" customFormat="1" ht="27" customHeight="1" x14ac:dyDescent="0.25">
      <c r="A56" s="4">
        <v>51</v>
      </c>
      <c r="B56" s="9" t="s">
        <v>64</v>
      </c>
      <c r="C56" s="10" t="s">
        <v>116</v>
      </c>
      <c r="D56" s="5"/>
      <c r="E56" s="115"/>
      <c r="F56" s="105">
        <v>10</v>
      </c>
      <c r="G56" s="106">
        <v>1765000</v>
      </c>
      <c r="H56" s="12"/>
      <c r="I56" s="1"/>
    </row>
    <row r="57" spans="1:9" s="6" customFormat="1" ht="27" customHeight="1" x14ac:dyDescent="0.25">
      <c r="A57" s="4">
        <v>52</v>
      </c>
      <c r="B57" s="9" t="s">
        <v>87</v>
      </c>
      <c r="C57" s="10" t="s">
        <v>122</v>
      </c>
      <c r="D57" s="5">
        <v>10</v>
      </c>
      <c r="E57" s="115">
        <v>1890000</v>
      </c>
      <c r="F57" s="105">
        <v>0</v>
      </c>
      <c r="G57" s="106">
        <v>0</v>
      </c>
      <c r="H57" s="12"/>
      <c r="I57" s="1"/>
    </row>
    <row r="58" spans="1:9" s="6" customFormat="1" ht="27" customHeight="1" x14ac:dyDescent="0.25">
      <c r="A58" s="4">
        <v>53</v>
      </c>
      <c r="B58" s="9" t="s">
        <v>92</v>
      </c>
      <c r="C58" s="10" t="s">
        <v>123</v>
      </c>
      <c r="D58" s="5"/>
      <c r="E58" s="115"/>
      <c r="F58" s="105">
        <v>10</v>
      </c>
      <c r="G58" s="106">
        <v>2100000</v>
      </c>
      <c r="H58" s="12">
        <v>30</v>
      </c>
      <c r="I58" s="1">
        <v>8145000</v>
      </c>
    </row>
    <row r="59" spans="1:9" s="6" customFormat="1" ht="27" customHeight="1" x14ac:dyDescent="0.25">
      <c r="A59" s="4">
        <v>54</v>
      </c>
      <c r="B59" s="9" t="s">
        <v>88</v>
      </c>
      <c r="C59" s="10" t="s">
        <v>14</v>
      </c>
      <c r="D59" s="5">
        <v>1865</v>
      </c>
      <c r="E59" s="115">
        <v>75687600</v>
      </c>
      <c r="F59" s="105">
        <v>835</v>
      </c>
      <c r="G59" s="106">
        <v>40504000</v>
      </c>
      <c r="H59" s="12">
        <v>1850</v>
      </c>
      <c r="I59" s="1">
        <v>102675000</v>
      </c>
    </row>
    <row r="60" spans="1:9" s="6" customFormat="1" ht="27" customHeight="1" x14ac:dyDescent="0.25">
      <c r="A60" s="4">
        <v>55</v>
      </c>
      <c r="B60" s="9" t="s">
        <v>65</v>
      </c>
      <c r="C60" s="10" t="s">
        <v>118</v>
      </c>
      <c r="D60" s="5"/>
      <c r="E60" s="115"/>
      <c r="F60" s="105">
        <v>20</v>
      </c>
      <c r="G60" s="106">
        <v>2100000</v>
      </c>
      <c r="H60" s="12">
        <v>70</v>
      </c>
      <c r="I60" s="1">
        <v>9765000</v>
      </c>
    </row>
    <row r="61" spans="1:9" s="6" customFormat="1" ht="27" customHeight="1" x14ac:dyDescent="0.25">
      <c r="A61" s="4">
        <v>56</v>
      </c>
      <c r="B61" s="9" t="s">
        <v>77</v>
      </c>
      <c r="C61" s="10" t="s">
        <v>117</v>
      </c>
      <c r="D61" s="5"/>
      <c r="E61" s="115"/>
      <c r="F61" s="105">
        <v>50</v>
      </c>
      <c r="G61" s="106">
        <v>11539000</v>
      </c>
      <c r="H61" s="12">
        <v>30</v>
      </c>
      <c r="I61" s="1">
        <v>7035000</v>
      </c>
    </row>
    <row r="62" spans="1:9" s="2" customFormat="1" ht="27" customHeight="1" x14ac:dyDescent="0.25">
      <c r="A62" s="4">
        <v>57</v>
      </c>
      <c r="B62" s="9" t="s">
        <v>93</v>
      </c>
      <c r="C62" s="10" t="s">
        <v>110</v>
      </c>
      <c r="D62" s="5"/>
      <c r="E62" s="115"/>
      <c r="F62" s="105">
        <v>0</v>
      </c>
      <c r="G62" s="106">
        <v>0</v>
      </c>
      <c r="H62" s="12">
        <v>80</v>
      </c>
      <c r="I62" s="1">
        <v>13200000</v>
      </c>
    </row>
    <row r="63" spans="1:9" s="2" customFormat="1" ht="27" customHeight="1" x14ac:dyDescent="0.25">
      <c r="A63" s="85" t="s">
        <v>30</v>
      </c>
      <c r="B63" s="85"/>
      <c r="C63" s="85"/>
      <c r="D63" s="12">
        <f>SUM(D6:D62)</f>
        <v>25345</v>
      </c>
      <c r="E63" s="53">
        <f>SUM(E6:E62)</f>
        <v>2178463960</v>
      </c>
      <c r="F63" s="108">
        <f>SUM(F6:F62)</f>
        <v>13619</v>
      </c>
      <c r="G63" s="110">
        <f>SUM(G6:G62)</f>
        <v>1318263500</v>
      </c>
      <c r="H63" s="12">
        <f>SUM(H6:H62)</f>
        <v>17563</v>
      </c>
      <c r="I63" s="47">
        <f>SUM(I6:I62)</f>
        <v>1820999500</v>
      </c>
    </row>
    <row r="67" spans="1:9" x14ac:dyDescent="0.5">
      <c r="A67" s="13"/>
      <c r="B67" s="13"/>
      <c r="C67" s="13"/>
      <c r="H67" s="13"/>
      <c r="I67" s="13"/>
    </row>
  </sheetData>
  <sortState ref="A4:G38">
    <sortCondition ref="B4:B38"/>
  </sortState>
  <mergeCells count="10">
    <mergeCell ref="A1:I1"/>
    <mergeCell ref="A2:I2"/>
    <mergeCell ref="H3:I3"/>
    <mergeCell ref="D4:E4"/>
    <mergeCell ref="A63:C63"/>
    <mergeCell ref="H4:I4"/>
    <mergeCell ref="A4:A5"/>
    <mergeCell ref="B4:B5"/>
    <mergeCell ref="C4:C5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Power(2021)&amp;(H1-22)compare</vt:lpstr>
      <vt:lpstr>Power (2021)&amp;(H1-22)Sum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UNiQUE</dc:creator>
  <cp:lastModifiedBy>Administrator</cp:lastModifiedBy>
  <cp:lastPrinted>2021-06-24T03:59:57Z</cp:lastPrinted>
  <dcterms:created xsi:type="dcterms:W3CDTF">2016-09-09T02:25:40Z</dcterms:created>
  <dcterms:modified xsi:type="dcterms:W3CDTF">2022-07-15T06:17:39Z</dcterms:modified>
</cp:coreProperties>
</file>