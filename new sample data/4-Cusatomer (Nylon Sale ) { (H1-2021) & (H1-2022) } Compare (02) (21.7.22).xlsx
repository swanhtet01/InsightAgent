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T(H1-21)&amp;amp;(H1-22)Com"/>
    <sheet r:id="rId2" sheetId="2" name="T(Sum)"/>
    <sheet r:id="rId3" sheetId="3" name="E(H1-21)&amp;amp;(H1-22)Com"/>
    <sheet r:id="rId4" sheetId="4" name="E(Sum)"/>
    <sheet r:id="rId5" sheetId="5" name="M(H1-21)&amp;amp;(H1-22)Com"/>
    <sheet r:id="rId6" sheetId="6" name="M(Sum)"/>
    <sheet r:id="rId7" sheetId="7" name="P(H1-21)&amp;amp;(H1-22)Com"/>
    <sheet r:id="rId8" sheetId="8" name="Power(Sum)"/>
    <sheet r:id="rId9" sheetId="9" name="4-Cus(H1-21)"/>
    <sheet r:id="rId10" sheetId="10" name="4-Cus(H1-22)"/>
  </sheets>
  <definedNames>
    <definedName name="_xlnm._FilterDatabase" localSheetId="2">'E(H1-21)&amp;(H1-22)Com'!#REF!</definedName>
    <definedName name="apple">#REF!</definedName>
    <definedName name="_xlnm.Print_Area" localSheetId="2">'E(H1-21)&amp;(H1-22)Com'!#REF!</definedName>
  </definedNames>
  <calcPr fullCalcOnLoad="1"/>
</workbook>
</file>

<file path=xl/sharedStrings.xml><?xml version="1.0" encoding="utf-8"?>
<sst xmlns="http://schemas.openxmlformats.org/spreadsheetml/2006/main" count="1764" uniqueCount="243">
  <si>
    <r>
      <t xml:space="preserve">Yangon Tyre (Nylon) Sale U Tommy </t>
    </r>
    <r>
      <rPr>
        <b/>
        <sz val="11"/>
        <color rgb="FF00b050"/>
        <rFont val="Pyidaungsu"/>
        <family val="2"/>
      </rPr>
      <t>(H1-2022)  Compare</t>
    </r>
  </si>
  <si>
    <t>No.</t>
  </si>
  <si>
    <t>Code</t>
  </si>
  <si>
    <t>Description</t>
  </si>
  <si>
    <t>U Tommy</t>
  </si>
  <si>
    <t>U Eisat</t>
  </si>
  <si>
    <t>U Mg Mg</t>
  </si>
  <si>
    <t>Mann Power</t>
  </si>
  <si>
    <t>Sale (H1-2022)</t>
  </si>
  <si>
    <t>Qty</t>
  </si>
  <si>
    <t>Sale Price</t>
  </si>
  <si>
    <t>Amount</t>
  </si>
  <si>
    <t>050</t>
  </si>
  <si>
    <t>4.00-8 (6PR) With Tube (Rib) (748)</t>
  </si>
  <si>
    <t>046</t>
  </si>
  <si>
    <t>4.00-8 (6PR) With Tube (Lug) (713)</t>
  </si>
  <si>
    <t>14000
20000</t>
  </si>
  <si>
    <t>001</t>
  </si>
  <si>
    <t>5.00-12 (8PR) With Tube (Rib)</t>
  </si>
  <si>
    <t>002</t>
  </si>
  <si>
    <t>5.00-12 (10PR) With Tube (R/L)</t>
  </si>
  <si>
    <t>003</t>
  </si>
  <si>
    <t>6.00-12 (8PR) With Tube (AG) 555</t>
  </si>
  <si>
    <t>004</t>
  </si>
  <si>
    <t>6.00-16 (10PR) With Tube (AG) 555</t>
  </si>
  <si>
    <t>005</t>
  </si>
  <si>
    <t>5.50-13 (8PR) With Tube (Rib)</t>
  </si>
  <si>
    <t>006</t>
  </si>
  <si>
    <t>5.50-13 (12PR) With Tube (Lug)</t>
  </si>
  <si>
    <t>007</t>
  </si>
  <si>
    <t>6.00-13 (8PR) With Tube (Rib) H.W</t>
  </si>
  <si>
    <t>48000
68500</t>
  </si>
  <si>
    <t>008</t>
  </si>
  <si>
    <t>6.00-13 (10PR) With Tube (Rib)</t>
  </si>
  <si>
    <t>009</t>
  </si>
  <si>
    <t>6.00-13 (10PR) With Tube (Lug)</t>
  </si>
  <si>
    <t>51000
76500</t>
  </si>
  <si>
    <t>010</t>
  </si>
  <si>
    <t>6.00-14 (8PR) With Tube (Rib)</t>
  </si>
  <si>
    <t>011</t>
  </si>
  <si>
    <t>6.00-14 (8PR) With Tube (Lug)</t>
  </si>
  <si>
    <t>54000
79500</t>
  </si>
  <si>
    <t>012</t>
  </si>
  <si>
    <t>6.50-14 (10PR) With Tube (Rib)</t>
  </si>
  <si>
    <t>013</t>
  </si>
  <si>
    <t>6.00-15 (10PR) With Tube (Rib)</t>
  </si>
  <si>
    <t>014</t>
  </si>
  <si>
    <t>6.00-15 (10PR) With Tube (Lug)</t>
  </si>
  <si>
    <t>015</t>
  </si>
  <si>
    <t>6.50-15 (12PR) With Tube (Rib)</t>
  </si>
  <si>
    <t>016</t>
  </si>
  <si>
    <t>6.50-15 (12PR) With Tube (Lug)</t>
  </si>
  <si>
    <t>017</t>
  </si>
  <si>
    <t>7.00-15 (10PR) With Tube (Grip)</t>
  </si>
  <si>
    <t>018</t>
  </si>
  <si>
    <t>7.00-15 (14PR) With Tube &amp; Flap (Rib)</t>
  </si>
  <si>
    <t>019</t>
  </si>
  <si>
    <t>7.50-15 (16PR) With Tube &amp; Flap (Rib)</t>
  </si>
  <si>
    <t>020</t>
  </si>
  <si>
    <t>6.50-16 (12PR) With Tube &amp; Flap (Rib)</t>
  </si>
  <si>
    <t>78000
118000</t>
  </si>
  <si>
    <t>021</t>
  </si>
  <si>
    <t>6.50-16 (12PR) With Tube &amp; Flap (Lug)</t>
  </si>
  <si>
    <t>79000
119000</t>
  </si>
  <si>
    <t>022</t>
  </si>
  <si>
    <t>7.00-16 (12PR) With Tube &amp; Flap (Rib) H.W</t>
  </si>
  <si>
    <t>126500
128000</t>
  </si>
  <si>
    <t>023</t>
  </si>
  <si>
    <t>7.00-16 (12PR) With Tube &amp; Flap (Rib) 727</t>
  </si>
  <si>
    <t>024</t>
  </si>
  <si>
    <t>7.00-16 (12PR) With Tube (Grip)</t>
  </si>
  <si>
    <t>98000
140000</t>
  </si>
  <si>
    <t>025</t>
  </si>
  <si>
    <t>7.00-16 (14PR) With Tube &amp; Flap (Rib)</t>
  </si>
  <si>
    <t>026</t>
  </si>
  <si>
    <t>7.00-16 (14PR) With Tube &amp; Flap (Lug)</t>
  </si>
  <si>
    <t>027</t>
  </si>
  <si>
    <t>7.50-16 (16PR) With Tube &amp; Flap (Rib)</t>
  </si>
  <si>
    <t>028</t>
  </si>
  <si>
    <t>7.50-16 (16PR) With Tube &amp; Flap (Lug) 713</t>
  </si>
  <si>
    <t>029</t>
  </si>
  <si>
    <t>7.50-16 (16PR) With Tube &amp; Flap (Lug) 747</t>
  </si>
  <si>
    <t>030</t>
  </si>
  <si>
    <t>8.25-16 (14PR) With Tube &amp; Flap (Rib) H.W</t>
  </si>
  <si>
    <t>031</t>
  </si>
  <si>
    <t>8.25-16 (18PR) With Tube &amp; Flap (Lug) 713</t>
  </si>
  <si>
    <t>032</t>
  </si>
  <si>
    <t>8.25-16 (18PR) With Tube &amp; Flap (Lug) 747</t>
  </si>
  <si>
    <t>033</t>
  </si>
  <si>
    <t>8.25-16 (18PR) With Tube &amp; Flap (Lug) 737</t>
  </si>
  <si>
    <t>228500
216500</t>
  </si>
  <si>
    <t>216500
228500</t>
  </si>
  <si>
    <t>034</t>
  </si>
  <si>
    <t>6.50-20 (8PR) With Tube (AG) 575</t>
  </si>
  <si>
    <t>035</t>
  </si>
  <si>
    <t>8.25-20 (16PR) With Tube &amp; Flap (Rib)</t>
  </si>
  <si>
    <t>177000
247000</t>
  </si>
  <si>
    <t>036</t>
  </si>
  <si>
    <t>8.25-20 (18PR) With Tube &amp; Flap (Lug) 747</t>
  </si>
  <si>
    <t>037</t>
  </si>
  <si>
    <t>8.25-20 (18PR) With Tube &amp; Flap (Lug) 737</t>
  </si>
  <si>
    <t>038</t>
  </si>
  <si>
    <t>9.00-20 (16PR) With Tube &amp; Flap (Rib)</t>
  </si>
  <si>
    <t>194500
279000</t>
  </si>
  <si>
    <t>039</t>
  </si>
  <si>
    <t>9.00-20 (16PR) With Tube &amp; Flap (Lug) 746</t>
  </si>
  <si>
    <t>186000
259500</t>
  </si>
  <si>
    <t>040</t>
  </si>
  <si>
    <t>9.00-20 (18PR) With Tube &amp; Flap (Lug) 747</t>
  </si>
  <si>
    <t>041</t>
  </si>
  <si>
    <t>9.00-20 (18PR) With Tube &amp; Flap (Lug) 737</t>
  </si>
  <si>
    <t>202000
282000</t>
  </si>
  <si>
    <t>042</t>
  </si>
  <si>
    <t>7.50-16 (10PR) With Tube (AG) 555</t>
  </si>
  <si>
    <t>044</t>
  </si>
  <si>
    <t>10.00-20 (18PR) With Tube &amp; Flap (Lug) 747</t>
  </si>
  <si>
    <t>049</t>
  </si>
  <si>
    <t>10.00-20 (18PR) With Tube &amp; Flap (Lug) 737</t>
  </si>
  <si>
    <t>043</t>
  </si>
  <si>
    <t>11.00-20 (18PR) With Tube &amp; Flap (Lug) 747</t>
  </si>
  <si>
    <t>255000
363500</t>
  </si>
  <si>
    <t>045</t>
  </si>
  <si>
    <t>9.5-24 (8PR) With Tube (AG) 357</t>
  </si>
  <si>
    <t>166500
222000</t>
  </si>
  <si>
    <t>056</t>
  </si>
  <si>
    <t>9.5-24 (12PR) With Tube (AG) 357</t>
  </si>
  <si>
    <t>047</t>
  </si>
  <si>
    <t>12.4-24 (8PR) With Tube (AG) 357</t>
  </si>
  <si>
    <t>048</t>
  </si>
  <si>
    <t>12.4-24 (12PR) With Tube (AG) 357</t>
  </si>
  <si>
    <t>248000
339000</t>
  </si>
  <si>
    <t>051</t>
  </si>
  <si>
    <t>8.3-24 (8PR) With Tube (AG) 357</t>
  </si>
  <si>
    <t>130000
176500</t>
  </si>
  <si>
    <t>052</t>
  </si>
  <si>
    <t>11.2-24 (8PR) With Tube (AG) 135</t>
  </si>
  <si>
    <t>180000
245000</t>
  </si>
  <si>
    <t>053</t>
  </si>
  <si>
    <t>11.2-24 (12PR) With Tube (AG) 135</t>
  </si>
  <si>
    <t>054</t>
  </si>
  <si>
    <t>5.00-12 (12PR) With Tube (Lug) 747</t>
  </si>
  <si>
    <t>055</t>
  </si>
  <si>
    <t>8.00-18 (8PR) With Tube (AG) 555</t>
  </si>
  <si>
    <t>105000
139500</t>
  </si>
  <si>
    <t>057</t>
  </si>
  <si>
    <t>7.50-16 (14PR) With Tube (Grip) (YT-723)</t>
  </si>
  <si>
    <t>Total</t>
  </si>
  <si>
    <r>
      <t xml:space="preserve">Yangon Tyre (Nylon) Sale U Tommy </t>
    </r>
    <r>
      <rPr>
        <b/>
        <sz val="11"/>
        <color rgb="FF00b050"/>
        <rFont val="Pyidaungsu"/>
        <family val="2"/>
      </rPr>
      <t>(H1-2021)  Compare</t>
    </r>
  </si>
  <si>
    <t>Sale (H1-2021)</t>
  </si>
  <si>
    <t>36500
40200</t>
  </si>
  <si>
    <t>37000
40700</t>
  </si>
  <si>
    <t>42500
46800</t>
  </si>
  <si>
    <t>52000
62400</t>
  </si>
  <si>
    <t>43500
47900</t>
  </si>
  <si>
    <t>44000
48400</t>
  </si>
  <si>
    <t>54500
60000</t>
  </si>
  <si>
    <t>53500
58900</t>
  </si>
  <si>
    <t>54000
59400</t>
  </si>
  <si>
    <t>68500
75400</t>
  </si>
  <si>
    <t>59500
65500</t>
  </si>
  <si>
    <t>62500
68800</t>
  </si>
  <si>
    <t>91500
100700</t>
  </si>
  <si>
    <t>93000
102300</t>
  </si>
  <si>
    <t>104000
114400</t>
  </si>
  <si>
    <t>78000
85800</t>
  </si>
  <si>
    <t>79000
86900</t>
  </si>
  <si>
    <t>87500
96300</t>
  </si>
  <si>
    <t>93500
102900</t>
  </si>
  <si>
    <t>97000
106700</t>
  </si>
  <si>
    <t>114500
126000</t>
  </si>
  <si>
    <t>122000
134200</t>
  </si>
  <si>
    <t>130000
143000</t>
  </si>
  <si>
    <t>144500
159000</t>
  </si>
  <si>
    <t>153000
168300</t>
  </si>
  <si>
    <t>160000
176000</t>
  </si>
  <si>
    <t>82000
91900</t>
  </si>
  <si>
    <t>183000
197700</t>
  </si>
  <si>
    <t>184000
198800</t>
  </si>
  <si>
    <t>194500
210100</t>
  </si>
  <si>
    <t>196500
212300</t>
  </si>
  <si>
    <t>202000
218200</t>
  </si>
  <si>
    <t>83000
91300</t>
  </si>
  <si>
    <t>239000
255800</t>
  </si>
  <si>
    <t>255000
272900</t>
  </si>
  <si>
    <t>166500
175000</t>
  </si>
  <si>
    <t>229000
240500</t>
  </si>
  <si>
    <t>249000
261500</t>
  </si>
  <si>
    <t>180000
189000</t>
  </si>
  <si>
    <t>38500
42400</t>
  </si>
  <si>
    <r>
      <t xml:space="preserve">Yangon Tyre (Nylon) Sale Mann Power </t>
    </r>
    <r>
      <rPr>
        <b/>
        <sz val="11"/>
        <color rgb="FF00b050"/>
        <rFont val="Pyidaungsu"/>
        <family val="2"/>
      </rPr>
      <t>{ (H1-2021) &amp; (H1-2022) } Compare</t>
    </r>
  </si>
  <si>
    <t>Date-20-7-2022</t>
  </si>
  <si>
    <t>No</t>
  </si>
  <si>
    <t>(H1-2021)
Sale Total</t>
  </si>
  <si>
    <t>(H1-2022)
Sale Total</t>
  </si>
  <si>
    <t xml:space="preserve"> Total</t>
  </si>
  <si>
    <t xml:space="preserve"> January - 2021  </t>
  </si>
  <si>
    <t xml:space="preserve"> February - 2021  </t>
  </si>
  <si>
    <t>Remark</t>
  </si>
  <si>
    <t>Yangon Tyre (Nylon) Sale U Mg Mg { (H1-2021) &amp; (H1-2022) } Compare</t>
  </si>
  <si>
    <t>Date-21-7-2022</t>
  </si>
  <si>
    <t>4.00-8 (6PR) With Tube (Rib) (YT-748)</t>
  </si>
  <si>
    <t>4.00-8 (6PR) With Tube (Lug) (YT-713)</t>
  </si>
  <si>
    <t>6.00-12 (8PR) With Tube (AG)</t>
  </si>
  <si>
    <t>6.00-16 (10PR) With Tube (AG)</t>
  </si>
  <si>
    <t>7.00-16 (12PR) With Tube &amp; Flap (Rib)H.W</t>
  </si>
  <si>
    <t>7.00-16 (12PR) With Tube &amp; Flap (Rib)727</t>
  </si>
  <si>
    <t>7.50-16 (16PR) With Tube &amp; Flap (Lug)713</t>
  </si>
  <si>
    <t>7.50-16 (16PR) With Tube &amp; Flap (Lug)747</t>
  </si>
  <si>
    <t>8.25-16 (14PR) With Tube &amp; Flap (Rib)H.W</t>
  </si>
  <si>
    <t>8.25-16 (18PR) With Tube &amp; Flap (Lug)713</t>
  </si>
  <si>
    <t>8.25-16 (18PR) With Tube &amp; Flap (Lug)747</t>
  </si>
  <si>
    <t>8.25-16 (18PR) With Tube &amp; Flap (Lug)737</t>
  </si>
  <si>
    <t>6.50-20 (8PR) With Tube (AG)</t>
  </si>
  <si>
    <t>8.25-20 (18PR) With Tube &amp; Flap (Lug)747</t>
  </si>
  <si>
    <t>8.25-20 (18PR) With Tube &amp; Flap (Lug)737</t>
  </si>
  <si>
    <t>9.00-20 (16PR) With Tube &amp; Flap (Lug)746</t>
  </si>
  <si>
    <t>9.00-20 (18PR) With Tube &amp; Flap (Lug)747</t>
  </si>
  <si>
    <t>9.00-20 (18PR) With Tube &amp; Flap (Lug)737</t>
  </si>
  <si>
    <t>7.50-16(10PR)  With Tube( AG)</t>
  </si>
  <si>
    <t>10.00-20 (18PR) With Tube &amp; Flap (Lug)747</t>
  </si>
  <si>
    <t>10.00-20 (18PR) With Tube &amp; Flap (Lug)737</t>
  </si>
  <si>
    <t>11.00-20 (18PR) With Tube &amp; Flap (Lug)747</t>
  </si>
  <si>
    <t>9.5-24 (8PR) With Tube (AG-357)</t>
  </si>
  <si>
    <t>9.5-24 (12PR) (AG-357)</t>
  </si>
  <si>
    <t>12.4-24 (8PR) With Tube (AG)</t>
  </si>
  <si>
    <t>12.4-24 (12PR) With Tube (AG)</t>
  </si>
  <si>
    <t>8.3-24 (8PR) With Tube (AG) (YT-357)</t>
  </si>
  <si>
    <t>11.2-24 (8PR) With Tube  (AG)</t>
  </si>
  <si>
    <t>11.2-24 (12PR) With Tube (AG)</t>
  </si>
  <si>
    <t>5.00-12 (12PR) With Tube (Lug) (YT-747)</t>
  </si>
  <si>
    <t>8.00-18 (8PR) With Tube (AG)</t>
  </si>
  <si>
    <t>7.50-16 (14PR) With Tube Grip (YT-723)</t>
  </si>
  <si>
    <r>
      <t xml:space="preserve">Yangon Tyre (Nylon) Sale U Mg Mg </t>
    </r>
    <r>
      <rPr>
        <b/>
        <sz val="11"/>
        <color rgb="FF00b050"/>
        <rFont val="Pyidaungsu"/>
        <family val="2"/>
      </rPr>
      <t>{ (H1-2021) &amp; (H1-2022) } Compare</t>
    </r>
  </si>
  <si>
    <t>7.50-16 (10PR)  With Tube ( AG)</t>
  </si>
  <si>
    <t>Yangon Tyre (Nylon) Sale U Eisat { (H1-2021) &amp; (H1-2022) } Compare</t>
  </si>
  <si>
    <t>Sale (H1-2021)
Total</t>
  </si>
  <si>
    <t>Sale (H1-2022)
Total</t>
  </si>
  <si>
    <t>130000
136500</t>
  </si>
  <si>
    <r>
      <t xml:space="preserve">Yangon Tyre (Nylon) Sale U Eisat </t>
    </r>
    <r>
      <rPr>
        <b/>
        <sz val="11"/>
        <color rgb="FF00b050"/>
        <rFont val="Pyidaungsu"/>
        <family val="2"/>
      </rPr>
      <t>{ (H1-2021) &amp; (H1-2022) } Compare</t>
    </r>
  </si>
  <si>
    <t xml:space="preserve"> January - 2021 </t>
  </si>
  <si>
    <t xml:space="preserve"> February - 2021 </t>
  </si>
  <si>
    <r>
      <t xml:space="preserve">Yangon Tyre (Nylon) Sale U Tommy </t>
    </r>
    <r>
      <rPr>
        <b/>
        <sz val="11"/>
        <color rgb="FF00b050"/>
        <rFont val="Pyidaungsu"/>
        <family val="2"/>
      </rPr>
      <t>{ (H1-2021) &amp; (H1-2022) } Compare</t>
    </r>
  </si>
  <si>
    <r>
      <t xml:space="preserve">Yangon Tyre (Nylon) Sale U Tommy </t>
    </r>
    <r>
      <rPr>
        <b/>
        <sz val="10"/>
        <color rgb="FF00b050"/>
        <rFont val="Pyidaungsu"/>
        <family val="2"/>
      </rPr>
      <t>{ (H1-2021) &amp; (H1-2022)  } Compare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</si>
</sst>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mmm-yyyy"/>
    <numFmt numFmtId="165" formatCode="#,##0%"/>
  </numFmts>
  <fonts count="20" x14ac:knownFonts="1">
    <font>
      <sz val="11"/>
      <color theme="1"/>
      <name val="Calibri"/>
      <family val="2"/>
      <scheme val="minor"/>
    </font>
    <font>
      <b/>
      <sz val="11"/>
      <color rgb="FF1a10de"/>
      <name val="Pyidaungsu"/>
      <family val="2"/>
    </font>
    <font>
      <b/>
      <sz val="11"/>
      <color rgb="FFff0000"/>
      <name val="Pyidaungsu"/>
      <family val="2"/>
    </font>
    <font>
      <sz val="11"/>
      <color rgb="FF1a10de"/>
      <name val="Pyidaungsu"/>
      <family val="2"/>
    </font>
    <font>
      <sz val="11"/>
      <color rgb="FFff0000"/>
      <name val="Pyidaungsu"/>
      <family val="2"/>
    </font>
    <font>
      <sz val="11"/>
      <color rgb="FF000000"/>
      <name val="Pyidaungsu"/>
      <family val="2"/>
    </font>
    <font>
      <b/>
      <sz val="11"/>
      <color theme="1"/>
      <name val="Pyidaungsu"/>
      <family val="2"/>
    </font>
    <font>
      <sz val="11"/>
      <color theme="1"/>
      <name val="Pyidaungsu"/>
      <family val="2"/>
    </font>
    <font>
      <b/>
      <sz val="11"/>
      <color rgb="FF3f0fef"/>
      <name val="Pyidaungsu"/>
      <family val="2"/>
    </font>
    <font>
      <sz val="11"/>
      <color rgb="FF3f0fef"/>
      <name val="Pyidaungsu"/>
      <family val="2"/>
    </font>
    <font>
      <b/>
      <sz val="11"/>
      <color rgb="FF310fc1"/>
      <name val="Pyidaungsu"/>
      <family val="2"/>
    </font>
    <font>
      <sz val="11"/>
      <color rgb="FF310fc1"/>
      <name val="Pyidaungsu"/>
      <family val="2"/>
    </font>
    <font>
      <b/>
      <sz val="10"/>
      <color rgb="FF1a10de"/>
      <name val="Pyidaungsu "/>
      <family val="2"/>
    </font>
    <font>
      <sz val="10"/>
      <color rgb="FF1a10de"/>
      <name val="Pyidaungsu"/>
      <family val="2"/>
    </font>
    <font>
      <sz val="10"/>
      <color rgb="FFff0000"/>
      <name val="Pyidaungsu"/>
      <family val="2"/>
    </font>
    <font>
      <sz val="10"/>
      <color rgb="FF1a10de"/>
      <name val="Pyidaungsu "/>
      <family val="2"/>
    </font>
    <font>
      <sz val="10"/>
      <color rgb="FFff0000"/>
      <name val="Pyidaungsu "/>
      <family val="2"/>
    </font>
    <font>
      <b/>
      <sz val="10"/>
      <color rgb="FF1a10de"/>
      <name val="Pyidaungsu"/>
      <family val="2"/>
    </font>
    <font>
      <b/>
      <sz val="10"/>
      <color rgb="FFff0000"/>
      <name val="Pyidaungsu "/>
      <family val="2"/>
    </font>
    <font>
      <b/>
      <sz val="10"/>
      <color rgb="FFff0000"/>
      <name val="Pyidaungsu"/>
      <family val="2"/>
    </font>
  </fonts>
  <fills count="6">
    <fill>
      <patternFill patternType="none"/>
    </fill>
    <fill>
      <patternFill patternType="gray125"/>
    </fill>
    <fill>
      <patternFill patternType="solid">
        <fgColor rgb="FF93cddd"/>
      </patternFill>
    </fill>
    <fill>
      <patternFill patternType="solid">
        <fgColor rgb="FFfcd5b5"/>
      </patternFill>
    </fill>
    <fill>
      <patternFill patternType="solid">
        <fgColor rgb="FFffff00"/>
      </patternFill>
    </fill>
    <fill>
      <patternFill patternType="solid">
        <fgColor rgb="FFfac09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60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9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3" applyBorder="1" fontId="1" applyFont="1" fillId="0" applyAlignment="1">
      <alignment horizontal="center" vertical="top"/>
    </xf>
    <xf xfId="0" numFmtId="49" applyNumberFormat="1" borderId="3" applyBorder="1" fontId="1" applyFont="1" fillId="0" applyAlignment="1">
      <alignment horizontal="center" vertical="top" wrapText="1"/>
    </xf>
    <xf xfId="0" numFmtId="0" borderId="3" applyBorder="1" fontId="1" applyFont="1" fillId="0" applyAlignment="1">
      <alignment horizontal="center" vertical="top" wrapText="1"/>
    </xf>
    <xf xfId="0" numFmtId="3" applyNumberFormat="1" borderId="4" applyBorder="1" fontId="1" applyFont="1" fillId="0" applyAlignment="1">
      <alignment horizontal="center"/>
    </xf>
    <xf xfId="0" numFmtId="3" applyNumberFormat="1" borderId="5" applyBorder="1" fontId="1" applyFont="1" fillId="0" applyAlignment="1">
      <alignment horizontal="center"/>
    </xf>
    <xf xfId="0" numFmtId="3" applyNumberFormat="1" borderId="5" applyBorder="1" fontId="1" applyFont="1" fillId="0" applyAlignment="1">
      <alignment horizontal="center" wrapText="1"/>
    </xf>
    <xf xfId="0" numFmtId="0" borderId="5" applyBorder="1" fontId="1" applyFont="1" fillId="0" applyAlignment="1">
      <alignment horizontal="center" wrapText="1"/>
    </xf>
    <xf xfId="0" numFmtId="3" applyNumberFormat="1" borderId="4" applyBorder="1" fontId="1" applyFont="1" fillId="0" applyAlignment="1">
      <alignment horizontal="center" wrapText="1"/>
    </xf>
    <xf xfId="0" numFmtId="164" applyNumberFormat="1" borderId="4" applyBorder="1" fontId="1" applyFont="1" fillId="0" applyAlignment="1">
      <alignment horizontal="center" wrapText="1"/>
    </xf>
    <xf xfId="0" numFmtId="164" applyNumberFormat="1" borderId="4" applyBorder="1" fontId="1" applyFont="1" fillId="0" applyAlignment="1">
      <alignment horizontal="center"/>
    </xf>
    <xf xfId="0" numFmtId="3" applyNumberFormat="1" borderId="6" applyBorder="1" fontId="1" applyFont="1" fillId="0" applyAlignment="1">
      <alignment horizontal="center"/>
    </xf>
    <xf xfId="0" numFmtId="3" applyNumberFormat="1" borderId="6" applyBorder="1" fontId="1" applyFont="1" fillId="0" applyAlignment="1">
      <alignment horizontal="center" wrapText="1"/>
    </xf>
    <xf xfId="0" numFmtId="0" borderId="6" applyBorder="1" fontId="1" applyFont="1" fillId="0" applyAlignment="1">
      <alignment horizontal="center" wrapText="1"/>
    </xf>
    <xf xfId="0" numFmtId="3" applyNumberFormat="1" borderId="4" applyBorder="1" fontId="2" applyFont="1" fillId="2" applyFill="1" applyAlignment="1">
      <alignment horizontal="center" wrapText="1"/>
    </xf>
    <xf xfId="0" numFmtId="3" applyNumberFormat="1" borderId="4" applyBorder="1" fontId="2" applyFont="1" fillId="3" applyFill="1" applyAlignment="1">
      <alignment horizontal="center" wrapText="1"/>
    </xf>
    <xf xfId="0" numFmtId="3" applyNumberFormat="1" borderId="4" applyBorder="1" fontId="3" applyFont="1" fillId="0" applyAlignment="1">
      <alignment horizontal="center"/>
    </xf>
    <xf xfId="0" numFmtId="49" applyNumberFormat="1" borderId="4" applyBorder="1" fontId="3" applyFont="1" fillId="0" applyAlignment="1">
      <alignment horizontal="center" wrapText="1"/>
    </xf>
    <xf xfId="0" numFmtId="0" borderId="4" applyBorder="1" fontId="3" applyFont="1" fillId="0" applyAlignment="1">
      <alignment horizontal="left" wrapText="1"/>
    </xf>
    <xf xfId="0" numFmtId="3" applyNumberFormat="1" borderId="4" applyBorder="1" fontId="3" applyFont="1" fillId="0" applyAlignment="1">
      <alignment horizontal="center" wrapText="1"/>
    </xf>
    <xf xfId="0" numFmtId="3" applyNumberFormat="1" borderId="4" applyBorder="1" fontId="4" applyFont="1" fillId="2" applyFill="1" applyAlignment="1">
      <alignment horizontal="center" wrapText="1"/>
    </xf>
    <xf xfId="0" numFmtId="3" applyNumberFormat="1" borderId="4" applyBorder="1" fontId="3" applyFont="1" fillId="0" applyAlignment="1">
      <alignment horizontal="right" wrapText="1"/>
    </xf>
    <xf xfId="0" numFmtId="3" applyNumberFormat="1" borderId="4" applyBorder="1" fontId="4" applyFont="1" fillId="3" applyFill="1" applyAlignment="1">
      <alignment horizontal="center" wrapText="1"/>
    </xf>
    <xf xfId="0" numFmtId="3" applyNumberFormat="1" borderId="2" applyBorder="1" fontId="1" applyFont="1" fillId="0" applyAlignment="1">
      <alignment horizontal="right"/>
    </xf>
    <xf xfId="0" numFmtId="3" applyNumberFormat="1" borderId="4" applyBorder="1" fontId="4" applyFont="1" fillId="3" applyFill="1" applyAlignment="1">
      <alignment horizontal="center"/>
    </xf>
    <xf xfId="0" numFmtId="3" applyNumberFormat="1" borderId="4" applyBorder="1" fontId="4" applyFont="1" fillId="2" applyFill="1" applyAlignment="1">
      <alignment horizontal="center"/>
    </xf>
    <xf xfId="0" numFmtId="49" applyNumberFormat="1" borderId="3" applyBorder="1" fontId="3" applyFont="1" fillId="0" applyAlignment="1">
      <alignment horizontal="center" wrapText="1"/>
    </xf>
    <xf xfId="0" numFmtId="0" borderId="3" applyBorder="1" fontId="3" applyFont="1" fillId="0" applyAlignment="1">
      <alignment horizontal="left" wrapText="1"/>
    </xf>
    <xf xfId="0" numFmtId="49" applyNumberFormat="1" borderId="4" applyBorder="1" fontId="3" applyFont="1" fillId="0" applyAlignment="1">
      <alignment horizontal="center"/>
    </xf>
    <xf xfId="0" numFmtId="0" borderId="4" applyBorder="1" fontId="3" applyFont="1" fillId="0" applyAlignment="1">
      <alignment horizontal="center"/>
    </xf>
    <xf xfId="0" numFmtId="3" applyNumberFormat="1" borderId="4" applyBorder="1" fontId="1" applyFont="1" fillId="0" applyAlignment="1">
      <alignment horizontal="right"/>
    </xf>
    <xf xfId="0" numFmtId="3" applyNumberFormat="1" borderId="4" applyBorder="1" fontId="3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3" applyNumberFormat="1" borderId="2" applyBorder="1" fontId="3" applyFont="1" fillId="0" applyAlignment="1">
      <alignment horizontal="center"/>
    </xf>
    <xf xfId="0" numFmtId="3" applyNumberFormat="1" borderId="2" applyBorder="1" fontId="4" applyFont="1" fillId="0" applyAlignment="1">
      <alignment horizontal="center"/>
    </xf>
    <xf xfId="0" numFmtId="3" applyNumberFormat="1" borderId="2" applyBorder="1" fontId="3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49" applyNumberFormat="1" borderId="2" applyBorder="1" fontId="3" applyFont="1" fillId="0" applyAlignment="1">
      <alignment horizontal="left"/>
    </xf>
    <xf xfId="0" numFmtId="3" applyNumberFormat="1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4" applyBorder="1" fontId="3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3" applyNumberFormat="1" borderId="4" applyBorder="1" fontId="1" applyFont="1" fillId="0" applyAlignment="1">
      <alignment horizontal="center" vertical="top"/>
    </xf>
    <xf xfId="0" numFmtId="49" applyNumberFormat="1" borderId="4" applyBorder="1" fontId="1" applyFont="1" fillId="0" applyAlignment="1">
      <alignment horizontal="center" vertical="top" wrapText="1"/>
    </xf>
    <xf xfId="0" numFmtId="0" borderId="4" applyBorder="1" fontId="1" applyFont="1" fillId="0" applyAlignment="1">
      <alignment horizontal="center" vertical="top" wrapText="1"/>
    </xf>
    <xf xfId="0" numFmtId="0" borderId="4" applyBorder="1" fontId="1" applyFont="1" fillId="0" applyAlignment="1">
      <alignment horizontal="center" wrapText="1"/>
    </xf>
    <xf xfId="0" numFmtId="3" applyNumberFormat="1" borderId="4" applyBorder="1" fontId="2" applyFont="1" fillId="4" applyFill="1" applyAlignment="1">
      <alignment horizontal="center" wrapText="1"/>
    </xf>
    <xf xfId="0" numFmtId="3" applyNumberFormat="1" borderId="4" applyBorder="1" fontId="2" applyFont="1" fillId="0" applyAlignment="1">
      <alignment horizontal="center" wrapText="1"/>
    </xf>
    <xf xfId="0" numFmtId="3" applyNumberFormat="1" borderId="4" applyBorder="1" fontId="4" applyFont="1" fillId="4" applyFill="1" applyAlignment="1">
      <alignment horizontal="center" wrapText="1"/>
    </xf>
    <xf xfId="0" numFmtId="3" applyNumberFormat="1" borderId="4" applyBorder="1" fontId="4" applyFont="1" fillId="0" applyAlignment="1">
      <alignment horizontal="center" wrapText="1"/>
    </xf>
    <xf xfId="0" numFmtId="3" applyNumberFormat="1" borderId="4" applyBorder="1" fontId="4" applyFont="1" fillId="0" applyAlignment="1">
      <alignment horizontal="center"/>
    </xf>
    <xf xfId="0" numFmtId="3" applyNumberFormat="1" borderId="4" applyBorder="1" fontId="4" applyFont="1" fillId="4" applyFill="1" applyAlignment="1">
      <alignment horizontal="center"/>
    </xf>
    <xf xfId="0" numFmtId="3" applyNumberFormat="1" borderId="2" applyBorder="1" fontId="3" applyFont="1" fillId="0" applyAlignment="1">
      <alignment horizontal="right"/>
    </xf>
    <xf xfId="0" numFmtId="49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9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right"/>
    </xf>
    <xf xfId="0" numFmtId="3" applyNumberFormat="1" borderId="4" applyBorder="1" fontId="1" applyFont="1" fillId="0" applyAlignment="1">
      <alignment horizontal="center" vertical="top" wrapText="1"/>
    </xf>
    <xf xfId="0" numFmtId="49" applyNumberFormat="1" borderId="4" applyBorder="1" fontId="1" applyFont="1" fillId="0" applyAlignment="1">
      <alignment horizontal="center" vertical="top"/>
    </xf>
    <xf xfId="0" numFmtId="49" applyNumberFormat="1" borderId="4" applyBorder="1" fontId="1" applyFont="1" fillId="0" applyAlignment="1">
      <alignment horizontal="center"/>
    </xf>
    <xf xfId="0" numFmtId="0" borderId="4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2" applyBorder="1" fontId="3" applyFont="1" fillId="0" applyAlignment="1">
      <alignment horizontal="left"/>
    </xf>
    <xf xfId="0" numFmtId="3" applyNumberFormat="1" borderId="0" fontId="0" fillId="0" applyAlignment="1">
      <alignment horizontal="center"/>
    </xf>
    <xf xfId="0" numFmtId="49" applyNumberFormat="1" borderId="2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165" applyNumberFormat="1" borderId="2" applyBorder="1" fontId="1" applyFont="1" fillId="0" applyAlignment="1">
      <alignment horizontal="left"/>
    </xf>
    <xf xfId="0" numFmtId="165" applyNumberFormat="1" borderId="2" applyBorder="1" fontId="3" applyFont="1" fillId="0" applyAlignment="1">
      <alignment horizontal="left"/>
    </xf>
    <xf xfId="0" numFmtId="3" applyNumberFormat="1" borderId="2" applyBorder="1" fontId="4" applyFont="1" fillId="0" applyAlignment="1">
      <alignment horizontal="right"/>
    </xf>
    <xf xfId="0" numFmtId="165" applyNumberFormat="1" borderId="0" fontId="0" fillId="0" applyAlignment="1">
      <alignment horizontal="general"/>
    </xf>
    <xf xfId="0" numFmtId="3" applyNumberFormat="1" borderId="2" applyBorder="1" fontId="4" applyFont="1" fillId="0" applyAlignment="1">
      <alignment horizontal="left"/>
    </xf>
    <xf xfId="0" numFmtId="3" applyNumberFormat="1" borderId="2" applyBorder="1" fontId="5" applyFont="1" fillId="0" applyAlignment="1">
      <alignment horizontal="left"/>
    </xf>
    <xf xfId="0" numFmtId="17" applyNumberFormat="1" borderId="4" applyBorder="1" fontId="1" applyFont="1" fillId="0" applyAlignment="1">
      <alignment horizontal="center"/>
    </xf>
    <xf xfId="0" numFmtId="164" applyNumberFormat="1" borderId="4" applyBorder="1" fontId="1" applyFont="1" fillId="3" applyFill="1" applyAlignment="1">
      <alignment horizontal="center"/>
    </xf>
    <xf xfId="0" numFmtId="164" applyNumberFormat="1" borderId="7" applyBorder="1" fontId="6" applyFont="1" fillId="0" applyAlignment="1">
      <alignment horizontal="center"/>
    </xf>
    <xf xfId="0" numFmtId="164" applyNumberFormat="1" borderId="8" applyBorder="1" fontId="6" applyFont="1" fillId="0" applyAlignment="1">
      <alignment horizontal="center"/>
    </xf>
    <xf xfId="0" numFmtId="164" applyNumberFormat="1" borderId="9" applyBorder="1" fontId="6" applyFont="1" fillId="0" applyAlignment="1">
      <alignment horizontal="center"/>
    </xf>
    <xf xfId="0" numFmtId="165" applyNumberFormat="1" borderId="4" applyBorder="1" fontId="1" applyFont="1" fillId="0" applyAlignment="1">
      <alignment horizontal="center" wrapText="1"/>
    </xf>
    <xf xfId="0" numFmtId="3" applyNumberFormat="1" borderId="4" applyBorder="1" fontId="1" applyFont="1" fillId="3" applyFill="1" applyAlignment="1">
      <alignment horizontal="center" wrapText="1"/>
    </xf>
    <xf xfId="0" numFmtId="3" applyNumberFormat="1" borderId="4" applyBorder="1" fontId="6" applyFont="1" fillId="0" applyAlignment="1">
      <alignment horizontal="center" wrapText="1"/>
    </xf>
    <xf xfId="0" numFmtId="165" applyNumberFormat="1" borderId="4" applyBorder="1" fontId="3" applyFont="1" fillId="0" applyAlignment="1">
      <alignment horizontal="center" wrapText="1"/>
    </xf>
    <xf xfId="0" numFmtId="3" applyNumberFormat="1" borderId="4" applyBorder="1" fontId="3" applyFont="1" fillId="3" applyFill="1" applyAlignment="1">
      <alignment horizontal="center" wrapText="1"/>
    </xf>
    <xf xfId="0" numFmtId="3" applyNumberFormat="1" borderId="4" applyBorder="1" fontId="3" applyFont="1" fillId="3" applyFill="1" applyAlignment="1">
      <alignment horizontal="right" wrapText="1"/>
    </xf>
    <xf xfId="0" numFmtId="3" applyNumberFormat="1" borderId="4" applyBorder="1" fontId="4" applyFont="1" fillId="0" applyAlignment="1">
      <alignment horizontal="left"/>
    </xf>
    <xf xfId="0" numFmtId="165" applyNumberFormat="1" borderId="4" applyBorder="1" fontId="3" applyFont="1" fillId="0" applyAlignment="1">
      <alignment horizontal="left"/>
    </xf>
    <xf xfId="0" numFmtId="3" applyNumberFormat="1" borderId="4" applyBorder="1" fontId="7" applyFont="1" fillId="0" applyAlignment="1">
      <alignment horizontal="center"/>
    </xf>
    <xf xfId="0" numFmtId="3" applyNumberFormat="1" borderId="4" applyBorder="1" fontId="3" applyFont="1" fillId="3" applyFill="1" applyAlignment="1">
      <alignment horizontal="right"/>
    </xf>
    <xf xfId="0" numFmtId="3" applyNumberFormat="1" borderId="4" applyBorder="1" fontId="1" applyFont="1" fillId="3" applyFill="1" applyAlignment="1">
      <alignment horizontal="left"/>
    </xf>
    <xf xfId="0" numFmtId="3" applyNumberFormat="1" borderId="4" applyBorder="1" fontId="2" applyFont="1" fillId="3" applyFill="1" applyAlignment="1">
      <alignment horizontal="left"/>
    </xf>
    <xf xfId="0" numFmtId="3" applyNumberFormat="1" borderId="4" applyBorder="1" fontId="3" applyFont="1" fillId="3" applyFill="1" applyAlignment="1">
      <alignment horizontal="left"/>
    </xf>
    <xf xfId="0" numFmtId="3" applyNumberFormat="1" borderId="4" applyBorder="1" fontId="4" applyFont="1" fillId="3" applyFill="1" applyAlignment="1">
      <alignment horizontal="left"/>
    </xf>
    <xf xfId="0" numFmtId="3" applyNumberFormat="1" borderId="4" applyBorder="1" fontId="4" applyFont="1" fillId="3" applyFill="1" applyAlignment="1">
      <alignment horizontal="right"/>
    </xf>
    <xf xfId="0" numFmtId="165" applyNumberFormat="1" borderId="4" applyBorder="1" fontId="3" applyFont="1" fillId="0" applyAlignment="1">
      <alignment horizontal="center"/>
    </xf>
    <xf xfId="0" numFmtId="3" applyNumberFormat="1" borderId="4" applyBorder="1" fontId="5" applyFont="1" fillId="0" applyAlignment="1">
      <alignment horizontal="left"/>
    </xf>
    <xf xfId="0" numFmtId="3" applyNumberFormat="1" borderId="4" applyBorder="1" fontId="2" applyFont="1" fillId="0" applyAlignment="1">
      <alignment horizontal="center"/>
    </xf>
    <xf xfId="0" numFmtId="3" applyNumberFormat="1" borderId="4" applyBorder="1" fontId="4" applyFont="1" fillId="0" applyAlignment="1">
      <alignment horizontal="right"/>
    </xf>
    <xf xfId="0" numFmtId="165" applyNumberFormat="1" borderId="4" applyBorder="1" fontId="3" applyFont="1" fillId="0" applyAlignment="1">
      <alignment horizontal="right"/>
    </xf>
    <xf xfId="0" numFmtId="3" applyNumberFormat="1" borderId="4" applyBorder="1" fontId="5" applyFont="1" fillId="0" applyAlignment="1">
      <alignment horizontal="center"/>
    </xf>
    <xf xfId="0" numFmtId="165" applyNumberFormat="1" borderId="2" applyBorder="1" fontId="3" applyFont="1" fillId="0" applyAlignment="1">
      <alignment horizontal="center"/>
    </xf>
    <xf xfId="0" numFmtId="165" applyNumberFormat="1" borderId="0" fontId="0" fillId="0" applyAlignment="1">
      <alignment horizontal="general"/>
    </xf>
    <xf xfId="0" numFmtId="3" applyNumberFormat="1" borderId="2" applyBorder="1" fontId="2" applyFont="1" fillId="0" applyAlignment="1">
      <alignment horizontal="center"/>
    </xf>
    <xf xfId="0" numFmtId="0" borderId="0" fontId="0" fillId="0" applyAlignment="1">
      <alignment wrapText="1"/>
    </xf>
    <xf xfId="0" numFmtId="0" borderId="9" applyBorder="1" fontId="3" applyFont="1" fillId="0" applyAlignment="1">
      <alignment horizontal="left" wrapText="1"/>
    </xf>
    <xf xfId="0" numFmtId="3" applyNumberFormat="1" borderId="7" applyBorder="1" fontId="1" applyFont="1" fillId="0" applyAlignment="1">
      <alignment horizontal="center"/>
    </xf>
    <xf xfId="0" numFmtId="49" applyNumberFormat="1" borderId="8" applyBorder="1" fontId="1" applyFont="1" fillId="0" applyAlignment="1">
      <alignment horizontal="center"/>
    </xf>
    <xf xfId="0" numFmtId="0" borderId="9" applyBorder="1" fontId="1" applyFont="1" fillId="0" applyAlignment="1">
      <alignment horizontal="center"/>
    </xf>
    <xf xfId="0" numFmtId="3" applyNumberFormat="1" borderId="2" applyBorder="1" fontId="8" applyFont="1" fillId="0" applyAlignment="1">
      <alignment horizontal="left"/>
    </xf>
    <xf xfId="0" numFmtId="49" applyNumberFormat="1" borderId="2" applyBorder="1" fontId="8" applyFont="1" fillId="0" applyAlignment="1">
      <alignment horizontal="left"/>
    </xf>
    <xf xfId="0" numFmtId="0" borderId="2" applyBorder="1" fontId="8" applyFont="1" fillId="0" applyAlignment="1">
      <alignment horizontal="left"/>
    </xf>
    <xf xfId="0" numFmtId="165" applyNumberFormat="1" borderId="2" applyBorder="1" fontId="8" applyFont="1" fillId="0" applyAlignment="1">
      <alignment horizontal="left"/>
    </xf>
    <xf xfId="0" numFmtId="3" applyNumberFormat="1" borderId="2" applyBorder="1" fontId="8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3" applyNumberFormat="1" borderId="4" applyBorder="1" fontId="8" applyFont="1" fillId="0" applyAlignment="1">
      <alignment horizontal="center" vertical="top" wrapText="1"/>
    </xf>
    <xf xfId="0" numFmtId="49" applyNumberFormat="1" borderId="4" applyBorder="1" fontId="8" applyFont="1" fillId="0" applyAlignment="1">
      <alignment horizontal="center" vertical="top" wrapText="1"/>
    </xf>
    <xf xfId="0" numFmtId="0" borderId="4" applyBorder="1" fontId="8" applyFont="1" fillId="0" applyAlignment="1">
      <alignment horizontal="center" vertical="top" wrapText="1"/>
    </xf>
    <xf xfId="0" numFmtId="164" applyNumberFormat="1" borderId="4" applyBorder="1" fontId="3" applyFont="1" fillId="0" applyAlignment="1">
      <alignment horizontal="center"/>
    </xf>
    <xf xfId="0" numFmtId="164" applyNumberFormat="1" borderId="4" applyBorder="1" fontId="1" applyFont="1" fillId="5" applyFill="1" applyAlignment="1">
      <alignment horizontal="center"/>
    </xf>
    <xf xfId="0" numFmtId="3" applyNumberFormat="1" borderId="4" applyBorder="1" fontId="8" applyFont="1" fillId="0" applyAlignment="1">
      <alignment horizontal="center" wrapText="1"/>
    </xf>
    <xf xfId="0" numFmtId="0" borderId="4" applyBorder="1" fontId="8" applyFont="1" fillId="0" applyAlignment="1">
      <alignment horizontal="center" wrapText="1"/>
    </xf>
    <xf xfId="0" numFmtId="3" applyNumberFormat="1" borderId="4" applyBorder="1" fontId="1" applyFont="1" fillId="5" applyFill="1" applyAlignment="1">
      <alignment horizontal="center" wrapText="1"/>
    </xf>
    <xf xfId="0" numFmtId="3" applyNumberFormat="1" borderId="4" applyBorder="1" fontId="2" applyFont="1" fillId="5" applyFill="1" applyAlignment="1">
      <alignment horizontal="center" wrapText="1"/>
    </xf>
    <xf xfId="0" numFmtId="3" applyNumberFormat="1" borderId="4" applyBorder="1" fontId="9" applyFont="1" fillId="0" applyAlignment="1">
      <alignment horizontal="center" wrapText="1"/>
    </xf>
    <xf xfId="0" numFmtId="49" applyNumberFormat="1" borderId="4" applyBorder="1" fontId="9" applyFont="1" fillId="0" applyAlignment="1">
      <alignment horizontal="center" wrapText="1"/>
    </xf>
    <xf xfId="0" numFmtId="0" borderId="4" applyBorder="1" fontId="9" applyFont="1" fillId="0" applyAlignment="1">
      <alignment horizontal="left" wrapText="1"/>
    </xf>
    <xf xfId="0" numFmtId="3" applyNumberFormat="1" borderId="4" applyBorder="1" fontId="3" applyFont="1" fillId="5" applyFill="1" applyAlignment="1">
      <alignment horizontal="center" wrapText="1"/>
    </xf>
    <xf xfId="0" numFmtId="3" applyNumberFormat="1" borderId="4" applyBorder="1" fontId="4" applyFont="1" fillId="5" applyFill="1" applyAlignment="1">
      <alignment horizontal="center" wrapText="1"/>
    </xf>
    <xf xfId="0" numFmtId="3" applyNumberFormat="1" borderId="4" applyBorder="1" fontId="3" applyFont="1" fillId="5" applyFill="1" applyAlignment="1">
      <alignment horizontal="right" wrapText="1"/>
    </xf>
    <xf xfId="0" numFmtId="0" borderId="4" applyBorder="1" fontId="9" applyFont="1" fillId="0" applyAlignment="1">
      <alignment horizontal="left"/>
    </xf>
    <xf xfId="0" numFmtId="49" applyNumberFormat="1" borderId="3" applyBorder="1" fontId="9" applyFont="1" fillId="0" applyAlignment="1">
      <alignment horizontal="center" wrapText="1"/>
    </xf>
    <xf xfId="0" numFmtId="0" borderId="3" applyBorder="1" fontId="9" applyFont="1" fillId="0" applyAlignment="1">
      <alignment horizontal="left" wrapText="1"/>
    </xf>
    <xf xfId="0" numFmtId="3" applyNumberFormat="1" borderId="4" applyBorder="1" fontId="3" applyFont="1" fillId="5" applyFill="1" applyAlignment="1">
      <alignment horizontal="left"/>
    </xf>
    <xf xfId="0" numFmtId="3" applyNumberFormat="1" borderId="4" applyBorder="1" fontId="4" applyFont="1" fillId="5" applyFill="1" applyAlignment="1">
      <alignment horizontal="left"/>
    </xf>
    <xf xfId="0" numFmtId="49" applyNumberFormat="1" borderId="8" applyBorder="1" fontId="9" applyFont="1" fillId="0" applyAlignment="1">
      <alignment horizontal="center" wrapText="1"/>
    </xf>
    <xf xfId="0" numFmtId="0" borderId="9" applyBorder="1" fontId="9" applyFont="1" fillId="0" applyAlignment="1">
      <alignment horizontal="left" wrapText="1"/>
    </xf>
    <xf xfId="0" numFmtId="3" applyNumberFormat="1" borderId="7" applyBorder="1" fontId="8" applyFont="1" fillId="0" applyAlignment="1">
      <alignment horizontal="center"/>
    </xf>
    <xf xfId="0" numFmtId="49" applyNumberFormat="1" borderId="8" applyBorder="1" fontId="8" applyFont="1" fillId="0" applyAlignment="1">
      <alignment horizontal="center"/>
    </xf>
    <xf xfId="0" numFmtId="0" borderId="9" applyBorder="1" fontId="8" applyFont="1" fillId="0" applyAlignment="1">
      <alignment horizontal="center"/>
    </xf>
    <xf xfId="0" numFmtId="3" applyNumberFormat="1" borderId="4" applyBorder="1" fontId="3" applyFont="1" fillId="5" applyFill="1" applyAlignment="1">
      <alignment horizontal="right"/>
    </xf>
    <xf xfId="0" numFmtId="3" applyNumberFormat="1" borderId="4" applyBorder="1" fontId="4" applyFont="1" fillId="5" applyFill="1" applyAlignment="1">
      <alignment horizontal="right"/>
    </xf>
    <xf xfId="0" numFmtId="3" applyNumberFormat="1" borderId="4" applyBorder="1" fontId="4" applyFont="1" fillId="5" applyFill="1" applyAlignment="1">
      <alignment horizontal="center"/>
    </xf>
    <xf xfId="0" numFmtId="3" applyNumberFormat="1" borderId="3" applyBorder="1" fontId="1" applyFont="1" fillId="0" applyAlignment="1">
      <alignment horizontal="center" vertical="top" wrapText="1"/>
    </xf>
    <xf xfId="0" numFmtId="49" applyNumberFormat="1" borderId="3" applyBorder="1" fontId="1" applyFont="1" fillId="0" applyAlignment="1">
      <alignment horizontal="center" vertical="top"/>
    </xf>
    <xf xfId="0" numFmtId="3" applyNumberFormat="1" borderId="7" applyBorder="1" fontId="1" applyFont="1" fillId="0" applyAlignment="1">
      <alignment horizontal="center" wrapText="1"/>
    </xf>
    <xf xfId="0" numFmtId="164" applyNumberFormat="1" borderId="8" applyBorder="1" fontId="1" applyFont="1" fillId="0" applyAlignment="1">
      <alignment horizontal="center" wrapText="1"/>
    </xf>
    <xf xfId="0" numFmtId="164" applyNumberFormat="1" borderId="9" applyBorder="1" fontId="1" applyFont="1" fillId="0" applyAlignment="1">
      <alignment horizontal="center" wrapText="1"/>
    </xf>
    <xf xfId="0" numFmtId="3" applyNumberFormat="1" borderId="3" applyBorder="1" fontId="3" applyFont="1" fillId="0" applyAlignment="1">
      <alignment horizontal="center" wrapText="1"/>
    </xf>
    <xf xfId="0" numFmtId="49" applyNumberFormat="1" borderId="8" applyBorder="1" fontId="1" applyFont="1" fillId="0" applyAlignment="1">
      <alignment horizontal="center" wrapText="1"/>
    </xf>
    <xf xfId="0" numFmtId="0" borderId="9" applyBorder="1" fontId="1" applyFont="1" fillId="0" applyAlignment="1">
      <alignment horizontal="center" wrapText="1"/>
    </xf>
    <xf xfId="0" numFmtId="165" applyNumberFormat="1" borderId="1" applyBorder="1" fontId="1" applyFont="1" fillId="0" applyAlignment="1">
      <alignment horizontal="center"/>
    </xf>
    <xf xfId="0" numFmtId="3" applyNumberFormat="1" borderId="2" applyBorder="1" fontId="10" applyFont="1" fillId="0" applyAlignment="1">
      <alignment horizontal="center"/>
    </xf>
    <xf xfId="0" numFmtId="3" applyNumberFormat="1" borderId="2" applyBorder="1" fontId="10" applyFont="1" fillId="0" applyAlignment="1">
      <alignment horizontal="left"/>
    </xf>
    <xf xfId="0" numFmtId="17" applyNumberFormat="1" borderId="8" applyBorder="1" fontId="1" applyFont="1" fillId="0" applyAlignment="1">
      <alignment horizontal="center"/>
    </xf>
    <xf xfId="0" numFmtId="17" applyNumberFormat="1" borderId="9" applyBorder="1" fontId="1" applyFont="1" fillId="0" applyAlignment="1">
      <alignment horizontal="center"/>
    </xf>
    <xf xfId="0" numFmtId="164" applyNumberFormat="1" borderId="4" applyBorder="1" fontId="10" applyFont="1" fillId="5" applyFill="1" applyAlignment="1">
      <alignment horizontal="center"/>
    </xf>
    <xf xfId="0" numFmtId="164" applyNumberFormat="1" borderId="7" applyBorder="1" fontId="1" applyFont="1" fillId="0" applyAlignment="1">
      <alignment horizontal="center"/>
    </xf>
    <xf xfId="0" numFmtId="164" applyNumberFormat="1" borderId="8" applyBorder="1" fontId="1" applyFont="1" fillId="0" applyAlignment="1">
      <alignment horizontal="center"/>
    </xf>
    <xf xfId="0" numFmtId="164" applyNumberFormat="1" borderId="9" applyBorder="1" fontId="1" applyFont="1" fillId="0" applyAlignment="1">
      <alignment horizontal="center"/>
    </xf>
    <xf xfId="0" numFmtId="164" applyNumberFormat="1" borderId="4" applyBorder="1" fontId="10" applyFont="1" fillId="3" applyFill="1" applyAlignment="1">
      <alignment horizontal="center"/>
    </xf>
    <xf xfId="0" numFmtId="3" applyNumberFormat="1" borderId="6" applyBorder="1" fontId="2" applyFont="1" fillId="0" applyAlignment="1">
      <alignment horizontal="center" wrapText="1"/>
    </xf>
    <xf xfId="0" numFmtId="3" applyNumberFormat="1" borderId="4" applyBorder="1" fontId="10" applyFont="1" fillId="5" applyFill="1" applyAlignment="1">
      <alignment horizontal="center" wrapText="1"/>
    </xf>
    <xf xfId="0" numFmtId="3" applyNumberFormat="1" borderId="9" applyBorder="1" fontId="1" applyFont="1" fillId="0" applyAlignment="1">
      <alignment horizontal="center" wrapText="1"/>
    </xf>
    <xf xfId="0" numFmtId="165" applyNumberFormat="1" borderId="3" applyBorder="1" fontId="1" applyFont="1" fillId="0" applyAlignment="1">
      <alignment horizontal="left" wrapText="1"/>
    </xf>
    <xf xfId="0" numFmtId="165" applyNumberFormat="1" borderId="3" applyBorder="1" fontId="1" applyFont="1" fillId="0" applyAlignment="1">
      <alignment horizontal="center" wrapText="1"/>
    </xf>
    <xf xfId="0" numFmtId="3" applyNumberFormat="1" borderId="4" applyBorder="1" fontId="10" applyFont="1" fillId="3" applyFill="1" applyAlignment="1">
      <alignment horizontal="center" wrapText="1"/>
    </xf>
    <xf xfId="0" numFmtId="3" applyNumberFormat="1" borderId="4" applyBorder="1" fontId="11" applyFont="1" fillId="5" applyFill="1" applyAlignment="1">
      <alignment horizontal="center" wrapText="1"/>
    </xf>
    <xf xfId="0" numFmtId="3" applyNumberFormat="1" borderId="4" applyBorder="1" fontId="11" applyFont="1" fillId="5" applyFill="1" applyAlignment="1">
      <alignment horizontal="right" wrapText="1"/>
    </xf>
    <xf xfId="0" numFmtId="3" applyNumberFormat="1" borderId="4" applyBorder="1" fontId="11" applyFont="1" fillId="3" applyFill="1" applyAlignment="1">
      <alignment horizontal="center" wrapText="1"/>
    </xf>
    <xf xfId="0" numFmtId="3" applyNumberFormat="1" borderId="4" applyBorder="1" fontId="11" applyFont="1" fillId="3" applyFill="1" applyAlignment="1">
      <alignment horizontal="right" wrapText="1"/>
    </xf>
    <xf xfId="0" numFmtId="3" applyNumberFormat="1" borderId="4" applyBorder="1" fontId="11" applyFont="1" fillId="3" applyFill="1" applyAlignment="1">
      <alignment horizontal="center"/>
    </xf>
    <xf xfId="0" numFmtId="165" applyNumberFormat="1" borderId="6" applyBorder="1" fontId="1" applyFont="1" fillId="0" applyAlignment="1">
      <alignment horizontal="center" wrapText="1"/>
    </xf>
    <xf xfId="0" numFmtId="3" applyNumberFormat="1" borderId="4" applyBorder="1" fontId="11" applyFont="1" fillId="5" applyFill="1" applyAlignment="1">
      <alignment horizontal="center"/>
    </xf>
    <xf xfId="0" numFmtId="3" applyNumberFormat="1" borderId="4" applyBorder="1" fontId="11" applyFont="1" fillId="5" applyFill="1" applyAlignment="1">
      <alignment horizontal="left"/>
    </xf>
    <xf xfId="0" numFmtId="3" applyNumberFormat="1" borderId="4" applyBorder="1" fontId="3" applyFont="1" fillId="4" applyFill="1" applyAlignment="1">
      <alignment horizontal="center"/>
    </xf>
    <xf xfId="0" numFmtId="165" applyNumberFormat="1" borderId="4" applyBorder="1" fontId="1" applyFont="1" fillId="0" applyAlignment="1">
      <alignment horizontal="left" wrapText="1"/>
    </xf>
    <xf xfId="0" numFmtId="3" applyNumberFormat="1" borderId="4" applyBorder="1" fontId="10" applyFont="1" fillId="5" applyFill="1" applyAlignment="1">
      <alignment horizontal="right" wrapText="1"/>
    </xf>
    <xf xfId="0" numFmtId="3" applyNumberFormat="1" borderId="4" applyBorder="1" fontId="4" applyFont="1" fillId="5" applyFill="1" applyAlignment="1">
      <alignment horizontal="right" wrapText="1"/>
    </xf>
    <xf xfId="0" numFmtId="3" applyNumberFormat="1" borderId="4" applyBorder="1" fontId="11" applyFont="1" fillId="5" applyFill="1" applyAlignment="1">
      <alignment horizontal="right"/>
    </xf>
    <xf xfId="0" numFmtId="3" applyNumberFormat="1" borderId="4" applyBorder="1" fontId="11" applyFont="1" fillId="3" applyFill="1" applyAlignment="1">
      <alignment horizontal="right"/>
    </xf>
    <xf xfId="0" numFmtId="3" applyNumberFormat="1" borderId="2" applyBorder="1" fontId="11" applyFont="1" fillId="0" applyAlignment="1">
      <alignment horizontal="center"/>
    </xf>
    <xf xfId="0" numFmtId="3" applyNumberFormat="1" borderId="2" applyBorder="1" fontId="11" applyFont="1" fillId="0" applyAlignment="1">
      <alignment horizontal="left"/>
    </xf>
    <xf xfId="0" numFmtId="3" applyNumberFormat="1" borderId="2" applyBorder="1" fontId="11" applyFont="1" fillId="0" applyAlignment="1">
      <alignment horizontal="center" wrapText="1"/>
    </xf>
    <xf xfId="0" numFmtId="3" applyNumberFormat="1" borderId="2" applyBorder="1" fontId="4" applyFont="1" fillId="0" applyAlignment="1">
      <alignment horizontal="right" wrapText="1"/>
    </xf>
    <xf xfId="0" numFmtId="3" applyNumberFormat="1" borderId="2" applyBorder="1" fontId="11" applyFont="1" fillId="0" applyAlignment="1">
      <alignment horizontal="right" wrapText="1"/>
    </xf>
    <xf xfId="0" numFmtId="3" applyNumberFormat="1" borderId="4" applyBorder="1" fontId="10" applyFont="1" fillId="0" applyAlignment="1">
      <alignment horizontal="center" wrapText="1"/>
    </xf>
    <xf xfId="0" numFmtId="3" applyNumberFormat="1" borderId="4" applyBorder="1" fontId="10" applyFont="1" fillId="0" applyAlignment="1">
      <alignment horizontal="right" wrapText="1"/>
    </xf>
    <xf xfId="0" numFmtId="3" applyNumberFormat="1" borderId="2" applyBorder="1" fontId="10" applyFont="1" fillId="0" applyAlignment="1">
      <alignment horizontal="center" wrapText="1"/>
    </xf>
    <xf xfId="0" numFmtId="3" applyNumberFormat="1" borderId="2" applyBorder="1" fontId="2" applyFont="1" fillId="0" applyAlignment="1">
      <alignment horizontal="right" wrapText="1"/>
    </xf>
    <xf xfId="0" numFmtId="3" applyNumberFormat="1" borderId="2" applyBorder="1" fontId="10" applyFont="1" fillId="0" applyAlignment="1">
      <alignment horizontal="right" wrapText="1"/>
    </xf>
    <xf xfId="0" numFmtId="3" applyNumberFormat="1" borderId="0" fontId="0" fillId="0" applyAlignment="1">
      <alignment horizontal="right"/>
    </xf>
    <xf xfId="0" numFmtId="3" applyNumberFormat="1" borderId="2" applyBorder="1" fontId="1" applyFont="1" fillId="0" applyAlignment="1">
      <alignment horizontal="center" wrapText="1"/>
    </xf>
    <xf xfId="0" numFmtId="3" applyNumberFormat="1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3" applyNumberFormat="1" borderId="2" applyBorder="1" fontId="12" applyFont="1" fillId="0" applyAlignment="1">
      <alignment horizontal="left"/>
    </xf>
    <xf xfId="0" numFmtId="3" applyNumberFormat="1" borderId="2" applyBorder="1" fontId="13" applyFont="1" fillId="0" applyAlignment="1">
      <alignment horizontal="center"/>
    </xf>
    <xf xfId="0" numFmtId="3" applyNumberFormat="1" borderId="2" applyBorder="1" fontId="14" applyFont="1" fillId="0" applyAlignment="1">
      <alignment horizontal="center"/>
    </xf>
    <xf xfId="0" numFmtId="3" applyNumberFormat="1" borderId="2" applyBorder="1" fontId="13" applyFont="1" fillId="0" applyAlignment="1">
      <alignment horizontal="right"/>
    </xf>
    <xf xfId="0" numFmtId="3" applyNumberFormat="1" borderId="2" applyBorder="1" fontId="15" applyFont="1" fillId="0" applyAlignment="1">
      <alignment horizontal="right" wrapText="1"/>
    </xf>
    <xf xfId="0" numFmtId="3" applyNumberFormat="1" borderId="2" applyBorder="1" fontId="16" applyFont="1" fillId="0" applyAlignment="1">
      <alignment horizontal="right"/>
    </xf>
    <xf xfId="0" numFmtId="165" applyNumberFormat="1" borderId="0" fontId="0" fillId="0" applyAlignment="1">
      <alignment horizontal="general" wrapText="1"/>
    </xf>
    <xf xfId="0" numFmtId="3" applyNumberFormat="1" borderId="2" applyBorder="1" fontId="13" applyFont="1" fillId="0" applyAlignment="1">
      <alignment horizontal="left"/>
    </xf>
    <xf xfId="0" numFmtId="3" applyNumberFormat="1" borderId="2" applyBorder="1" fontId="16" applyFont="1" fillId="0" applyAlignment="1">
      <alignment horizontal="left"/>
    </xf>
    <xf xfId="0" numFmtId="3" applyNumberFormat="1" borderId="2" applyBorder="1" fontId="15" applyFont="1" fillId="0" applyAlignment="1">
      <alignment horizontal="center"/>
    </xf>
    <xf xfId="0" numFmtId="3" applyNumberFormat="1" borderId="1" applyBorder="1" fontId="16" applyFont="1" fillId="0" applyAlignment="1">
      <alignment horizontal="right"/>
    </xf>
    <xf xfId="0" numFmtId="17" applyNumberFormat="1" borderId="1" applyBorder="1" fontId="15" applyFont="1" fillId="0" applyAlignment="1">
      <alignment horizontal="left"/>
    </xf>
    <xf xfId="0" numFmtId="3" applyNumberFormat="1" borderId="4" applyBorder="1" fontId="12" applyFont="1" fillId="0" applyAlignment="1">
      <alignment horizontal="center" vertical="top"/>
    </xf>
    <xf xfId="0" numFmtId="49" applyNumberFormat="1" borderId="4" applyBorder="1" fontId="12" applyFont="1" fillId="0" applyAlignment="1">
      <alignment horizontal="center" vertical="top" wrapText="1"/>
    </xf>
    <xf xfId="0" numFmtId="0" borderId="4" applyBorder="1" fontId="12" applyFont="1" fillId="0" applyAlignment="1">
      <alignment horizontal="center" vertical="top" wrapText="1"/>
    </xf>
    <xf xfId="0" numFmtId="164" applyNumberFormat="1" borderId="4" applyBorder="1" fontId="12" applyFont="1" fillId="0" applyAlignment="1">
      <alignment horizontal="center" wrapText="1"/>
    </xf>
    <xf xfId="0" numFmtId="164" applyNumberFormat="1" borderId="4" applyBorder="1" fontId="17" applyFont="1" fillId="3" applyFill="1" applyAlignment="1">
      <alignment horizontal="center"/>
    </xf>
    <xf xfId="0" numFmtId="164" applyNumberFormat="1" borderId="4" applyBorder="1" fontId="12" applyFont="1" fillId="3" applyFill="1" applyAlignment="1">
      <alignment horizontal="center" wrapText="1"/>
    </xf>
    <xf xfId="0" numFmtId="3" applyNumberFormat="1" borderId="4" applyBorder="1" fontId="12" applyFont="1" fillId="0" applyAlignment="1">
      <alignment horizontal="center"/>
    </xf>
    <xf xfId="0" numFmtId="3" applyNumberFormat="1" borderId="4" applyBorder="1" fontId="12" applyFont="1" fillId="0" applyAlignment="1">
      <alignment horizontal="center" wrapText="1"/>
    </xf>
    <xf xfId="0" numFmtId="0" borderId="4" applyBorder="1" fontId="12" applyFont="1" fillId="0" applyAlignment="1">
      <alignment horizontal="center" wrapText="1"/>
    </xf>
    <xf xfId="0" numFmtId="3" applyNumberFormat="1" borderId="4" applyBorder="1" fontId="18" applyFont="1" fillId="0" applyAlignment="1">
      <alignment horizontal="center" wrapText="1"/>
    </xf>
    <xf xfId="0" numFmtId="165" applyNumberFormat="1" borderId="4" applyBorder="1" fontId="12" applyFont="1" fillId="0" applyAlignment="1">
      <alignment horizontal="center" wrapText="1"/>
    </xf>
    <xf xfId="0" numFmtId="3" applyNumberFormat="1" borderId="4" applyBorder="1" fontId="17" applyFont="1" fillId="3" applyFill="1" applyAlignment="1">
      <alignment horizontal="center" wrapText="1"/>
    </xf>
    <xf xfId="0" numFmtId="3" applyNumberFormat="1" borderId="4" applyBorder="1" fontId="19" applyFont="1" fillId="3" applyFill="1" applyAlignment="1">
      <alignment horizontal="center" wrapText="1"/>
    </xf>
    <xf xfId="0" numFmtId="3" applyNumberFormat="1" borderId="4" applyBorder="1" fontId="12" applyFont="1" fillId="3" applyFill="1" applyAlignment="1">
      <alignment horizontal="center" wrapText="1"/>
    </xf>
    <xf xfId="0" numFmtId="3" applyNumberFormat="1" borderId="4" applyBorder="1" fontId="18" applyFont="1" fillId="3" applyFill="1" applyAlignment="1">
      <alignment horizontal="center" wrapText="1"/>
    </xf>
    <xf xfId="0" numFmtId="3" applyNumberFormat="1" borderId="4" applyBorder="1" fontId="13" applyFont="1" fillId="0" applyAlignment="1">
      <alignment horizontal="center"/>
    </xf>
    <xf xfId="0" numFmtId="49" applyNumberFormat="1" borderId="4" applyBorder="1" fontId="13" applyFont="1" fillId="0" applyAlignment="1">
      <alignment horizontal="center" wrapText="1"/>
    </xf>
    <xf xfId="0" numFmtId="0" borderId="4" applyBorder="1" fontId="13" applyFont="1" fillId="0" applyAlignment="1">
      <alignment horizontal="left" wrapText="1"/>
    </xf>
    <xf xfId="0" numFmtId="3" applyNumberFormat="1" borderId="4" applyBorder="1" fontId="13" applyFont="1" fillId="0" applyAlignment="1">
      <alignment horizontal="center" wrapText="1"/>
    </xf>
    <xf xfId="0" numFmtId="3" applyNumberFormat="1" borderId="4" applyBorder="1" fontId="14" applyFont="1" fillId="0" applyAlignment="1">
      <alignment horizontal="right" wrapText="1"/>
    </xf>
    <xf xfId="0" numFmtId="3" applyNumberFormat="1" borderId="4" applyBorder="1" fontId="13" applyFont="1" fillId="0" applyAlignment="1">
      <alignment horizontal="right" wrapText="1"/>
    </xf>
    <xf xfId="0" numFmtId="165" applyNumberFormat="1" borderId="4" applyBorder="1" fontId="13" applyFont="1" fillId="0" applyAlignment="1">
      <alignment horizontal="center" wrapText="1"/>
    </xf>
    <xf xfId="0" numFmtId="3" applyNumberFormat="1" borderId="4" applyBorder="1" fontId="13" applyFont="1" fillId="3" applyFill="1" applyAlignment="1">
      <alignment horizontal="center" wrapText="1"/>
    </xf>
    <xf xfId="0" numFmtId="3" applyNumberFormat="1" borderId="4" applyBorder="1" fontId="14" applyFont="1" fillId="3" applyFill="1" applyAlignment="1">
      <alignment horizontal="center" wrapText="1"/>
    </xf>
    <xf xfId="0" numFmtId="3" applyNumberFormat="1" borderId="4" applyBorder="1" fontId="13" applyFont="1" fillId="3" applyFill="1" applyAlignment="1">
      <alignment horizontal="right" wrapText="1"/>
    </xf>
    <xf xfId="0" numFmtId="3" applyNumberFormat="1" borderId="4" applyBorder="1" fontId="14" applyFont="1" fillId="0" applyAlignment="1">
      <alignment horizontal="center" wrapText="1"/>
    </xf>
    <xf xfId="0" numFmtId="3" applyNumberFormat="1" borderId="4" applyBorder="1" fontId="14" applyFont="1" fillId="3" applyFill="1" applyAlignment="1">
      <alignment horizontal="right" wrapText="1"/>
    </xf>
    <xf xfId="0" numFmtId="3" applyNumberFormat="1" borderId="4" applyBorder="1" fontId="15" applyFont="1" fillId="0" applyAlignment="1">
      <alignment horizontal="center" wrapText="1"/>
    </xf>
    <xf xfId="0" numFmtId="3" applyNumberFormat="1" borderId="4" applyBorder="1" fontId="16" applyFont="1" fillId="0" applyAlignment="1">
      <alignment horizontal="center" wrapText="1"/>
    </xf>
    <xf xfId="0" numFmtId="165" applyNumberFormat="1" borderId="4" applyBorder="1" fontId="15" applyFont="1" fillId="0" applyAlignment="1">
      <alignment horizontal="center" wrapText="1"/>
    </xf>
    <xf xfId="0" numFmtId="49" applyNumberFormat="1" borderId="3" applyBorder="1" fontId="13" applyFont="1" fillId="0" applyAlignment="1">
      <alignment horizontal="center" wrapText="1"/>
    </xf>
    <xf xfId="0" numFmtId="0" borderId="3" applyBorder="1" fontId="13" applyFont="1" fillId="0" applyAlignment="1">
      <alignment horizontal="left" wrapText="1"/>
    </xf>
    <xf xfId="0" numFmtId="3" applyNumberFormat="1" borderId="4" applyBorder="1" fontId="13" applyFont="1" fillId="3" applyFill="1" applyAlignment="1">
      <alignment horizontal="left"/>
    </xf>
    <xf xfId="0" numFmtId="3" applyNumberFormat="1" borderId="4" applyBorder="1" fontId="14" applyFont="1" fillId="3" applyFill="1" applyAlignment="1">
      <alignment horizontal="center"/>
    </xf>
    <xf xfId="0" numFmtId="3" applyNumberFormat="1" borderId="4" applyBorder="1" fontId="13" applyFont="1" fillId="3" applyFill="1" applyAlignment="1">
      <alignment horizontal="center"/>
    </xf>
    <xf xfId="0" numFmtId="3" applyNumberFormat="1" borderId="10" applyBorder="1" fontId="13" applyFont="1" fillId="3" applyFill="1" applyAlignment="1">
      <alignment horizontal="center" wrapText="1"/>
    </xf>
    <xf xfId="0" numFmtId="3" applyNumberFormat="1" borderId="10" applyBorder="1" fontId="14" applyFont="1" fillId="3" applyFill="1" applyAlignment="1">
      <alignment horizontal="center" wrapText="1"/>
    </xf>
    <xf xfId="0" numFmtId="3" applyNumberFormat="1" borderId="10" applyBorder="1" fontId="13" applyFont="1" fillId="3" applyFill="1" applyAlignment="1">
      <alignment horizontal="right" wrapText="1"/>
    </xf>
    <xf xfId="0" numFmtId="3" applyNumberFormat="1" borderId="11" applyBorder="1" fontId="13" applyFont="1" fillId="3" applyFill="1" applyAlignment="1">
      <alignment horizontal="left"/>
    </xf>
    <xf xfId="0" numFmtId="3" applyNumberFormat="1" borderId="11" applyBorder="1" fontId="14" applyFont="1" fillId="3" applyFill="1" applyAlignment="1">
      <alignment horizontal="center"/>
    </xf>
    <xf xfId="0" numFmtId="49" applyNumberFormat="1" borderId="4" applyBorder="1" fontId="13" applyFont="1" fillId="0" applyAlignment="1">
      <alignment horizontal="center"/>
    </xf>
    <xf xfId="0" numFmtId="0" borderId="4" applyBorder="1" fontId="13" applyFont="1" fillId="0" applyAlignment="1">
      <alignment horizontal="center"/>
    </xf>
    <xf xfId="0" numFmtId="3" applyNumberFormat="1" borderId="4" applyBorder="1" fontId="13" applyFont="1" fillId="3" applyFill="1" applyAlignment="1">
      <alignment horizontal="right"/>
    </xf>
    <xf xfId="0" numFmtId="49" applyNumberFormat="1" borderId="2" applyBorder="1" fontId="13" applyFont="1" fillId="0" applyAlignment="1">
      <alignment horizontal="left"/>
    </xf>
    <xf xfId="0" numFmtId="0" borderId="2" applyBorder="1" fontId="13" applyFont="1" fillId="0" applyAlignment="1">
      <alignment horizontal="left"/>
    </xf>
    <xf xfId="0" numFmtId="165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P167"/>
  <sheetViews>
    <sheetView workbookViewId="0"/>
  </sheetViews>
  <sheetFormatPr defaultRowHeight="15" x14ac:dyDescent="0.25"/>
  <cols>
    <col min="1" max="1" style="45" width="4.005" customWidth="1" bestFit="1"/>
    <col min="2" max="2" style="46" width="5.433571428571429" customWidth="1" bestFit="1"/>
    <col min="3" max="3" style="47" width="35.57642857142857" customWidth="1" bestFit="1"/>
    <col min="4" max="4" style="45" width="5.719285714285714" customWidth="1" bestFit="1"/>
    <col min="5" max="5" style="45" width="7.576428571428571" customWidth="1" bestFit="1"/>
    <col min="6" max="6" style="45" width="9.719285714285713" customWidth="1" bestFit="1"/>
    <col min="7" max="7" style="109" width="10.576428571428572" customWidth="1" bestFit="1"/>
    <col min="8" max="8" style="45" width="6.147857142857143" customWidth="1" bestFit="1"/>
    <col min="9" max="9" style="45" width="8.147857142857141" customWidth="1" bestFit="1"/>
    <col min="10" max="10" style="45" width="10.719285714285713" customWidth="1" bestFit="1"/>
    <col min="11" max="11" style="201" width="5.719285714285714" customWidth="1" bestFit="1"/>
    <col min="12" max="12" style="45" width="7.576428571428571" customWidth="1" bestFit="1"/>
    <col min="13" max="13" style="201" width="9.719285714285713" customWidth="1" bestFit="1"/>
    <col min="14" max="14" style="259" width="9.147857142857141" customWidth="1" bestFit="1"/>
    <col min="15" max="15" style="45" width="6.147857142857143" customWidth="1" bestFit="1"/>
    <col min="16" max="16" style="45" width="8.147857142857141" customWidth="1" bestFit="1"/>
    <col min="17" max="17" style="45" width="10.719285714285713" customWidth="1" bestFit="1"/>
    <col min="18" max="18" style="201" width="5.719285714285714" customWidth="1" bestFit="1"/>
    <col min="19" max="19" style="45" width="7.576428571428571" customWidth="1" bestFit="1"/>
    <col min="20" max="20" style="45" width="11.147857142857141" customWidth="1" bestFit="1"/>
    <col min="21" max="21" style="259" width="9.290714285714287" customWidth="1" bestFit="1"/>
    <col min="22" max="22" style="45" width="6.147857142857143" customWidth="1" bestFit="1"/>
    <col min="23" max="23" style="45" width="8.147857142857141" customWidth="1" bestFit="1"/>
    <col min="24" max="24" style="45" width="10.719285714285713" customWidth="1" bestFit="1"/>
    <col min="25" max="25" style="45" width="5.719285714285714" customWidth="1" bestFit="1"/>
    <col min="26" max="26" style="45" width="7.576428571428571" customWidth="1" bestFit="1"/>
    <col min="27" max="27" style="45" width="10.862142857142858" customWidth="1" bestFit="1"/>
    <col min="28" max="28" style="45" width="6.147857142857143" customWidth="1" bestFit="1"/>
    <col min="29" max="29" style="45" width="8.147857142857141" customWidth="1" bestFit="1"/>
    <col min="30" max="30" style="45" width="11.290714285714287" customWidth="1" bestFit="1"/>
    <col min="31" max="31" style="201" width="5.719285714285714" customWidth="1" bestFit="1"/>
    <col min="32" max="32" style="45" width="7.576428571428571" customWidth="1" bestFit="1"/>
    <col min="33" max="33" style="45" width="11.719285714285713" customWidth="1" bestFit="1"/>
    <col min="34" max="34" style="45" width="6.147857142857143" customWidth="1" bestFit="1"/>
    <col min="35" max="35" style="45" width="8.147857142857141" customWidth="1" bestFit="1"/>
    <col min="36" max="36" style="45" width="10.43357142857143" customWidth="1" bestFit="1"/>
    <col min="37" max="37" style="201" width="5.719285714285714" customWidth="1" bestFit="1"/>
    <col min="38" max="38" style="45" width="7.576428571428571" customWidth="1" bestFit="1"/>
    <col min="39" max="39" style="201" width="9.719285714285713" customWidth="1" bestFit="1"/>
    <col min="40" max="40" style="201" width="5.719285714285714" customWidth="1" bestFit="1"/>
    <col min="41" max="41" style="45" width="7.576428571428571" customWidth="1" bestFit="1"/>
    <col min="42" max="42" style="201" width="9.719285714285713" customWidth="1" bestFit="1"/>
  </cols>
  <sheetData>
    <row x14ac:dyDescent="0.25" r="1" customHeight="1" ht="28.5">
      <c r="A1" s="202" t="s">
        <v>242</v>
      </c>
      <c r="B1" s="39"/>
      <c r="C1" s="5"/>
      <c r="D1" s="38"/>
      <c r="E1" s="38"/>
      <c r="F1" s="38"/>
      <c r="G1" s="79"/>
      <c r="H1" s="203"/>
      <c r="I1" s="204"/>
      <c r="J1" s="205"/>
      <c r="K1" s="206"/>
      <c r="L1" s="207"/>
      <c r="M1" s="206"/>
      <c r="N1" s="208"/>
      <c r="O1" s="209"/>
      <c r="P1" s="204"/>
      <c r="Q1" s="209"/>
      <c r="R1" s="200"/>
      <c r="S1" s="210"/>
      <c r="T1" s="38"/>
      <c r="U1" s="208"/>
      <c r="V1" s="209"/>
      <c r="W1" s="204"/>
      <c r="X1" s="209"/>
      <c r="Y1" s="38"/>
      <c r="Z1" s="210"/>
      <c r="AA1" s="38"/>
      <c r="AB1" s="209"/>
      <c r="AC1" s="204"/>
      <c r="AD1" s="209"/>
      <c r="AE1" s="200"/>
      <c r="AF1" s="210"/>
      <c r="AG1" s="38"/>
      <c r="AH1" s="209"/>
      <c r="AI1" s="204"/>
      <c r="AJ1" s="209"/>
      <c r="AK1" s="200"/>
      <c r="AL1" s="210"/>
      <c r="AM1" s="200"/>
      <c r="AN1" s="200"/>
      <c r="AO1" s="210"/>
      <c r="AP1" s="200"/>
    </row>
    <row x14ac:dyDescent="0.25" r="2" customHeight="1" ht="30">
      <c r="A2" s="38"/>
      <c r="B2" s="211"/>
      <c r="C2" s="5"/>
      <c r="D2" s="211"/>
      <c r="E2" s="212"/>
      <c r="F2" s="213"/>
      <c r="G2" s="213"/>
      <c r="H2" s="209"/>
      <c r="I2" s="204"/>
      <c r="J2" s="209"/>
      <c r="K2" s="200"/>
      <c r="L2" s="207"/>
      <c r="M2" s="200"/>
      <c r="N2" s="208"/>
      <c r="O2" s="209"/>
      <c r="P2" s="204"/>
      <c r="Q2" s="209"/>
      <c r="R2" s="200"/>
      <c r="S2" s="210"/>
      <c r="T2" s="38"/>
      <c r="U2" s="208"/>
      <c r="V2" s="209"/>
      <c r="W2" s="204"/>
      <c r="X2" s="209"/>
      <c r="Y2" s="38"/>
      <c r="Z2" s="210"/>
      <c r="AA2" s="38"/>
      <c r="AB2" s="209"/>
      <c r="AC2" s="204"/>
      <c r="AD2" s="209"/>
      <c r="AE2" s="200"/>
      <c r="AF2" s="210"/>
      <c r="AG2" s="38"/>
      <c r="AH2" s="209"/>
      <c r="AI2" s="204"/>
      <c r="AJ2" s="209"/>
      <c r="AK2" s="200"/>
      <c r="AL2" s="210"/>
      <c r="AM2" s="200"/>
      <c r="AN2" s="200"/>
      <c r="AO2" s="210"/>
      <c r="AP2" s="200"/>
    </row>
    <row x14ac:dyDescent="0.25" r="3" customHeight="1" ht="36.75">
      <c r="A3" s="214" t="s">
        <v>1</v>
      </c>
      <c r="B3" s="215" t="s">
        <v>2</v>
      </c>
      <c r="C3" s="216" t="s">
        <v>3</v>
      </c>
      <c r="D3" s="217">
        <v>44197</v>
      </c>
      <c r="E3" s="217"/>
      <c r="F3" s="217"/>
      <c r="G3" s="217"/>
      <c r="H3" s="218">
        <v>44562</v>
      </c>
      <c r="I3" s="218"/>
      <c r="J3" s="218"/>
      <c r="K3" s="217">
        <v>44228</v>
      </c>
      <c r="L3" s="217"/>
      <c r="M3" s="217"/>
      <c r="N3" s="217"/>
      <c r="O3" s="218">
        <v>44593</v>
      </c>
      <c r="P3" s="218"/>
      <c r="Q3" s="218"/>
      <c r="R3" s="217">
        <v>44256</v>
      </c>
      <c r="S3" s="217"/>
      <c r="T3" s="217"/>
      <c r="U3" s="217"/>
      <c r="V3" s="218">
        <v>44621</v>
      </c>
      <c r="W3" s="218"/>
      <c r="X3" s="218"/>
      <c r="Y3" s="217">
        <v>44287</v>
      </c>
      <c r="Z3" s="217"/>
      <c r="AA3" s="217"/>
      <c r="AB3" s="218">
        <v>44652</v>
      </c>
      <c r="AC3" s="218"/>
      <c r="AD3" s="218"/>
      <c r="AE3" s="217">
        <v>44317</v>
      </c>
      <c r="AF3" s="217"/>
      <c r="AG3" s="217"/>
      <c r="AH3" s="218">
        <v>44682</v>
      </c>
      <c r="AI3" s="218"/>
      <c r="AJ3" s="218"/>
      <c r="AK3" s="217">
        <v>44348</v>
      </c>
      <c r="AL3" s="217"/>
      <c r="AM3" s="217"/>
      <c r="AN3" s="219">
        <v>44713</v>
      </c>
      <c r="AO3" s="219"/>
      <c r="AP3" s="219"/>
    </row>
    <row x14ac:dyDescent="0.25" r="4" customHeight="1" ht="29.25">
      <c r="A4" s="220"/>
      <c r="B4" s="221"/>
      <c r="C4" s="222"/>
      <c r="D4" s="221" t="s">
        <v>9</v>
      </c>
      <c r="E4" s="223" t="s">
        <v>10</v>
      </c>
      <c r="F4" s="221" t="s">
        <v>11</v>
      </c>
      <c r="G4" s="224" t="s">
        <v>197</v>
      </c>
      <c r="H4" s="225" t="s">
        <v>9</v>
      </c>
      <c r="I4" s="226" t="s">
        <v>10</v>
      </c>
      <c r="J4" s="225" t="s">
        <v>11</v>
      </c>
      <c r="K4" s="221" t="s">
        <v>9</v>
      </c>
      <c r="L4" s="223" t="s">
        <v>10</v>
      </c>
      <c r="M4" s="221" t="s">
        <v>11</v>
      </c>
      <c r="N4" s="224" t="s">
        <v>197</v>
      </c>
      <c r="O4" s="225" t="s">
        <v>9</v>
      </c>
      <c r="P4" s="226" t="s">
        <v>10</v>
      </c>
      <c r="Q4" s="225" t="s">
        <v>11</v>
      </c>
      <c r="R4" s="221" t="s">
        <v>9</v>
      </c>
      <c r="S4" s="223" t="s">
        <v>10</v>
      </c>
      <c r="T4" s="221" t="s">
        <v>11</v>
      </c>
      <c r="U4" s="224" t="s">
        <v>197</v>
      </c>
      <c r="V4" s="225" t="s">
        <v>9</v>
      </c>
      <c r="W4" s="226" t="s">
        <v>10</v>
      </c>
      <c r="X4" s="225" t="s">
        <v>11</v>
      </c>
      <c r="Y4" s="221" t="s">
        <v>9</v>
      </c>
      <c r="Z4" s="223" t="s">
        <v>10</v>
      </c>
      <c r="AA4" s="221" t="s">
        <v>11</v>
      </c>
      <c r="AB4" s="225" t="s">
        <v>9</v>
      </c>
      <c r="AC4" s="226" t="s">
        <v>10</v>
      </c>
      <c r="AD4" s="225" t="s">
        <v>11</v>
      </c>
      <c r="AE4" s="221" t="s">
        <v>9</v>
      </c>
      <c r="AF4" s="223" t="s">
        <v>10</v>
      </c>
      <c r="AG4" s="221" t="s">
        <v>11</v>
      </c>
      <c r="AH4" s="225" t="s">
        <v>9</v>
      </c>
      <c r="AI4" s="226" t="s">
        <v>10</v>
      </c>
      <c r="AJ4" s="225" t="s">
        <v>11</v>
      </c>
      <c r="AK4" s="221" t="s">
        <v>9</v>
      </c>
      <c r="AL4" s="223" t="s">
        <v>10</v>
      </c>
      <c r="AM4" s="221" t="s">
        <v>11</v>
      </c>
      <c r="AN4" s="227" t="s">
        <v>9</v>
      </c>
      <c r="AO4" s="228" t="s">
        <v>10</v>
      </c>
      <c r="AP4" s="227" t="s">
        <v>11</v>
      </c>
    </row>
    <row x14ac:dyDescent="0.25" r="5" customHeight="1" ht="23.25">
      <c r="A5" s="229">
        <v>1</v>
      </c>
      <c r="B5" s="230" t="s">
        <v>12</v>
      </c>
      <c r="C5" s="231" t="s">
        <v>13</v>
      </c>
      <c r="D5" s="232">
        <v>180</v>
      </c>
      <c r="E5" s="233">
        <v>15000</v>
      </c>
      <c r="F5" s="234">
        <f>D5*E5*98%</f>
      </c>
      <c r="G5" s="235">
        <v>0.02</v>
      </c>
      <c r="H5" s="236">
        <v>100</v>
      </c>
      <c r="I5" s="237">
        <v>20000</v>
      </c>
      <c r="J5" s="238">
        <f>H5*I5</f>
      </c>
      <c r="K5" s="232">
        <v>50</v>
      </c>
      <c r="L5" s="233">
        <v>15000</v>
      </c>
      <c r="M5" s="234">
        <f>K5*L5*98%</f>
      </c>
      <c r="N5" s="235">
        <v>0.02</v>
      </c>
      <c r="O5" s="236">
        <v>100</v>
      </c>
      <c r="P5" s="237">
        <v>20000</v>
      </c>
      <c r="Q5" s="238">
        <f>O5*P5</f>
      </c>
      <c r="R5" s="232">
        <v>20</v>
      </c>
      <c r="S5" s="239">
        <v>15000</v>
      </c>
      <c r="T5" s="229">
        <f>R5*S5*98%</f>
      </c>
      <c r="U5" s="235">
        <v>0.02</v>
      </c>
      <c r="V5" s="236">
        <v>100</v>
      </c>
      <c r="W5" s="237">
        <v>20000</v>
      </c>
      <c r="X5" s="238">
        <f>V5*W5</f>
      </c>
      <c r="Y5" s="229">
        <v>25</v>
      </c>
      <c r="Z5" s="239">
        <v>15000</v>
      </c>
      <c r="AA5" s="229">
        <f>Y5*Z5</f>
      </c>
      <c r="AB5" s="236">
        <v>200</v>
      </c>
      <c r="AC5" s="237">
        <v>20000</v>
      </c>
      <c r="AD5" s="238">
        <f>AB5*AC5</f>
      </c>
      <c r="AE5" s="232">
        <v>175</v>
      </c>
      <c r="AF5" s="239">
        <v>15000</v>
      </c>
      <c r="AG5" s="229">
        <f>AE5*AF5</f>
      </c>
      <c r="AH5" s="236">
        <v>128</v>
      </c>
      <c r="AI5" s="237">
        <v>20000</v>
      </c>
      <c r="AJ5" s="238">
        <f>AH5*AI5</f>
      </c>
      <c r="AK5" s="232">
        <v>60</v>
      </c>
      <c r="AL5" s="233">
        <v>15000</v>
      </c>
      <c r="AM5" s="234">
        <f>AK5*AL5</f>
      </c>
      <c r="AN5" s="236">
        <v>372</v>
      </c>
      <c r="AO5" s="240">
        <v>20000</v>
      </c>
      <c r="AP5" s="238">
        <f>AN5*AO5</f>
      </c>
    </row>
    <row x14ac:dyDescent="0.25" r="6" customHeight="1" ht="23.25">
      <c r="A6" s="229">
        <v>2</v>
      </c>
      <c r="B6" s="230" t="s">
        <v>14</v>
      </c>
      <c r="C6" s="231" t="s">
        <v>15</v>
      </c>
      <c r="D6" s="232">
        <v>100</v>
      </c>
      <c r="E6" s="233">
        <v>14000</v>
      </c>
      <c r="F6" s="234">
        <f>D6*E6*98%</f>
      </c>
      <c r="G6" s="235">
        <v>0.02</v>
      </c>
      <c r="H6" s="236">
        <v>80</v>
      </c>
      <c r="I6" s="237">
        <v>20000</v>
      </c>
      <c r="J6" s="238">
        <f>H6*I6</f>
      </c>
      <c r="K6" s="232">
        <v>50</v>
      </c>
      <c r="L6" s="233">
        <v>14000</v>
      </c>
      <c r="M6" s="234">
        <f>K6*L6*98%</f>
      </c>
      <c r="N6" s="235">
        <v>0.02</v>
      </c>
      <c r="O6" s="236"/>
      <c r="P6" s="237"/>
      <c r="Q6" s="238"/>
      <c r="R6" s="232"/>
      <c r="S6" s="239"/>
      <c r="T6" s="229"/>
      <c r="U6" s="235"/>
      <c r="V6" s="236">
        <v>20</v>
      </c>
      <c r="W6" s="237">
        <v>20000</v>
      </c>
      <c r="X6" s="238">
        <f>V6*W6</f>
      </c>
      <c r="Y6" s="229">
        <v>60</v>
      </c>
      <c r="Z6" s="239">
        <v>14000</v>
      </c>
      <c r="AA6" s="229">
        <f>Y6*Z6</f>
      </c>
      <c r="AB6" s="236">
        <v>100</v>
      </c>
      <c r="AC6" s="237">
        <v>20000</v>
      </c>
      <c r="AD6" s="238">
        <f>AB6*AC6</f>
      </c>
      <c r="AE6" s="232">
        <v>190</v>
      </c>
      <c r="AF6" s="239">
        <v>14000</v>
      </c>
      <c r="AG6" s="229">
        <f>AE6*AF6</f>
      </c>
      <c r="AH6" s="236">
        <v>150</v>
      </c>
      <c r="AI6" s="237">
        <v>20000</v>
      </c>
      <c r="AJ6" s="238">
        <f>AH6*AI6</f>
      </c>
      <c r="AK6" s="232">
        <v>50</v>
      </c>
      <c r="AL6" s="233">
        <v>14000</v>
      </c>
      <c r="AM6" s="234">
        <f>AK6*AL6</f>
      </c>
      <c r="AN6" s="236">
        <v>150</v>
      </c>
      <c r="AO6" s="240">
        <v>20000</v>
      </c>
      <c r="AP6" s="238">
        <f>AN6*AO6</f>
      </c>
    </row>
    <row x14ac:dyDescent="0.25" r="7" customHeight="1" ht="29.25">
      <c r="A7" s="229">
        <v>3</v>
      </c>
      <c r="B7" s="230" t="s">
        <v>17</v>
      </c>
      <c r="C7" s="231" t="s">
        <v>18</v>
      </c>
      <c r="D7" s="241"/>
      <c r="E7" s="242"/>
      <c r="F7" s="241"/>
      <c r="G7" s="243"/>
      <c r="H7" s="236"/>
      <c r="I7" s="237"/>
      <c r="J7" s="236"/>
      <c r="K7" s="232">
        <v>135</v>
      </c>
      <c r="L7" s="233">
        <v>36500</v>
      </c>
      <c r="M7" s="234">
        <f>K7*L7*98%</f>
      </c>
      <c r="N7" s="235">
        <v>0.02</v>
      </c>
      <c r="O7" s="236">
        <v>48</v>
      </c>
      <c r="P7" s="237">
        <v>52500</v>
      </c>
      <c r="Q7" s="238">
        <f>O7*P7</f>
      </c>
      <c r="R7" s="232">
        <v>65</v>
      </c>
      <c r="S7" s="239">
        <v>36500</v>
      </c>
      <c r="T7" s="229">
        <f>R7*S7*98%</f>
      </c>
      <c r="U7" s="235">
        <v>0.02</v>
      </c>
      <c r="V7" s="236">
        <v>52</v>
      </c>
      <c r="W7" s="237">
        <v>52500</v>
      </c>
      <c r="X7" s="238">
        <f>V7*W7</f>
      </c>
      <c r="Y7" s="241"/>
      <c r="Z7" s="242"/>
      <c r="AA7" s="241"/>
      <c r="AB7" s="236">
        <v>28</v>
      </c>
      <c r="AC7" s="237">
        <v>52500</v>
      </c>
      <c r="AD7" s="238">
        <f>AB7*AC7</f>
      </c>
      <c r="AE7" s="241"/>
      <c r="AF7" s="242"/>
      <c r="AG7" s="241"/>
      <c r="AH7" s="236">
        <v>22</v>
      </c>
      <c r="AI7" s="237">
        <v>52500</v>
      </c>
      <c r="AJ7" s="238">
        <f>AH7*AI7</f>
      </c>
      <c r="AK7" s="232">
        <v>20</v>
      </c>
      <c r="AL7" s="233">
        <v>40200</v>
      </c>
      <c r="AM7" s="234">
        <f>AK7*AL7</f>
      </c>
      <c r="AN7" s="236"/>
      <c r="AO7" s="240"/>
      <c r="AP7" s="238">
        <f>AN7*AO7</f>
      </c>
    </row>
    <row x14ac:dyDescent="0.25" r="8" customHeight="1" ht="23.25">
      <c r="A8" s="229">
        <v>4</v>
      </c>
      <c r="B8" s="230" t="s">
        <v>19</v>
      </c>
      <c r="C8" s="231" t="s">
        <v>20</v>
      </c>
      <c r="D8" s="232">
        <v>955</v>
      </c>
      <c r="E8" s="233">
        <v>37000</v>
      </c>
      <c r="F8" s="234">
        <f>D8*E8*98%</f>
      </c>
      <c r="G8" s="235">
        <v>0.02</v>
      </c>
      <c r="H8" s="236">
        <v>633</v>
      </c>
      <c r="I8" s="237">
        <v>53000</v>
      </c>
      <c r="J8" s="238">
        <f>H8*I8</f>
      </c>
      <c r="K8" s="232">
        <v>360</v>
      </c>
      <c r="L8" s="233">
        <v>37000</v>
      </c>
      <c r="M8" s="234">
        <f>K8*L8*98%</f>
      </c>
      <c r="N8" s="235">
        <v>0.02</v>
      </c>
      <c r="O8" s="236">
        <v>485</v>
      </c>
      <c r="P8" s="237">
        <v>53000</v>
      </c>
      <c r="Q8" s="238">
        <f>O8*P8</f>
      </c>
      <c r="R8" s="232">
        <v>113</v>
      </c>
      <c r="S8" s="239">
        <v>37000</v>
      </c>
      <c r="T8" s="229">
        <f>R8*S8*98%</f>
      </c>
      <c r="U8" s="235">
        <v>0.02</v>
      </c>
      <c r="V8" s="236">
        <v>653</v>
      </c>
      <c r="W8" s="237">
        <v>53000</v>
      </c>
      <c r="X8" s="238">
        <f>V8*W8</f>
      </c>
      <c r="Y8" s="229">
        <v>266</v>
      </c>
      <c r="Z8" s="239">
        <v>37000</v>
      </c>
      <c r="AA8" s="229">
        <f>Y8*Z8</f>
      </c>
      <c r="AB8" s="236">
        <v>419</v>
      </c>
      <c r="AC8" s="237">
        <v>53000</v>
      </c>
      <c r="AD8" s="238">
        <f>AB8*AC8</f>
      </c>
      <c r="AE8" s="232">
        <v>661</v>
      </c>
      <c r="AF8" s="239">
        <v>40700</v>
      </c>
      <c r="AG8" s="229">
        <f>AE8*AF8</f>
      </c>
      <c r="AH8" s="236">
        <v>362</v>
      </c>
      <c r="AI8" s="237">
        <v>53000</v>
      </c>
      <c r="AJ8" s="238">
        <f>AH8*AI8</f>
      </c>
      <c r="AK8" s="232">
        <v>530</v>
      </c>
      <c r="AL8" s="233">
        <v>40700</v>
      </c>
      <c r="AM8" s="234">
        <f>AK8*AL8</f>
      </c>
      <c r="AN8" s="236">
        <v>431</v>
      </c>
      <c r="AO8" s="240">
        <v>53000</v>
      </c>
      <c r="AP8" s="238">
        <f>AN8*AO8</f>
      </c>
    </row>
    <row x14ac:dyDescent="0.25" r="9" customHeight="1" ht="23.25">
      <c r="A9" s="229">
        <v>5</v>
      </c>
      <c r="B9" s="230" t="s">
        <v>21</v>
      </c>
      <c r="C9" s="231" t="s">
        <v>22</v>
      </c>
      <c r="D9" s="232">
        <v>785</v>
      </c>
      <c r="E9" s="233">
        <v>42500</v>
      </c>
      <c r="F9" s="234">
        <f>D9*E9*98%</f>
      </c>
      <c r="G9" s="235">
        <v>0.02</v>
      </c>
      <c r="H9" s="236">
        <v>318</v>
      </c>
      <c r="I9" s="237">
        <v>62500</v>
      </c>
      <c r="J9" s="238">
        <f>H9*I9</f>
      </c>
      <c r="K9" s="232">
        <v>245</v>
      </c>
      <c r="L9" s="233">
        <v>42500</v>
      </c>
      <c r="M9" s="234">
        <f>K9*L9*98%</f>
      </c>
      <c r="N9" s="235">
        <v>0.02</v>
      </c>
      <c r="O9" s="236">
        <v>129</v>
      </c>
      <c r="P9" s="237">
        <v>62500</v>
      </c>
      <c r="Q9" s="238">
        <f>O9*P9</f>
      </c>
      <c r="R9" s="232">
        <v>75</v>
      </c>
      <c r="S9" s="239">
        <v>42500</v>
      </c>
      <c r="T9" s="229">
        <f>R9*S9*98%</f>
      </c>
      <c r="U9" s="235">
        <v>0.02</v>
      </c>
      <c r="V9" s="236">
        <v>131</v>
      </c>
      <c r="W9" s="237">
        <v>62500</v>
      </c>
      <c r="X9" s="238">
        <f>V9*W9</f>
      </c>
      <c r="Y9" s="229">
        <v>110</v>
      </c>
      <c r="Z9" s="239">
        <v>42500</v>
      </c>
      <c r="AA9" s="229">
        <f>Y9*Z9</f>
      </c>
      <c r="AB9" s="236">
        <v>80</v>
      </c>
      <c r="AC9" s="237">
        <v>62500</v>
      </c>
      <c r="AD9" s="238">
        <f>AB9*AC9</f>
      </c>
      <c r="AE9" s="232">
        <v>450</v>
      </c>
      <c r="AF9" s="239">
        <v>46800</v>
      </c>
      <c r="AG9" s="229">
        <f>AE9*AF9</f>
      </c>
      <c r="AH9" s="236">
        <v>320</v>
      </c>
      <c r="AI9" s="237">
        <v>62500</v>
      </c>
      <c r="AJ9" s="238">
        <f>AH9*AI9</f>
      </c>
      <c r="AK9" s="232">
        <v>80</v>
      </c>
      <c r="AL9" s="233">
        <v>46800</v>
      </c>
      <c r="AM9" s="234">
        <f>AK9*AL9</f>
      </c>
      <c r="AN9" s="236">
        <v>200</v>
      </c>
      <c r="AO9" s="240">
        <v>62500</v>
      </c>
      <c r="AP9" s="238">
        <f>AN9*AO9</f>
      </c>
    </row>
    <row x14ac:dyDescent="0.25" r="10" customHeight="1" ht="23.25">
      <c r="A10" s="229">
        <v>6</v>
      </c>
      <c r="B10" s="230" t="s">
        <v>23</v>
      </c>
      <c r="C10" s="231" t="s">
        <v>24</v>
      </c>
      <c r="D10" s="232"/>
      <c r="E10" s="233"/>
      <c r="F10" s="234"/>
      <c r="G10" s="235"/>
      <c r="H10" s="236"/>
      <c r="I10" s="237"/>
      <c r="J10" s="238"/>
      <c r="K10" s="232"/>
      <c r="L10" s="233"/>
      <c r="M10" s="234"/>
      <c r="N10" s="235"/>
      <c r="O10" s="236">
        <v>40</v>
      </c>
      <c r="P10" s="237">
        <v>90500</v>
      </c>
      <c r="Q10" s="238">
        <f>O10*P10</f>
      </c>
      <c r="R10" s="232"/>
      <c r="S10" s="239"/>
      <c r="T10" s="229"/>
      <c r="U10" s="235"/>
      <c r="V10" s="236">
        <v>10</v>
      </c>
      <c r="W10" s="237">
        <v>90500</v>
      </c>
      <c r="X10" s="238">
        <f>V10*W10</f>
      </c>
      <c r="Y10" s="229"/>
      <c r="Z10" s="239"/>
      <c r="AA10" s="229"/>
      <c r="AB10" s="236">
        <v>19</v>
      </c>
      <c r="AC10" s="237">
        <v>90500</v>
      </c>
      <c r="AD10" s="238">
        <f>AB10*AC10</f>
      </c>
      <c r="AE10" s="232"/>
      <c r="AF10" s="239"/>
      <c r="AG10" s="229"/>
      <c r="AH10" s="236">
        <v>21</v>
      </c>
      <c r="AI10" s="237">
        <v>90500</v>
      </c>
      <c r="AJ10" s="238">
        <f>AH10*AI10</f>
      </c>
      <c r="AK10" s="232">
        <v>75</v>
      </c>
      <c r="AL10" s="233">
        <v>62400</v>
      </c>
      <c r="AM10" s="234">
        <f>AK10*AL10</f>
      </c>
      <c r="AN10" s="236"/>
      <c r="AO10" s="240"/>
      <c r="AP10" s="238">
        <f>AN10*AO10</f>
      </c>
    </row>
    <row x14ac:dyDescent="0.25" r="11" customHeight="1" ht="23.25">
      <c r="A11" s="229">
        <v>7</v>
      </c>
      <c r="B11" s="230" t="s">
        <v>25</v>
      </c>
      <c r="C11" s="231" t="s">
        <v>26</v>
      </c>
      <c r="D11" s="232"/>
      <c r="E11" s="233"/>
      <c r="F11" s="234"/>
      <c r="G11" s="235"/>
      <c r="H11" s="236">
        <v>21</v>
      </c>
      <c r="I11" s="237">
        <v>64000</v>
      </c>
      <c r="J11" s="238">
        <f>H11*I11</f>
      </c>
      <c r="K11" s="232"/>
      <c r="L11" s="233"/>
      <c r="M11" s="234"/>
      <c r="N11" s="235"/>
      <c r="O11" s="236">
        <v>50</v>
      </c>
      <c r="P11" s="237">
        <v>64000</v>
      </c>
      <c r="Q11" s="238">
        <f>O11*P11</f>
      </c>
      <c r="R11" s="232"/>
      <c r="S11" s="239"/>
      <c r="T11" s="229"/>
      <c r="U11" s="235"/>
      <c r="V11" s="236">
        <v>50</v>
      </c>
      <c r="W11" s="237">
        <v>64000</v>
      </c>
      <c r="X11" s="238">
        <f>V11*W11</f>
      </c>
      <c r="Y11" s="229"/>
      <c r="Z11" s="239"/>
      <c r="AA11" s="229"/>
      <c r="AB11" s="236"/>
      <c r="AC11" s="237"/>
      <c r="AD11" s="238"/>
      <c r="AE11" s="232"/>
      <c r="AF11" s="239"/>
      <c r="AG11" s="229"/>
      <c r="AH11" s="236"/>
      <c r="AI11" s="237"/>
      <c r="AJ11" s="238"/>
      <c r="AK11" s="232">
        <v>20</v>
      </c>
      <c r="AL11" s="233">
        <v>47900</v>
      </c>
      <c r="AM11" s="234">
        <f>AK11*AL11</f>
      </c>
      <c r="AN11" s="236">
        <v>50</v>
      </c>
      <c r="AO11" s="240">
        <v>64000</v>
      </c>
      <c r="AP11" s="238">
        <f>AN11*AO11</f>
      </c>
    </row>
    <row x14ac:dyDescent="0.25" r="12" customHeight="1" ht="23.25">
      <c r="A12" s="229">
        <v>8</v>
      </c>
      <c r="B12" s="230" t="s">
        <v>27</v>
      </c>
      <c r="C12" s="231" t="s">
        <v>28</v>
      </c>
      <c r="D12" s="232">
        <v>80</v>
      </c>
      <c r="E12" s="233">
        <v>44000</v>
      </c>
      <c r="F12" s="234">
        <f>D12*E12*98%</f>
      </c>
      <c r="G12" s="235">
        <v>0.02</v>
      </c>
      <c r="H12" s="236">
        <v>33</v>
      </c>
      <c r="I12" s="237">
        <v>64500</v>
      </c>
      <c r="J12" s="238">
        <f>H12*I12</f>
      </c>
      <c r="K12" s="232"/>
      <c r="L12" s="233"/>
      <c r="M12" s="234"/>
      <c r="N12" s="235"/>
      <c r="O12" s="236">
        <v>150</v>
      </c>
      <c r="P12" s="237">
        <v>64500</v>
      </c>
      <c r="Q12" s="238">
        <f>O12*P12</f>
      </c>
      <c r="R12" s="232">
        <v>130</v>
      </c>
      <c r="S12" s="239">
        <v>44000</v>
      </c>
      <c r="T12" s="229">
        <f>R12*S12*98%</f>
      </c>
      <c r="U12" s="235">
        <v>0.02</v>
      </c>
      <c r="V12" s="236">
        <v>148</v>
      </c>
      <c r="W12" s="237">
        <v>64500</v>
      </c>
      <c r="X12" s="238">
        <f>V12*W12</f>
      </c>
      <c r="Y12" s="229">
        <v>20</v>
      </c>
      <c r="Z12" s="239">
        <v>44000</v>
      </c>
      <c r="AA12" s="229">
        <f>Y12*Z12</f>
      </c>
      <c r="AB12" s="236">
        <v>62</v>
      </c>
      <c r="AC12" s="237">
        <v>64500</v>
      </c>
      <c r="AD12" s="238">
        <f>AB12*AC12</f>
      </c>
      <c r="AE12" s="232">
        <v>315</v>
      </c>
      <c r="AF12" s="239">
        <v>48400</v>
      </c>
      <c r="AG12" s="229">
        <f>AE12*AF12</f>
      </c>
      <c r="AH12" s="236">
        <v>68</v>
      </c>
      <c r="AI12" s="237">
        <v>64500</v>
      </c>
      <c r="AJ12" s="238">
        <f>AH12*AI12</f>
      </c>
      <c r="AK12" s="232">
        <v>65</v>
      </c>
      <c r="AL12" s="233">
        <v>48400</v>
      </c>
      <c r="AM12" s="234">
        <f>AK12*AL12</f>
      </c>
      <c r="AN12" s="236">
        <v>50</v>
      </c>
      <c r="AO12" s="240">
        <v>64500</v>
      </c>
      <c r="AP12" s="238">
        <f>AN12*AO12</f>
      </c>
    </row>
    <row x14ac:dyDescent="0.25" r="13" customHeight="1" ht="23.25">
      <c r="A13" s="229">
        <v>9</v>
      </c>
      <c r="B13" s="230" t="s">
        <v>29</v>
      </c>
      <c r="C13" s="231" t="s">
        <v>30</v>
      </c>
      <c r="D13" s="232">
        <v>20</v>
      </c>
      <c r="E13" s="233">
        <v>49000</v>
      </c>
      <c r="F13" s="234">
        <f>D13*E13*98%</f>
      </c>
      <c r="G13" s="235">
        <v>0.02</v>
      </c>
      <c r="H13" s="236">
        <v>24</v>
      </c>
      <c r="I13" s="237">
        <v>68500</v>
      </c>
      <c r="J13" s="238">
        <f>H13*I13</f>
      </c>
      <c r="K13" s="232"/>
      <c r="L13" s="233"/>
      <c r="M13" s="234"/>
      <c r="N13" s="235"/>
      <c r="O13" s="236"/>
      <c r="P13" s="237"/>
      <c r="Q13" s="238"/>
      <c r="R13" s="232"/>
      <c r="S13" s="239"/>
      <c r="T13" s="229"/>
      <c r="U13" s="235"/>
      <c r="V13" s="236"/>
      <c r="W13" s="237"/>
      <c r="X13" s="238"/>
      <c r="Y13" s="229"/>
      <c r="Z13" s="239"/>
      <c r="AA13" s="229"/>
      <c r="AB13" s="236"/>
      <c r="AC13" s="237"/>
      <c r="AD13" s="238"/>
      <c r="AE13" s="232"/>
      <c r="AF13" s="239"/>
      <c r="AG13" s="229"/>
      <c r="AH13" s="236"/>
      <c r="AI13" s="237"/>
      <c r="AJ13" s="238"/>
      <c r="AK13" s="232"/>
      <c r="AL13" s="233"/>
      <c r="AM13" s="234"/>
      <c r="AN13" s="236"/>
      <c r="AO13" s="240"/>
      <c r="AP13" s="238">
        <f>AN13*AO13</f>
      </c>
    </row>
    <row x14ac:dyDescent="0.25" r="14" customHeight="1" ht="23.25">
      <c r="A14" s="229">
        <v>10</v>
      </c>
      <c r="B14" s="230" t="s">
        <v>32</v>
      </c>
      <c r="C14" s="231" t="s">
        <v>33</v>
      </c>
      <c r="D14" s="232"/>
      <c r="E14" s="233"/>
      <c r="F14" s="234"/>
      <c r="G14" s="235"/>
      <c r="H14" s="236">
        <v>21</v>
      </c>
      <c r="I14" s="237">
        <v>72500</v>
      </c>
      <c r="J14" s="238">
        <f>H14*I14</f>
      </c>
      <c r="K14" s="232"/>
      <c r="L14" s="233"/>
      <c r="M14" s="234"/>
      <c r="N14" s="235"/>
      <c r="O14" s="236"/>
      <c r="P14" s="237"/>
      <c r="Q14" s="238"/>
      <c r="R14" s="232"/>
      <c r="S14" s="239"/>
      <c r="T14" s="229"/>
      <c r="U14" s="235"/>
      <c r="V14" s="236"/>
      <c r="W14" s="237"/>
      <c r="X14" s="238"/>
      <c r="Y14" s="229"/>
      <c r="Z14" s="239"/>
      <c r="AA14" s="229"/>
      <c r="AB14" s="236">
        <v>38</v>
      </c>
      <c r="AC14" s="237">
        <v>72500</v>
      </c>
      <c r="AD14" s="238">
        <f>AB14*AC14</f>
      </c>
      <c r="AE14" s="232"/>
      <c r="AF14" s="239"/>
      <c r="AG14" s="229"/>
      <c r="AH14" s="236">
        <v>62</v>
      </c>
      <c r="AI14" s="237">
        <v>72500</v>
      </c>
      <c r="AJ14" s="238">
        <f>AH14*AI14</f>
      </c>
      <c r="AK14" s="232">
        <v>150</v>
      </c>
      <c r="AL14" s="233">
        <v>56700</v>
      </c>
      <c r="AM14" s="234">
        <f>AK14*AL14</f>
      </c>
      <c r="AN14" s="236">
        <v>100</v>
      </c>
      <c r="AO14" s="240">
        <v>72500</v>
      </c>
      <c r="AP14" s="238">
        <f>AN14*AO14</f>
      </c>
    </row>
    <row x14ac:dyDescent="0.25" r="15" customHeight="1" ht="23.25">
      <c r="A15" s="229">
        <v>11</v>
      </c>
      <c r="B15" s="230" t="s">
        <v>34</v>
      </c>
      <c r="C15" s="231" t="s">
        <v>35</v>
      </c>
      <c r="D15" s="232"/>
      <c r="E15" s="233"/>
      <c r="F15" s="234"/>
      <c r="G15" s="235"/>
      <c r="H15" s="236">
        <v>39</v>
      </c>
      <c r="I15" s="237">
        <v>76500</v>
      </c>
      <c r="J15" s="238">
        <f>H15*I15</f>
      </c>
      <c r="K15" s="232"/>
      <c r="L15" s="233"/>
      <c r="M15" s="234"/>
      <c r="N15" s="235"/>
      <c r="O15" s="236">
        <v>41</v>
      </c>
      <c r="P15" s="237">
        <v>76500</v>
      </c>
      <c r="Q15" s="238">
        <f>O15*P15</f>
      </c>
      <c r="R15" s="232"/>
      <c r="S15" s="239"/>
      <c r="T15" s="229"/>
      <c r="U15" s="235"/>
      <c r="V15" s="236">
        <v>79</v>
      </c>
      <c r="W15" s="237">
        <v>76500</v>
      </c>
      <c r="X15" s="238">
        <f>V15*W15</f>
      </c>
      <c r="Y15" s="229"/>
      <c r="Z15" s="239"/>
      <c r="AA15" s="229"/>
      <c r="AB15" s="236">
        <v>21</v>
      </c>
      <c r="AC15" s="237">
        <v>76500</v>
      </c>
      <c r="AD15" s="238">
        <f>AB15*AC15</f>
      </c>
      <c r="AE15" s="232">
        <v>105</v>
      </c>
      <c r="AF15" s="239">
        <v>60000</v>
      </c>
      <c r="AG15" s="229">
        <f>AE15*AF15</f>
      </c>
      <c r="AH15" s="236">
        <v>100</v>
      </c>
      <c r="AI15" s="237">
        <v>76500</v>
      </c>
      <c r="AJ15" s="238">
        <f>AH15*AI15</f>
      </c>
      <c r="AK15" s="232">
        <v>35</v>
      </c>
      <c r="AL15" s="233">
        <v>60000</v>
      </c>
      <c r="AM15" s="234">
        <f>AK15*AL15</f>
      </c>
      <c r="AN15" s="236">
        <v>80</v>
      </c>
      <c r="AO15" s="240">
        <v>76500</v>
      </c>
      <c r="AP15" s="238">
        <f>AN15*AO15</f>
      </c>
    </row>
    <row x14ac:dyDescent="0.25" r="16" customHeight="1" ht="23.25">
      <c r="A16" s="229">
        <v>12</v>
      </c>
      <c r="B16" s="230" t="s">
        <v>37</v>
      </c>
      <c r="C16" s="231" t="s">
        <v>38</v>
      </c>
      <c r="D16" s="232"/>
      <c r="E16" s="233"/>
      <c r="F16" s="234"/>
      <c r="G16" s="235"/>
      <c r="H16" s="236"/>
      <c r="I16" s="237"/>
      <c r="J16" s="238"/>
      <c r="K16" s="232"/>
      <c r="L16" s="233"/>
      <c r="M16" s="234"/>
      <c r="N16" s="235"/>
      <c r="O16" s="236">
        <v>50</v>
      </c>
      <c r="P16" s="237">
        <v>79000</v>
      </c>
      <c r="Q16" s="238">
        <f>O16*P16</f>
      </c>
      <c r="R16" s="232">
        <v>125</v>
      </c>
      <c r="S16" s="239">
        <v>53500</v>
      </c>
      <c r="T16" s="229">
        <f>R16*S16*98%</f>
      </c>
      <c r="U16" s="235">
        <v>0.02</v>
      </c>
      <c r="V16" s="236">
        <v>100</v>
      </c>
      <c r="W16" s="237">
        <v>79000</v>
      </c>
      <c r="X16" s="238">
        <f>V16*W16</f>
      </c>
      <c r="Y16" s="229"/>
      <c r="Z16" s="239"/>
      <c r="AA16" s="229"/>
      <c r="AB16" s="236">
        <v>50</v>
      </c>
      <c r="AC16" s="237">
        <v>79000</v>
      </c>
      <c r="AD16" s="238">
        <f>AB16*AC16</f>
      </c>
      <c r="AE16" s="232"/>
      <c r="AF16" s="239"/>
      <c r="AG16" s="229"/>
      <c r="AH16" s="236">
        <v>50</v>
      </c>
      <c r="AI16" s="237">
        <v>79000</v>
      </c>
      <c r="AJ16" s="238">
        <f>AH16*AI16</f>
      </c>
      <c r="AK16" s="232">
        <v>140</v>
      </c>
      <c r="AL16" s="233">
        <v>58900</v>
      </c>
      <c r="AM16" s="234">
        <f>AK16*AL16</f>
      </c>
      <c r="AN16" s="236"/>
      <c r="AO16" s="240"/>
      <c r="AP16" s="238">
        <f>AN16*AO16</f>
      </c>
    </row>
    <row x14ac:dyDescent="0.25" r="17" customHeight="1" ht="23.25">
      <c r="A17" s="229">
        <v>13</v>
      </c>
      <c r="B17" s="230" t="s">
        <v>39</v>
      </c>
      <c r="C17" s="231" t="s">
        <v>40</v>
      </c>
      <c r="D17" s="232">
        <v>435</v>
      </c>
      <c r="E17" s="233">
        <v>54000</v>
      </c>
      <c r="F17" s="234">
        <f>D17*E17*98%</f>
      </c>
      <c r="G17" s="235">
        <v>0.02</v>
      </c>
      <c r="H17" s="236">
        <v>220</v>
      </c>
      <c r="I17" s="237">
        <v>79500</v>
      </c>
      <c r="J17" s="238">
        <f>H17*I17</f>
      </c>
      <c r="K17" s="232">
        <v>180</v>
      </c>
      <c r="L17" s="233">
        <v>54000</v>
      </c>
      <c r="M17" s="234">
        <f>K17*L17*98%</f>
      </c>
      <c r="N17" s="235">
        <v>0.02</v>
      </c>
      <c r="O17" s="236">
        <v>80</v>
      </c>
      <c r="P17" s="237">
        <v>79500</v>
      </c>
      <c r="Q17" s="238">
        <f>O17*P17</f>
      </c>
      <c r="R17" s="232">
        <v>169</v>
      </c>
      <c r="S17" s="239">
        <v>54000</v>
      </c>
      <c r="T17" s="229">
        <f>R17*S17*98%</f>
      </c>
      <c r="U17" s="235">
        <v>0.02</v>
      </c>
      <c r="V17" s="236">
        <v>358</v>
      </c>
      <c r="W17" s="237">
        <v>79500</v>
      </c>
      <c r="X17" s="238">
        <f>V17*W17</f>
      </c>
      <c r="Y17" s="229">
        <v>276</v>
      </c>
      <c r="Z17" s="239">
        <v>54000</v>
      </c>
      <c r="AA17" s="229">
        <f>Y17*Z17</f>
      </c>
      <c r="AB17" s="236">
        <v>199</v>
      </c>
      <c r="AC17" s="237">
        <v>79500</v>
      </c>
      <c r="AD17" s="238">
        <f>AB17*AC17</f>
      </c>
      <c r="AE17" s="232">
        <v>405</v>
      </c>
      <c r="AF17" s="239">
        <v>59400</v>
      </c>
      <c r="AG17" s="229">
        <f>AE17*AF17</f>
      </c>
      <c r="AH17" s="236">
        <v>109</v>
      </c>
      <c r="AI17" s="237">
        <v>79500</v>
      </c>
      <c r="AJ17" s="238">
        <f>AH17*AI17</f>
      </c>
      <c r="AK17" s="232">
        <v>120</v>
      </c>
      <c r="AL17" s="233">
        <v>59400</v>
      </c>
      <c r="AM17" s="234">
        <f>AK17*AL17</f>
      </c>
      <c r="AN17" s="236">
        <v>34</v>
      </c>
      <c r="AO17" s="240">
        <v>79500</v>
      </c>
      <c r="AP17" s="238">
        <f>AN17*AO17</f>
      </c>
    </row>
    <row x14ac:dyDescent="0.25" r="18" customHeight="1" ht="23.25">
      <c r="A18" s="229">
        <v>14</v>
      </c>
      <c r="B18" s="230" t="s">
        <v>42</v>
      </c>
      <c r="C18" s="231" t="s">
        <v>43</v>
      </c>
      <c r="D18" s="232"/>
      <c r="E18" s="233"/>
      <c r="F18" s="234"/>
      <c r="G18" s="235"/>
      <c r="H18" s="236"/>
      <c r="I18" s="237"/>
      <c r="J18" s="238"/>
      <c r="K18" s="232"/>
      <c r="L18" s="233"/>
      <c r="M18" s="234"/>
      <c r="N18" s="235"/>
      <c r="O18" s="236">
        <v>50</v>
      </c>
      <c r="P18" s="237">
        <v>100000</v>
      </c>
      <c r="Q18" s="238">
        <f>O18*P18</f>
      </c>
      <c r="R18" s="232">
        <v>100</v>
      </c>
      <c r="S18" s="239">
        <v>68500</v>
      </c>
      <c r="T18" s="229">
        <f>R18*S18*98%</f>
      </c>
      <c r="U18" s="235">
        <v>0.02</v>
      </c>
      <c r="V18" s="236">
        <v>20</v>
      </c>
      <c r="W18" s="237">
        <v>100000</v>
      </c>
      <c r="X18" s="238">
        <f>V18*W18</f>
      </c>
      <c r="Y18" s="229"/>
      <c r="Z18" s="239"/>
      <c r="AA18" s="229"/>
      <c r="AB18" s="236">
        <v>30</v>
      </c>
      <c r="AC18" s="237">
        <v>100000</v>
      </c>
      <c r="AD18" s="238">
        <f>AB18*AC18</f>
      </c>
      <c r="AE18" s="232"/>
      <c r="AF18" s="239"/>
      <c r="AG18" s="229"/>
      <c r="AH18" s="236"/>
      <c r="AI18" s="237"/>
      <c r="AJ18" s="238"/>
      <c r="AK18" s="232">
        <v>120</v>
      </c>
      <c r="AL18" s="233">
        <v>75400</v>
      </c>
      <c r="AM18" s="234">
        <f>AK18*AL18</f>
      </c>
      <c r="AN18" s="236"/>
      <c r="AO18" s="240"/>
      <c r="AP18" s="238">
        <f>AN18*AO18</f>
      </c>
    </row>
    <row x14ac:dyDescent="0.25" r="19" customHeight="1" ht="23.25">
      <c r="A19" s="229">
        <v>15</v>
      </c>
      <c r="B19" s="230" t="s">
        <v>44</v>
      </c>
      <c r="C19" s="231" t="s">
        <v>45</v>
      </c>
      <c r="D19" s="232">
        <v>254</v>
      </c>
      <c r="E19" s="233">
        <v>59500</v>
      </c>
      <c r="F19" s="234">
        <f>D19*E19*98%</f>
      </c>
      <c r="G19" s="235">
        <v>0.02</v>
      </c>
      <c r="H19" s="236">
        <v>242</v>
      </c>
      <c r="I19" s="237">
        <v>84500</v>
      </c>
      <c r="J19" s="238">
        <f>H19*I19</f>
      </c>
      <c r="K19" s="232">
        <v>351</v>
      </c>
      <c r="L19" s="233">
        <v>59500</v>
      </c>
      <c r="M19" s="234">
        <f>K19*L19*98%</f>
      </c>
      <c r="N19" s="235">
        <v>0.02</v>
      </c>
      <c r="O19" s="236">
        <v>148</v>
      </c>
      <c r="P19" s="237">
        <v>84500</v>
      </c>
      <c r="Q19" s="238">
        <f>O19*P19</f>
      </c>
      <c r="R19" s="232">
        <v>95</v>
      </c>
      <c r="S19" s="239">
        <v>59500</v>
      </c>
      <c r="T19" s="229">
        <f>R19*S19*98%</f>
      </c>
      <c r="U19" s="235">
        <v>0.02</v>
      </c>
      <c r="V19" s="236">
        <v>205</v>
      </c>
      <c r="W19" s="237">
        <v>84500</v>
      </c>
      <c r="X19" s="238">
        <f>V19*W19</f>
      </c>
      <c r="Y19" s="229">
        <v>200</v>
      </c>
      <c r="Z19" s="239">
        <v>59500</v>
      </c>
      <c r="AA19" s="229">
        <f>Y19*Z19</f>
      </c>
      <c r="AB19" s="236">
        <v>166</v>
      </c>
      <c r="AC19" s="237">
        <v>84500</v>
      </c>
      <c r="AD19" s="238">
        <f>AB19*AC19</f>
      </c>
      <c r="AE19" s="232">
        <v>270</v>
      </c>
      <c r="AF19" s="239">
        <v>65500</v>
      </c>
      <c r="AG19" s="229">
        <f>AE19*AF19</f>
      </c>
      <c r="AH19" s="236">
        <v>181</v>
      </c>
      <c r="AI19" s="237">
        <v>84500</v>
      </c>
      <c r="AJ19" s="238">
        <f>AH19*AI19</f>
      </c>
      <c r="AK19" s="232">
        <v>265</v>
      </c>
      <c r="AL19" s="233">
        <v>65500</v>
      </c>
      <c r="AM19" s="234">
        <f>AK19*AL19</f>
      </c>
      <c r="AN19" s="236">
        <v>130</v>
      </c>
      <c r="AO19" s="240">
        <v>84500</v>
      </c>
      <c r="AP19" s="238">
        <f>AN19*AO19</f>
      </c>
    </row>
    <row x14ac:dyDescent="0.25" r="20" customHeight="1" ht="22.5">
      <c r="A20" s="229">
        <v>16</v>
      </c>
      <c r="B20" s="230" t="s">
        <v>46</v>
      </c>
      <c r="C20" s="231" t="s">
        <v>47</v>
      </c>
      <c r="D20" s="232">
        <v>464</v>
      </c>
      <c r="E20" s="233">
        <v>62500</v>
      </c>
      <c r="F20" s="234">
        <f>D20*E20*98%</f>
      </c>
      <c r="G20" s="235">
        <v>0.02</v>
      </c>
      <c r="H20" s="236">
        <v>338</v>
      </c>
      <c r="I20" s="237">
        <v>90000</v>
      </c>
      <c r="J20" s="238">
        <f>H20*I20</f>
      </c>
      <c r="K20" s="232">
        <v>300</v>
      </c>
      <c r="L20" s="233">
        <v>62500</v>
      </c>
      <c r="M20" s="234">
        <f>K20*L20*98%</f>
      </c>
      <c r="N20" s="235">
        <v>0.02</v>
      </c>
      <c r="O20" s="236">
        <v>142</v>
      </c>
      <c r="P20" s="237">
        <v>90000</v>
      </c>
      <c r="Q20" s="238">
        <f>O20*P20</f>
      </c>
      <c r="R20" s="232">
        <v>221</v>
      </c>
      <c r="S20" s="239">
        <v>62500</v>
      </c>
      <c r="T20" s="229">
        <f>R20*S20*98%</f>
      </c>
      <c r="U20" s="235">
        <v>0.02</v>
      </c>
      <c r="V20" s="236">
        <v>283</v>
      </c>
      <c r="W20" s="237">
        <v>90000</v>
      </c>
      <c r="X20" s="238">
        <f>V20*W20</f>
      </c>
      <c r="Y20" s="229">
        <v>152</v>
      </c>
      <c r="Z20" s="239">
        <v>62500</v>
      </c>
      <c r="AA20" s="229">
        <f>Y20*Z20</f>
      </c>
      <c r="AB20" s="236">
        <v>95</v>
      </c>
      <c r="AC20" s="237">
        <v>90000</v>
      </c>
      <c r="AD20" s="238">
        <f>AB20*AC20</f>
      </c>
      <c r="AE20" s="232">
        <v>405</v>
      </c>
      <c r="AF20" s="239">
        <v>68800</v>
      </c>
      <c r="AG20" s="229">
        <f>AE20*AF20</f>
      </c>
      <c r="AH20" s="236">
        <v>222</v>
      </c>
      <c r="AI20" s="237">
        <v>90000</v>
      </c>
      <c r="AJ20" s="238">
        <f>AH20*AI20</f>
      </c>
      <c r="AK20" s="232">
        <v>323</v>
      </c>
      <c r="AL20" s="233">
        <v>68800</v>
      </c>
      <c r="AM20" s="234">
        <f>AK20*AL20</f>
      </c>
      <c r="AN20" s="236">
        <v>100</v>
      </c>
      <c r="AO20" s="240">
        <v>90000</v>
      </c>
      <c r="AP20" s="238">
        <f>AN20*AO20</f>
      </c>
    </row>
    <row x14ac:dyDescent="0.25" r="21" customHeight="1" ht="23.25">
      <c r="A21" s="229">
        <v>17</v>
      </c>
      <c r="B21" s="230" t="s">
        <v>48</v>
      </c>
      <c r="C21" s="231" t="s">
        <v>49</v>
      </c>
      <c r="D21" s="232">
        <v>20</v>
      </c>
      <c r="E21" s="233">
        <v>65500</v>
      </c>
      <c r="F21" s="234">
        <f>D21*E21*98%</f>
      </c>
      <c r="G21" s="235">
        <v>0.02</v>
      </c>
      <c r="H21" s="236"/>
      <c r="I21" s="237"/>
      <c r="J21" s="238"/>
      <c r="K21" s="232"/>
      <c r="L21" s="233"/>
      <c r="M21" s="234"/>
      <c r="N21" s="235"/>
      <c r="O21" s="236"/>
      <c r="P21" s="237"/>
      <c r="Q21" s="238"/>
      <c r="R21" s="232"/>
      <c r="S21" s="239"/>
      <c r="T21" s="229"/>
      <c r="U21" s="235"/>
      <c r="V21" s="236"/>
      <c r="W21" s="237"/>
      <c r="X21" s="238"/>
      <c r="Y21" s="229"/>
      <c r="Z21" s="239"/>
      <c r="AA21" s="229"/>
      <c r="AB21" s="236">
        <v>29</v>
      </c>
      <c r="AC21" s="237">
        <v>101000</v>
      </c>
      <c r="AD21" s="238">
        <f>AB21*AC21</f>
      </c>
      <c r="AE21" s="232"/>
      <c r="AF21" s="239"/>
      <c r="AG21" s="229"/>
      <c r="AH21" s="236">
        <v>9</v>
      </c>
      <c r="AI21" s="237">
        <v>101000</v>
      </c>
      <c r="AJ21" s="238">
        <f>AH21*AI21</f>
      </c>
      <c r="AK21" s="232"/>
      <c r="AL21" s="233"/>
      <c r="AM21" s="234"/>
      <c r="AN21" s="236"/>
      <c r="AO21" s="240"/>
      <c r="AP21" s="238">
        <f>AN21*AO21</f>
      </c>
    </row>
    <row x14ac:dyDescent="0.25" r="22" customHeight="1" ht="23.25">
      <c r="A22" s="229">
        <v>18</v>
      </c>
      <c r="B22" s="230" t="s">
        <v>50</v>
      </c>
      <c r="C22" s="231" t="s">
        <v>51</v>
      </c>
      <c r="D22" s="232">
        <v>20</v>
      </c>
      <c r="E22" s="233">
        <v>66500</v>
      </c>
      <c r="F22" s="234">
        <f>D22*E22*98%</f>
      </c>
      <c r="G22" s="235">
        <v>0.02</v>
      </c>
      <c r="H22" s="236">
        <v>8</v>
      </c>
      <c r="I22" s="237">
        <v>102000</v>
      </c>
      <c r="J22" s="238">
        <f>H22*I22</f>
      </c>
      <c r="K22" s="232"/>
      <c r="L22" s="233"/>
      <c r="M22" s="234"/>
      <c r="N22" s="235"/>
      <c r="O22" s="236"/>
      <c r="P22" s="237"/>
      <c r="Q22" s="238"/>
      <c r="R22" s="232"/>
      <c r="S22" s="239"/>
      <c r="T22" s="229"/>
      <c r="U22" s="235"/>
      <c r="V22" s="236">
        <v>13</v>
      </c>
      <c r="W22" s="237">
        <v>102000</v>
      </c>
      <c r="X22" s="238">
        <f>V22*W22</f>
      </c>
      <c r="Y22" s="229"/>
      <c r="Z22" s="239"/>
      <c r="AA22" s="229"/>
      <c r="AB22" s="236">
        <v>9</v>
      </c>
      <c r="AC22" s="237">
        <v>102000</v>
      </c>
      <c r="AD22" s="238">
        <f>AB22*AC22</f>
      </c>
      <c r="AE22" s="232"/>
      <c r="AF22" s="239"/>
      <c r="AG22" s="229"/>
      <c r="AH22" s="236"/>
      <c r="AI22" s="237"/>
      <c r="AJ22" s="238"/>
      <c r="AK22" s="232"/>
      <c r="AL22" s="233"/>
      <c r="AM22" s="234"/>
      <c r="AN22" s="236"/>
      <c r="AO22" s="240"/>
      <c r="AP22" s="238">
        <f>AN22*AO22</f>
      </c>
    </row>
    <row x14ac:dyDescent="0.25" r="23" customHeight="1" ht="23.25">
      <c r="A23" s="229">
        <v>19</v>
      </c>
      <c r="B23" s="230" t="s">
        <v>52</v>
      </c>
      <c r="C23" s="231" t="s">
        <v>53</v>
      </c>
      <c r="D23" s="232"/>
      <c r="E23" s="233"/>
      <c r="F23" s="234"/>
      <c r="G23" s="235"/>
      <c r="H23" s="236"/>
      <c r="I23" s="237"/>
      <c r="J23" s="238"/>
      <c r="K23" s="232"/>
      <c r="L23" s="233"/>
      <c r="M23" s="234"/>
      <c r="N23" s="235"/>
      <c r="O23" s="236"/>
      <c r="P23" s="237"/>
      <c r="Q23" s="238"/>
      <c r="R23" s="232">
        <v>80</v>
      </c>
      <c r="S23" s="239">
        <v>91500</v>
      </c>
      <c r="T23" s="229">
        <f>R23*S23*98%</f>
      </c>
      <c r="U23" s="235">
        <v>0.02</v>
      </c>
      <c r="V23" s="236"/>
      <c r="W23" s="237"/>
      <c r="X23" s="238"/>
      <c r="Y23" s="229"/>
      <c r="Z23" s="239"/>
      <c r="AA23" s="229"/>
      <c r="AB23" s="236">
        <v>38</v>
      </c>
      <c r="AC23" s="237">
        <v>134000</v>
      </c>
      <c r="AD23" s="238">
        <f>AB23*AC23</f>
      </c>
      <c r="AE23" s="232">
        <v>170</v>
      </c>
      <c r="AF23" s="239">
        <v>100700</v>
      </c>
      <c r="AG23" s="229">
        <f>AE23*AF23</f>
      </c>
      <c r="AH23" s="236">
        <v>32</v>
      </c>
      <c r="AI23" s="237">
        <v>134000</v>
      </c>
      <c r="AJ23" s="238">
        <f>AH23*AI23</f>
      </c>
      <c r="AK23" s="232">
        <v>60</v>
      </c>
      <c r="AL23" s="233">
        <v>100700</v>
      </c>
      <c r="AM23" s="234">
        <f>AK23*AL23</f>
      </c>
      <c r="AN23" s="236">
        <v>30</v>
      </c>
      <c r="AO23" s="240">
        <v>134000</v>
      </c>
      <c r="AP23" s="238">
        <f>AN23*AO23</f>
      </c>
    </row>
    <row x14ac:dyDescent="0.25" r="24" customHeight="1" ht="23.25">
      <c r="A24" s="229">
        <v>20</v>
      </c>
      <c r="B24" s="230" t="s">
        <v>54</v>
      </c>
      <c r="C24" s="231" t="s">
        <v>55</v>
      </c>
      <c r="D24" s="232"/>
      <c r="E24" s="233"/>
      <c r="F24" s="234"/>
      <c r="G24" s="235"/>
      <c r="H24" s="236">
        <v>10</v>
      </c>
      <c r="I24" s="237">
        <v>136000</v>
      </c>
      <c r="J24" s="238">
        <f>H24*I24</f>
      </c>
      <c r="K24" s="232"/>
      <c r="L24" s="233"/>
      <c r="M24" s="234"/>
      <c r="N24" s="235"/>
      <c r="O24" s="236">
        <v>40</v>
      </c>
      <c r="P24" s="237">
        <v>136000</v>
      </c>
      <c r="Q24" s="238">
        <f>O24*P24</f>
      </c>
      <c r="R24" s="232"/>
      <c r="S24" s="239"/>
      <c r="T24" s="229"/>
      <c r="U24" s="235"/>
      <c r="V24" s="236"/>
      <c r="W24" s="237"/>
      <c r="X24" s="238"/>
      <c r="Y24" s="229"/>
      <c r="Z24" s="239"/>
      <c r="AA24" s="229"/>
      <c r="AB24" s="236">
        <v>14</v>
      </c>
      <c r="AC24" s="237">
        <v>136000</v>
      </c>
      <c r="AD24" s="238">
        <f>AB24*AC24</f>
      </c>
      <c r="AE24" s="232">
        <v>80</v>
      </c>
      <c r="AF24" s="239">
        <v>102300</v>
      </c>
      <c r="AG24" s="229">
        <f>AE24*AF24</f>
      </c>
      <c r="AH24" s="236">
        <v>36</v>
      </c>
      <c r="AI24" s="237">
        <v>136000</v>
      </c>
      <c r="AJ24" s="238">
        <f>AH24*AI24</f>
      </c>
      <c r="AK24" s="232">
        <v>55</v>
      </c>
      <c r="AL24" s="233">
        <v>102300</v>
      </c>
      <c r="AM24" s="234">
        <f>AK24*AL24</f>
      </c>
      <c r="AN24" s="236"/>
      <c r="AO24" s="240"/>
      <c r="AP24" s="238">
        <f>AN24*AO24</f>
      </c>
    </row>
    <row x14ac:dyDescent="0.25" r="25" customHeight="1" ht="23.25">
      <c r="A25" s="229">
        <v>21</v>
      </c>
      <c r="B25" s="230" t="s">
        <v>56</v>
      </c>
      <c r="C25" s="231" t="s">
        <v>57</v>
      </c>
      <c r="D25" s="232">
        <v>20</v>
      </c>
      <c r="E25" s="233">
        <v>104000</v>
      </c>
      <c r="F25" s="234">
        <f>D25*E25*98%</f>
      </c>
      <c r="G25" s="235">
        <v>0.02</v>
      </c>
      <c r="H25" s="236">
        <v>20</v>
      </c>
      <c r="I25" s="237">
        <v>159000</v>
      </c>
      <c r="J25" s="238">
        <f>H25*I25</f>
      </c>
      <c r="K25" s="232"/>
      <c r="L25" s="233"/>
      <c r="M25" s="234"/>
      <c r="N25" s="235"/>
      <c r="O25" s="236">
        <v>10</v>
      </c>
      <c r="P25" s="237">
        <v>159000</v>
      </c>
      <c r="Q25" s="238">
        <f>O25*P25</f>
      </c>
      <c r="R25" s="232"/>
      <c r="S25" s="239"/>
      <c r="T25" s="229"/>
      <c r="U25" s="235"/>
      <c r="V25" s="236">
        <v>20</v>
      </c>
      <c r="W25" s="237">
        <v>159000</v>
      </c>
      <c r="X25" s="238">
        <f>V25*W25</f>
      </c>
      <c r="Y25" s="229"/>
      <c r="Z25" s="239"/>
      <c r="AA25" s="229"/>
      <c r="AB25" s="236">
        <v>10</v>
      </c>
      <c r="AC25" s="237">
        <v>159000</v>
      </c>
      <c r="AD25" s="238">
        <f>AB25*AC25</f>
      </c>
      <c r="AE25" s="232">
        <v>75</v>
      </c>
      <c r="AF25" s="239">
        <v>114400</v>
      </c>
      <c r="AG25" s="229">
        <f>AE25*AF25</f>
      </c>
      <c r="AH25" s="236">
        <v>40</v>
      </c>
      <c r="AI25" s="237">
        <v>159000</v>
      </c>
      <c r="AJ25" s="238">
        <f>AH25*AI25</f>
      </c>
      <c r="AK25" s="232">
        <v>35</v>
      </c>
      <c r="AL25" s="233">
        <v>114400</v>
      </c>
      <c r="AM25" s="234">
        <f>AK25*AL25</f>
      </c>
      <c r="AN25" s="236"/>
      <c r="AO25" s="240"/>
      <c r="AP25" s="238">
        <f>AN25*AO25</f>
      </c>
    </row>
    <row x14ac:dyDescent="0.25" r="26" customHeight="1" ht="23.25">
      <c r="A26" s="229">
        <v>22</v>
      </c>
      <c r="B26" s="230" t="s">
        <v>58</v>
      </c>
      <c r="C26" s="231" t="s">
        <v>59</v>
      </c>
      <c r="D26" s="232">
        <v>174</v>
      </c>
      <c r="E26" s="233">
        <v>78000</v>
      </c>
      <c r="F26" s="234">
        <f>D26*E26*98%</f>
      </c>
      <c r="G26" s="235">
        <v>0.02</v>
      </c>
      <c r="H26" s="236">
        <v>144</v>
      </c>
      <c r="I26" s="237">
        <v>118000</v>
      </c>
      <c r="J26" s="238">
        <f>H26*I26</f>
      </c>
      <c r="K26" s="232"/>
      <c r="L26" s="233"/>
      <c r="M26" s="234"/>
      <c r="N26" s="235"/>
      <c r="O26" s="236">
        <v>136</v>
      </c>
      <c r="P26" s="237">
        <v>118000</v>
      </c>
      <c r="Q26" s="238">
        <f>O26*P26</f>
      </c>
      <c r="R26" s="232">
        <v>58</v>
      </c>
      <c r="S26" s="239">
        <v>78000</v>
      </c>
      <c r="T26" s="229">
        <f>R26*S26*98%</f>
      </c>
      <c r="U26" s="235">
        <v>0.02</v>
      </c>
      <c r="V26" s="236">
        <v>138</v>
      </c>
      <c r="W26" s="237">
        <v>118000</v>
      </c>
      <c r="X26" s="238">
        <f>V26*W26</f>
      </c>
      <c r="Y26" s="229">
        <v>80</v>
      </c>
      <c r="Z26" s="239">
        <v>78000</v>
      </c>
      <c r="AA26" s="229">
        <f>Y26*Z26</f>
      </c>
      <c r="AB26" s="236">
        <v>97</v>
      </c>
      <c r="AC26" s="237">
        <v>118000</v>
      </c>
      <c r="AD26" s="238">
        <f>AB26*AC26</f>
      </c>
      <c r="AE26" s="232"/>
      <c r="AF26" s="239"/>
      <c r="AG26" s="229"/>
      <c r="AH26" s="236">
        <v>83</v>
      </c>
      <c r="AI26" s="237">
        <v>118000</v>
      </c>
      <c r="AJ26" s="238">
        <f>AH26*AI26</f>
      </c>
      <c r="AK26" s="232">
        <v>190</v>
      </c>
      <c r="AL26" s="233">
        <v>85800</v>
      </c>
      <c r="AM26" s="234">
        <f>AK26*AL26</f>
      </c>
      <c r="AN26" s="236">
        <v>92</v>
      </c>
      <c r="AO26" s="240">
        <v>118000</v>
      </c>
      <c r="AP26" s="238">
        <f>AN26*AO26</f>
      </c>
    </row>
    <row x14ac:dyDescent="0.25" r="27" customHeight="1" ht="23.25">
      <c r="A27" s="229">
        <v>23</v>
      </c>
      <c r="B27" s="230" t="s">
        <v>61</v>
      </c>
      <c r="C27" s="231" t="s">
        <v>62</v>
      </c>
      <c r="D27" s="232">
        <v>421</v>
      </c>
      <c r="E27" s="233">
        <v>79000</v>
      </c>
      <c r="F27" s="234">
        <f>D27*E27*98%</f>
      </c>
      <c r="G27" s="235">
        <v>0.02</v>
      </c>
      <c r="H27" s="236">
        <v>213</v>
      </c>
      <c r="I27" s="237">
        <v>119000</v>
      </c>
      <c r="J27" s="238">
        <f>H27*I27</f>
      </c>
      <c r="K27" s="232">
        <v>355</v>
      </c>
      <c r="L27" s="233">
        <v>79000</v>
      </c>
      <c r="M27" s="234">
        <f>K27*L27*98%</f>
      </c>
      <c r="N27" s="235">
        <v>0.02</v>
      </c>
      <c r="O27" s="236">
        <v>140</v>
      </c>
      <c r="P27" s="237">
        <v>119000</v>
      </c>
      <c r="Q27" s="238">
        <f>O27*P27</f>
      </c>
      <c r="R27" s="232">
        <v>180</v>
      </c>
      <c r="S27" s="239">
        <v>79000</v>
      </c>
      <c r="T27" s="229">
        <f>R27*S27*98%</f>
      </c>
      <c r="U27" s="235">
        <v>0.02</v>
      </c>
      <c r="V27" s="236">
        <v>246</v>
      </c>
      <c r="W27" s="237">
        <v>119000</v>
      </c>
      <c r="X27" s="238">
        <f>V27*W27</f>
      </c>
      <c r="Y27" s="229">
        <v>200</v>
      </c>
      <c r="Z27" s="239">
        <v>79000</v>
      </c>
      <c r="AA27" s="229">
        <f>Y27*Z27</f>
      </c>
      <c r="AB27" s="236">
        <v>134</v>
      </c>
      <c r="AC27" s="237">
        <v>119000</v>
      </c>
      <c r="AD27" s="238">
        <f>AB27*AC27</f>
      </c>
      <c r="AE27" s="232">
        <v>280</v>
      </c>
      <c r="AF27" s="239">
        <v>86900</v>
      </c>
      <c r="AG27" s="229">
        <f>AE27*AF27</f>
      </c>
      <c r="AH27" s="236">
        <v>157</v>
      </c>
      <c r="AI27" s="237">
        <v>119000</v>
      </c>
      <c r="AJ27" s="238">
        <f>AH27*AI27</f>
      </c>
      <c r="AK27" s="232">
        <v>240</v>
      </c>
      <c r="AL27" s="233">
        <v>86900</v>
      </c>
      <c r="AM27" s="234">
        <f>AK27*AL27</f>
      </c>
      <c r="AN27" s="236">
        <v>103</v>
      </c>
      <c r="AO27" s="240">
        <v>119000</v>
      </c>
      <c r="AP27" s="238">
        <f>AN27*AO27</f>
      </c>
    </row>
    <row x14ac:dyDescent="0.25" r="28" customHeight="1" ht="23.25">
      <c r="A28" s="229">
        <v>24</v>
      </c>
      <c r="B28" s="230" t="s">
        <v>64</v>
      </c>
      <c r="C28" s="231" t="s">
        <v>65</v>
      </c>
      <c r="D28" s="232">
        <v>91</v>
      </c>
      <c r="E28" s="233">
        <v>87500</v>
      </c>
      <c r="F28" s="234">
        <f>D28*E28*98%</f>
      </c>
      <c r="G28" s="235">
        <v>0.02</v>
      </c>
      <c r="H28" s="236"/>
      <c r="I28" s="237"/>
      <c r="J28" s="238"/>
      <c r="K28" s="232">
        <v>54</v>
      </c>
      <c r="L28" s="233">
        <v>87500</v>
      </c>
      <c r="M28" s="234">
        <f>K28*L28*98%</f>
      </c>
      <c r="N28" s="235">
        <v>0.02</v>
      </c>
      <c r="O28" s="236">
        <v>50</v>
      </c>
      <c r="P28" s="237">
        <v>128000</v>
      </c>
      <c r="Q28" s="238">
        <f>O28*P28</f>
      </c>
      <c r="R28" s="232">
        <v>40</v>
      </c>
      <c r="S28" s="239">
        <v>87500</v>
      </c>
      <c r="T28" s="229">
        <f>R28*S28*98%</f>
      </c>
      <c r="U28" s="235">
        <v>0.02</v>
      </c>
      <c r="V28" s="236">
        <v>100</v>
      </c>
      <c r="W28" s="237">
        <v>128000</v>
      </c>
      <c r="X28" s="238">
        <f>V28*W28</f>
      </c>
      <c r="Y28" s="229">
        <v>142</v>
      </c>
      <c r="Z28" s="239">
        <v>87500</v>
      </c>
      <c r="AA28" s="229">
        <f>Y28*Z28</f>
      </c>
      <c r="AB28" s="236"/>
      <c r="AC28" s="237"/>
      <c r="AD28" s="238"/>
      <c r="AE28" s="232"/>
      <c r="AF28" s="239"/>
      <c r="AG28" s="229"/>
      <c r="AH28" s="236">
        <v>100</v>
      </c>
      <c r="AI28" s="237">
        <v>128000</v>
      </c>
      <c r="AJ28" s="238">
        <f>AH28*AI28</f>
      </c>
      <c r="AK28" s="232">
        <v>100</v>
      </c>
      <c r="AL28" s="233">
        <v>96300</v>
      </c>
      <c r="AM28" s="234">
        <f>AK28*AL28</f>
      </c>
      <c r="AN28" s="236"/>
      <c r="AO28" s="240"/>
      <c r="AP28" s="238">
        <f>AN28*AO28</f>
      </c>
    </row>
    <row x14ac:dyDescent="0.25" r="29" customHeight="1" ht="23.25">
      <c r="A29" s="229">
        <v>25</v>
      </c>
      <c r="B29" s="230" t="s">
        <v>67</v>
      </c>
      <c r="C29" s="231" t="s">
        <v>68</v>
      </c>
      <c r="D29" s="232"/>
      <c r="E29" s="233"/>
      <c r="F29" s="234"/>
      <c r="G29" s="235"/>
      <c r="H29" s="236"/>
      <c r="I29" s="237"/>
      <c r="J29" s="238"/>
      <c r="K29" s="232"/>
      <c r="L29" s="233"/>
      <c r="M29" s="234"/>
      <c r="N29" s="235"/>
      <c r="O29" s="236"/>
      <c r="P29" s="237"/>
      <c r="Q29" s="238"/>
      <c r="R29" s="232"/>
      <c r="S29" s="239"/>
      <c r="T29" s="229"/>
      <c r="U29" s="235"/>
      <c r="V29" s="236"/>
      <c r="W29" s="237"/>
      <c r="X29" s="238"/>
      <c r="Y29" s="229"/>
      <c r="Z29" s="239"/>
      <c r="AA29" s="229"/>
      <c r="AB29" s="236"/>
      <c r="AC29" s="237"/>
      <c r="AD29" s="238"/>
      <c r="AE29" s="232"/>
      <c r="AF29" s="239"/>
      <c r="AG29" s="229"/>
      <c r="AH29" s="236"/>
      <c r="AI29" s="237"/>
      <c r="AJ29" s="238"/>
      <c r="AK29" s="232"/>
      <c r="AL29" s="233"/>
      <c r="AM29" s="234"/>
      <c r="AN29" s="236"/>
      <c r="AO29" s="240"/>
      <c r="AP29" s="238">
        <f>AN29*AO29</f>
      </c>
    </row>
    <row x14ac:dyDescent="0.25" r="30" customHeight="1" ht="24">
      <c r="A30" s="229">
        <v>26</v>
      </c>
      <c r="B30" s="230" t="s">
        <v>69</v>
      </c>
      <c r="C30" s="231" t="s">
        <v>70</v>
      </c>
      <c r="D30" s="232"/>
      <c r="E30" s="233"/>
      <c r="F30" s="234"/>
      <c r="G30" s="235"/>
      <c r="H30" s="236"/>
      <c r="I30" s="237"/>
      <c r="J30" s="238"/>
      <c r="K30" s="232"/>
      <c r="L30" s="233"/>
      <c r="M30" s="234"/>
      <c r="N30" s="235"/>
      <c r="O30" s="236"/>
      <c r="P30" s="237"/>
      <c r="Q30" s="238"/>
      <c r="R30" s="232"/>
      <c r="S30" s="239"/>
      <c r="T30" s="229"/>
      <c r="U30" s="235"/>
      <c r="V30" s="236"/>
      <c r="W30" s="237"/>
      <c r="X30" s="238"/>
      <c r="Y30" s="229"/>
      <c r="Z30" s="239"/>
      <c r="AA30" s="229"/>
      <c r="AB30" s="236"/>
      <c r="AC30" s="237"/>
      <c r="AD30" s="238"/>
      <c r="AE30" s="232"/>
      <c r="AF30" s="239"/>
      <c r="AG30" s="229"/>
      <c r="AH30" s="236"/>
      <c r="AI30" s="237"/>
      <c r="AJ30" s="238"/>
      <c r="AK30" s="232"/>
      <c r="AL30" s="233"/>
      <c r="AM30" s="234"/>
      <c r="AN30" s="236"/>
      <c r="AO30" s="240"/>
      <c r="AP30" s="238">
        <f>AN30*AO30</f>
      </c>
    </row>
    <row x14ac:dyDescent="0.25" r="31" customHeight="1" ht="23.25">
      <c r="A31" s="229">
        <v>27</v>
      </c>
      <c r="B31" s="230" t="s">
        <v>72</v>
      </c>
      <c r="C31" s="231" t="s">
        <v>73</v>
      </c>
      <c r="D31" s="232">
        <v>118</v>
      </c>
      <c r="E31" s="233">
        <v>93500</v>
      </c>
      <c r="F31" s="234">
        <f>D31*E31*98%</f>
      </c>
      <c r="G31" s="235">
        <v>0.02</v>
      </c>
      <c r="H31" s="236">
        <v>62</v>
      </c>
      <c r="I31" s="237">
        <v>134500</v>
      </c>
      <c r="J31" s="238">
        <f>H31*I31</f>
      </c>
      <c r="K31" s="232"/>
      <c r="L31" s="233"/>
      <c r="M31" s="234"/>
      <c r="N31" s="235"/>
      <c r="O31" s="236">
        <v>129</v>
      </c>
      <c r="P31" s="237">
        <v>134500</v>
      </c>
      <c r="Q31" s="238">
        <f>O31*P31</f>
      </c>
      <c r="R31" s="232">
        <v>130</v>
      </c>
      <c r="S31" s="239">
        <v>93500</v>
      </c>
      <c r="T31" s="229">
        <f>R31*S31*98%</f>
      </c>
      <c r="U31" s="235">
        <v>0.02</v>
      </c>
      <c r="V31" s="236">
        <v>171</v>
      </c>
      <c r="W31" s="237">
        <v>134500</v>
      </c>
      <c r="X31" s="238">
        <f>V31*W31</f>
      </c>
      <c r="Y31" s="229">
        <v>50</v>
      </c>
      <c r="Z31" s="239">
        <v>93500</v>
      </c>
      <c r="AA31" s="229">
        <f>Y31*Z31</f>
      </c>
      <c r="AB31" s="236">
        <v>80</v>
      </c>
      <c r="AC31" s="237">
        <v>134500</v>
      </c>
      <c r="AD31" s="238">
        <f>AB31*AC31</f>
      </c>
      <c r="AE31" s="232">
        <v>170</v>
      </c>
      <c r="AF31" s="239">
        <v>102900</v>
      </c>
      <c r="AG31" s="229">
        <f>AE31*AF31</f>
      </c>
      <c r="AH31" s="236">
        <v>186</v>
      </c>
      <c r="AI31" s="237">
        <v>134500</v>
      </c>
      <c r="AJ31" s="238">
        <f>AH31*AI31</f>
      </c>
      <c r="AK31" s="232">
        <v>200</v>
      </c>
      <c r="AL31" s="233">
        <v>102900</v>
      </c>
      <c r="AM31" s="234">
        <f>AK31*AL31</f>
      </c>
      <c r="AN31" s="236">
        <v>134</v>
      </c>
      <c r="AO31" s="240">
        <v>134500</v>
      </c>
      <c r="AP31" s="238">
        <f>AN31*AO31</f>
      </c>
    </row>
    <row x14ac:dyDescent="0.25" r="32" customHeight="1" ht="23.25">
      <c r="A32" s="229">
        <v>28</v>
      </c>
      <c r="B32" s="230" t="s">
        <v>74</v>
      </c>
      <c r="C32" s="231" t="s">
        <v>75</v>
      </c>
      <c r="D32" s="232">
        <v>620</v>
      </c>
      <c r="E32" s="233">
        <v>97000</v>
      </c>
      <c r="F32" s="234">
        <f>D32*E32*98%</f>
      </c>
      <c r="G32" s="235">
        <v>0.02</v>
      </c>
      <c r="H32" s="236">
        <v>413</v>
      </c>
      <c r="I32" s="237">
        <v>139000</v>
      </c>
      <c r="J32" s="238">
        <f>H32*I32</f>
      </c>
      <c r="K32" s="232">
        <v>497</v>
      </c>
      <c r="L32" s="233">
        <v>97000</v>
      </c>
      <c r="M32" s="234">
        <f>K32*L32*98%</f>
      </c>
      <c r="N32" s="235">
        <v>0.02</v>
      </c>
      <c r="O32" s="236">
        <v>329</v>
      </c>
      <c r="P32" s="237">
        <v>139000</v>
      </c>
      <c r="Q32" s="238">
        <f>O32*P32</f>
      </c>
      <c r="R32" s="232">
        <v>330</v>
      </c>
      <c r="S32" s="239">
        <v>97000</v>
      </c>
      <c r="T32" s="229">
        <f>R32*S32*98%</f>
      </c>
      <c r="U32" s="235">
        <v>0.02</v>
      </c>
      <c r="V32" s="236">
        <v>420</v>
      </c>
      <c r="W32" s="237">
        <v>139000</v>
      </c>
      <c r="X32" s="238">
        <f>V32*W32</f>
      </c>
      <c r="Y32" s="229">
        <v>170</v>
      </c>
      <c r="Z32" s="239">
        <v>97000</v>
      </c>
      <c r="AA32" s="229">
        <f>Y32*Z32</f>
      </c>
      <c r="AB32" s="236">
        <v>280</v>
      </c>
      <c r="AC32" s="237">
        <v>139000</v>
      </c>
      <c r="AD32" s="238">
        <f>AB32*AC32</f>
      </c>
      <c r="AE32" s="232">
        <v>620</v>
      </c>
      <c r="AF32" s="239">
        <v>106700</v>
      </c>
      <c r="AG32" s="229">
        <f>AE32*AF32</f>
      </c>
      <c r="AH32" s="236">
        <v>240</v>
      </c>
      <c r="AI32" s="237">
        <v>139000</v>
      </c>
      <c r="AJ32" s="238">
        <f>AH32*AI32</f>
      </c>
      <c r="AK32" s="232">
        <v>340</v>
      </c>
      <c r="AL32" s="233">
        <v>106700</v>
      </c>
      <c r="AM32" s="234">
        <f>AK32*AL32</f>
      </c>
      <c r="AN32" s="236">
        <v>225</v>
      </c>
      <c r="AO32" s="240">
        <v>139000</v>
      </c>
      <c r="AP32" s="238">
        <f>AN32*AO32</f>
      </c>
    </row>
    <row x14ac:dyDescent="0.25" r="33" customHeight="1" ht="23.25">
      <c r="A33" s="229">
        <v>29</v>
      </c>
      <c r="B33" s="230" t="s">
        <v>76</v>
      </c>
      <c r="C33" s="231" t="s">
        <v>77</v>
      </c>
      <c r="D33" s="232">
        <v>74</v>
      </c>
      <c r="E33" s="233">
        <v>114500</v>
      </c>
      <c r="F33" s="234">
        <f>D33*E33*98%</f>
      </c>
      <c r="G33" s="235">
        <v>0.02</v>
      </c>
      <c r="H33" s="236">
        <v>82</v>
      </c>
      <c r="I33" s="237">
        <v>168000</v>
      </c>
      <c r="J33" s="238">
        <f>H33*I33</f>
      </c>
      <c r="K33" s="232">
        <v>160</v>
      </c>
      <c r="L33" s="233">
        <v>114500</v>
      </c>
      <c r="M33" s="234">
        <f>K33*L33*98%</f>
      </c>
      <c r="N33" s="235">
        <v>0.02</v>
      </c>
      <c r="O33" s="236">
        <v>110</v>
      </c>
      <c r="P33" s="237">
        <v>168000</v>
      </c>
      <c r="Q33" s="238">
        <f>O33*P33</f>
      </c>
      <c r="R33" s="232"/>
      <c r="S33" s="239"/>
      <c r="T33" s="229"/>
      <c r="U33" s="235"/>
      <c r="V33" s="236">
        <v>40</v>
      </c>
      <c r="W33" s="237">
        <v>168000</v>
      </c>
      <c r="X33" s="238">
        <f>V33*W33</f>
      </c>
      <c r="Y33" s="229">
        <v>31</v>
      </c>
      <c r="Z33" s="239">
        <v>114500</v>
      </c>
      <c r="AA33" s="229">
        <f>Y33*Z33</f>
      </c>
      <c r="AB33" s="236">
        <v>50</v>
      </c>
      <c r="AC33" s="237">
        <v>168000</v>
      </c>
      <c r="AD33" s="238">
        <f>AB33*AC33</f>
      </c>
      <c r="AE33" s="232">
        <v>69</v>
      </c>
      <c r="AF33" s="239">
        <v>126000</v>
      </c>
      <c r="AG33" s="229">
        <f>AE33*AF33</f>
      </c>
      <c r="AH33" s="236">
        <v>200</v>
      </c>
      <c r="AI33" s="237">
        <v>168000</v>
      </c>
      <c r="AJ33" s="238">
        <f>AH33*AI33</f>
      </c>
      <c r="AK33" s="232">
        <v>130</v>
      </c>
      <c r="AL33" s="233">
        <v>126000</v>
      </c>
      <c r="AM33" s="234">
        <f>AK33*AL33</f>
      </c>
      <c r="AN33" s="236">
        <v>150</v>
      </c>
      <c r="AO33" s="240">
        <v>168000</v>
      </c>
      <c r="AP33" s="238">
        <f>AN33*AO33</f>
      </c>
    </row>
    <row x14ac:dyDescent="0.25" r="34" customHeight="1" ht="23.25">
      <c r="A34" s="229">
        <v>30</v>
      </c>
      <c r="B34" s="230" t="s">
        <v>78</v>
      </c>
      <c r="C34" s="231" t="s">
        <v>79</v>
      </c>
      <c r="D34" s="232">
        <v>414</v>
      </c>
      <c r="E34" s="233">
        <v>122000</v>
      </c>
      <c r="F34" s="234">
        <f>D34*E34*98%</f>
      </c>
      <c r="G34" s="235">
        <v>0.02</v>
      </c>
      <c r="H34" s="236">
        <v>210</v>
      </c>
      <c r="I34" s="237">
        <v>171000</v>
      </c>
      <c r="J34" s="238">
        <f>H34*I34</f>
      </c>
      <c r="K34" s="232">
        <v>284</v>
      </c>
      <c r="L34" s="233">
        <v>122000</v>
      </c>
      <c r="M34" s="234">
        <f>K34*L34*98%</f>
      </c>
      <c r="N34" s="235">
        <v>0.02</v>
      </c>
      <c r="O34" s="236">
        <v>168</v>
      </c>
      <c r="P34" s="237">
        <v>171000</v>
      </c>
      <c r="Q34" s="238">
        <f>O34*P34</f>
      </c>
      <c r="R34" s="232">
        <v>135</v>
      </c>
      <c r="S34" s="239">
        <v>122000</v>
      </c>
      <c r="T34" s="229">
        <f>R34*S34*98%</f>
      </c>
      <c r="U34" s="235">
        <v>0.02</v>
      </c>
      <c r="V34" s="236">
        <v>222</v>
      </c>
      <c r="W34" s="237">
        <v>171000</v>
      </c>
      <c r="X34" s="238">
        <f>V34*W34</f>
      </c>
      <c r="Y34" s="229">
        <v>114</v>
      </c>
      <c r="Z34" s="239">
        <v>122000</v>
      </c>
      <c r="AA34" s="229">
        <f>Y34*Z34</f>
      </c>
      <c r="AB34" s="236">
        <v>133</v>
      </c>
      <c r="AC34" s="237">
        <v>171000</v>
      </c>
      <c r="AD34" s="238">
        <f>AB34*AC34</f>
      </c>
      <c r="AE34" s="232">
        <v>291</v>
      </c>
      <c r="AF34" s="239">
        <v>134200</v>
      </c>
      <c r="AG34" s="229">
        <f>AE34*AF34</f>
      </c>
      <c r="AH34" s="236">
        <v>167</v>
      </c>
      <c r="AI34" s="237">
        <v>171000</v>
      </c>
      <c r="AJ34" s="238">
        <f>AH34*AI34</f>
      </c>
      <c r="AK34" s="232">
        <v>220</v>
      </c>
      <c r="AL34" s="233">
        <v>134200</v>
      </c>
      <c r="AM34" s="234">
        <f>AK34*AL34</f>
      </c>
      <c r="AN34" s="236">
        <v>170</v>
      </c>
      <c r="AO34" s="240">
        <v>171000</v>
      </c>
      <c r="AP34" s="238">
        <f>AN34*AO34</f>
      </c>
    </row>
    <row x14ac:dyDescent="0.25" r="35" customHeight="1" ht="23.25">
      <c r="A35" s="229">
        <v>31</v>
      </c>
      <c r="B35" s="230" t="s">
        <v>80</v>
      </c>
      <c r="C35" s="231" t="s">
        <v>81</v>
      </c>
      <c r="D35" s="232">
        <v>31</v>
      </c>
      <c r="E35" s="233">
        <v>130000</v>
      </c>
      <c r="F35" s="234">
        <f>D35*E35*98%</f>
      </c>
      <c r="G35" s="235">
        <v>0.02</v>
      </c>
      <c r="H35" s="236"/>
      <c r="I35" s="237"/>
      <c r="J35" s="238"/>
      <c r="K35" s="232">
        <v>45</v>
      </c>
      <c r="L35" s="233">
        <v>130000</v>
      </c>
      <c r="M35" s="234">
        <f>K35*L35*98%</f>
      </c>
      <c r="N35" s="235">
        <v>0.02</v>
      </c>
      <c r="O35" s="236">
        <v>50</v>
      </c>
      <c r="P35" s="237">
        <v>190500</v>
      </c>
      <c r="Q35" s="238">
        <f>O35*P35</f>
      </c>
      <c r="R35" s="232">
        <v>54</v>
      </c>
      <c r="S35" s="239">
        <v>130000</v>
      </c>
      <c r="T35" s="229">
        <f>R35*S35*98%</f>
      </c>
      <c r="U35" s="235">
        <v>0.02</v>
      </c>
      <c r="V35" s="236">
        <v>30</v>
      </c>
      <c r="W35" s="237">
        <v>190500</v>
      </c>
      <c r="X35" s="238">
        <f>V35*W35</f>
      </c>
      <c r="Y35" s="229">
        <v>37</v>
      </c>
      <c r="Z35" s="239">
        <v>130000</v>
      </c>
      <c r="AA35" s="229">
        <f>Y35*Z35</f>
      </c>
      <c r="AB35" s="236">
        <v>20</v>
      </c>
      <c r="AC35" s="237">
        <v>190500</v>
      </c>
      <c r="AD35" s="238">
        <f>AB35*AC35</f>
      </c>
      <c r="AE35" s="232">
        <v>50</v>
      </c>
      <c r="AF35" s="239">
        <v>143000</v>
      </c>
      <c r="AG35" s="229">
        <f>AE35*AF35</f>
      </c>
      <c r="AH35" s="236">
        <v>75</v>
      </c>
      <c r="AI35" s="237">
        <v>190500</v>
      </c>
      <c r="AJ35" s="238">
        <f>AH35*AI35</f>
      </c>
      <c r="AK35" s="232">
        <v>65</v>
      </c>
      <c r="AL35" s="233">
        <v>143000</v>
      </c>
      <c r="AM35" s="234">
        <f>AK35*AL35</f>
      </c>
      <c r="AN35" s="236"/>
      <c r="AO35" s="240"/>
      <c r="AP35" s="238">
        <f>AN35*AO35</f>
      </c>
    </row>
    <row x14ac:dyDescent="0.25" r="36" customHeight="1" ht="23.25">
      <c r="A36" s="229">
        <v>32</v>
      </c>
      <c r="B36" s="230" t="s">
        <v>82</v>
      </c>
      <c r="C36" s="231" t="s">
        <v>83</v>
      </c>
      <c r="D36" s="232"/>
      <c r="E36" s="233"/>
      <c r="F36" s="234"/>
      <c r="G36" s="235"/>
      <c r="H36" s="236">
        <v>77</v>
      </c>
      <c r="I36" s="237">
        <v>206000</v>
      </c>
      <c r="J36" s="238">
        <f>H36*I36</f>
      </c>
      <c r="K36" s="232">
        <v>128</v>
      </c>
      <c r="L36" s="233">
        <v>144500</v>
      </c>
      <c r="M36" s="234">
        <f>K36*L36*98%</f>
      </c>
      <c r="N36" s="235">
        <v>0.02</v>
      </c>
      <c r="O36" s="236">
        <v>52</v>
      </c>
      <c r="P36" s="237">
        <v>206000</v>
      </c>
      <c r="Q36" s="238">
        <f>O36*P36</f>
      </c>
      <c r="R36" s="232">
        <v>70</v>
      </c>
      <c r="S36" s="239">
        <v>144500</v>
      </c>
      <c r="T36" s="229">
        <f>R36*S36*98%</f>
      </c>
      <c r="U36" s="235">
        <v>0.02</v>
      </c>
      <c r="V36" s="236">
        <v>65</v>
      </c>
      <c r="W36" s="237">
        <v>206000</v>
      </c>
      <c r="X36" s="238">
        <f>V36*W36</f>
      </c>
      <c r="Y36" s="229">
        <v>60</v>
      </c>
      <c r="Z36" s="239">
        <v>144500</v>
      </c>
      <c r="AA36" s="229">
        <f>Y36*Z36</f>
      </c>
      <c r="AB36" s="236">
        <v>84</v>
      </c>
      <c r="AC36" s="237">
        <v>206000</v>
      </c>
      <c r="AD36" s="238">
        <f>AB36*AC36</f>
      </c>
      <c r="AE36" s="232">
        <v>105</v>
      </c>
      <c r="AF36" s="239">
        <v>159000</v>
      </c>
      <c r="AG36" s="229">
        <f>AE36*AF36</f>
      </c>
      <c r="AH36" s="236">
        <v>22</v>
      </c>
      <c r="AI36" s="237">
        <v>206000</v>
      </c>
      <c r="AJ36" s="238">
        <f>AH36*AI36</f>
      </c>
      <c r="AK36" s="232">
        <v>65</v>
      </c>
      <c r="AL36" s="233">
        <v>159000</v>
      </c>
      <c r="AM36" s="234">
        <f>AK36*AL36</f>
      </c>
      <c r="AN36" s="236">
        <v>100</v>
      </c>
      <c r="AO36" s="240">
        <v>206000</v>
      </c>
      <c r="AP36" s="238">
        <f>AN36*AO36</f>
      </c>
    </row>
    <row x14ac:dyDescent="0.25" r="37" customHeight="1" ht="23.25">
      <c r="A37" s="229">
        <v>33</v>
      </c>
      <c r="B37" s="230" t="s">
        <v>84</v>
      </c>
      <c r="C37" s="231" t="s">
        <v>85</v>
      </c>
      <c r="D37" s="232">
        <v>147</v>
      </c>
      <c r="E37" s="233">
        <v>144500</v>
      </c>
      <c r="F37" s="234">
        <f>D37*E37*98%</f>
      </c>
      <c r="G37" s="235">
        <v>0.02</v>
      </c>
      <c r="H37" s="236"/>
      <c r="I37" s="237"/>
      <c r="J37" s="238"/>
      <c r="K37" s="232">
        <v>106</v>
      </c>
      <c r="L37" s="233">
        <v>144500</v>
      </c>
      <c r="M37" s="234">
        <f>K37*L37*98%</f>
      </c>
      <c r="N37" s="235">
        <v>0.02</v>
      </c>
      <c r="O37" s="236">
        <v>83</v>
      </c>
      <c r="P37" s="237">
        <v>206000</v>
      </c>
      <c r="Q37" s="238">
        <f>O37*P37</f>
      </c>
      <c r="R37" s="232"/>
      <c r="S37" s="239"/>
      <c r="T37" s="229"/>
      <c r="U37" s="235"/>
      <c r="V37" s="236">
        <v>17</v>
      </c>
      <c r="W37" s="237">
        <v>206000</v>
      </c>
      <c r="X37" s="238">
        <f>V37*W37</f>
      </c>
      <c r="Y37" s="229">
        <v>65</v>
      </c>
      <c r="Z37" s="239">
        <v>144500</v>
      </c>
      <c r="AA37" s="229">
        <f>Y37*Z37</f>
      </c>
      <c r="AB37" s="236">
        <v>76</v>
      </c>
      <c r="AC37" s="237">
        <v>206000</v>
      </c>
      <c r="AD37" s="238">
        <f>AB37*AC37</f>
      </c>
      <c r="AE37" s="232">
        <v>105</v>
      </c>
      <c r="AF37" s="239">
        <v>159000</v>
      </c>
      <c r="AG37" s="229">
        <f>AE37*AF37</f>
      </c>
      <c r="AH37" s="236">
        <v>24</v>
      </c>
      <c r="AI37" s="237">
        <v>206000</v>
      </c>
      <c r="AJ37" s="238">
        <f>AH37*AI37</f>
      </c>
      <c r="AK37" s="232">
        <v>30</v>
      </c>
      <c r="AL37" s="233">
        <v>159000</v>
      </c>
      <c r="AM37" s="234">
        <f>AK37*AL37</f>
      </c>
      <c r="AN37" s="236"/>
      <c r="AO37" s="240"/>
      <c r="AP37" s="238">
        <f>AN37*AO37</f>
      </c>
    </row>
    <row x14ac:dyDescent="0.25" r="38" customHeight="1" ht="23.25">
      <c r="A38" s="229">
        <v>34</v>
      </c>
      <c r="B38" s="230" t="s">
        <v>86</v>
      </c>
      <c r="C38" s="231" t="s">
        <v>87</v>
      </c>
      <c r="D38" s="232">
        <v>490</v>
      </c>
      <c r="E38" s="233">
        <v>153000</v>
      </c>
      <c r="F38" s="234">
        <f>D38*E38*98%</f>
      </c>
      <c r="G38" s="235">
        <v>0.02</v>
      </c>
      <c r="H38" s="236">
        <v>280</v>
      </c>
      <c r="I38" s="237">
        <v>213500</v>
      </c>
      <c r="J38" s="238">
        <f>H38*I38</f>
      </c>
      <c r="K38" s="232">
        <v>297</v>
      </c>
      <c r="L38" s="233">
        <v>153000</v>
      </c>
      <c r="M38" s="234">
        <f>K38*L38*98%</f>
      </c>
      <c r="N38" s="235">
        <v>0.02</v>
      </c>
      <c r="O38" s="236">
        <v>369</v>
      </c>
      <c r="P38" s="237">
        <v>213500</v>
      </c>
      <c r="Q38" s="238">
        <f>O38*P38</f>
      </c>
      <c r="R38" s="232">
        <v>215</v>
      </c>
      <c r="S38" s="239">
        <v>153000</v>
      </c>
      <c r="T38" s="229">
        <f>R38*S38*98%</f>
      </c>
      <c r="U38" s="235">
        <v>0.02</v>
      </c>
      <c r="V38" s="236">
        <v>472</v>
      </c>
      <c r="W38" s="237">
        <v>213500</v>
      </c>
      <c r="X38" s="238">
        <f>V38*W38</f>
      </c>
      <c r="Y38" s="229">
        <v>225</v>
      </c>
      <c r="Z38" s="239">
        <v>153000</v>
      </c>
      <c r="AA38" s="229">
        <f>Y38*Z38</f>
      </c>
      <c r="AB38" s="236">
        <v>64</v>
      </c>
      <c r="AC38" s="237">
        <v>213500</v>
      </c>
      <c r="AD38" s="238">
        <f>AB38*AC38</f>
      </c>
      <c r="AE38" s="232">
        <v>555</v>
      </c>
      <c r="AF38" s="239">
        <v>168300</v>
      </c>
      <c r="AG38" s="229">
        <f>AE38*AF38</f>
      </c>
      <c r="AH38" s="236">
        <v>200</v>
      </c>
      <c r="AI38" s="237">
        <v>213500</v>
      </c>
      <c r="AJ38" s="238">
        <f>AH38*AI38</f>
      </c>
      <c r="AK38" s="232">
        <v>260</v>
      </c>
      <c r="AL38" s="233">
        <v>168300</v>
      </c>
      <c r="AM38" s="234">
        <f>AK38*AL38</f>
      </c>
      <c r="AN38" s="236">
        <v>180</v>
      </c>
      <c r="AO38" s="240">
        <v>213500</v>
      </c>
      <c r="AP38" s="238">
        <f>AN38*AO38</f>
      </c>
    </row>
    <row x14ac:dyDescent="0.25" r="39" customHeight="1" ht="23.25">
      <c r="A39" s="229">
        <v>35</v>
      </c>
      <c r="B39" s="244" t="s">
        <v>88</v>
      </c>
      <c r="C39" s="245" t="s">
        <v>211</v>
      </c>
      <c r="D39" s="232"/>
      <c r="E39" s="233"/>
      <c r="F39" s="234"/>
      <c r="G39" s="235"/>
      <c r="H39" s="236">
        <v>30</v>
      </c>
      <c r="I39" s="237">
        <v>228500</v>
      </c>
      <c r="J39" s="238">
        <f>H39*I39</f>
      </c>
      <c r="K39" s="232"/>
      <c r="L39" s="233"/>
      <c r="M39" s="234"/>
      <c r="N39" s="235"/>
      <c r="O39" s="236">
        <f>32+10</f>
      </c>
      <c r="P39" s="237" t="s">
        <v>91</v>
      </c>
      <c r="Q39" s="238">
        <f>6928000+2285000</f>
      </c>
      <c r="R39" s="232">
        <v>55</v>
      </c>
      <c r="S39" s="239">
        <v>160000</v>
      </c>
      <c r="T39" s="229">
        <f>R39*S39*98%</f>
      </c>
      <c r="U39" s="235">
        <v>0.02</v>
      </c>
      <c r="V39" s="236">
        <v>28</v>
      </c>
      <c r="W39" s="237">
        <v>216500</v>
      </c>
      <c r="X39" s="238">
        <f>V39*W39</f>
      </c>
      <c r="Y39" s="229"/>
      <c r="Z39" s="239"/>
      <c r="AA39" s="229"/>
      <c r="AB39" s="236">
        <v>66</v>
      </c>
      <c r="AC39" s="237">
        <v>216500</v>
      </c>
      <c r="AD39" s="238">
        <f>AB39*AC39</f>
      </c>
      <c r="AE39" s="232">
        <v>60</v>
      </c>
      <c r="AF39" s="239">
        <v>176000</v>
      </c>
      <c r="AG39" s="229">
        <f>AE39*AF39</f>
      </c>
      <c r="AH39" s="236">
        <v>34</v>
      </c>
      <c r="AI39" s="237">
        <v>216500</v>
      </c>
      <c r="AJ39" s="238">
        <f>AH39*AI39</f>
      </c>
      <c r="AK39" s="232">
        <v>60</v>
      </c>
      <c r="AL39" s="233">
        <v>176000</v>
      </c>
      <c r="AM39" s="234">
        <f>AK39*AL39</f>
      </c>
      <c r="AN39" s="236"/>
      <c r="AO39" s="240"/>
      <c r="AP39" s="238">
        <f>AN39*AO39</f>
      </c>
    </row>
    <row x14ac:dyDescent="0.25" r="40" customHeight="1" ht="23.25">
      <c r="A40" s="229">
        <v>36</v>
      </c>
      <c r="B40" s="230" t="s">
        <v>92</v>
      </c>
      <c r="C40" s="231" t="s">
        <v>93</v>
      </c>
      <c r="D40" s="232"/>
      <c r="E40" s="233"/>
      <c r="F40" s="234"/>
      <c r="G40" s="235"/>
      <c r="H40" s="236"/>
      <c r="I40" s="237"/>
      <c r="J40" s="238"/>
      <c r="K40" s="232"/>
      <c r="L40" s="233"/>
      <c r="M40" s="234"/>
      <c r="N40" s="235"/>
      <c r="O40" s="236"/>
      <c r="P40" s="237"/>
      <c r="Q40" s="238"/>
      <c r="R40" s="232"/>
      <c r="S40" s="239"/>
      <c r="T40" s="229"/>
      <c r="U40" s="235"/>
      <c r="V40" s="236"/>
      <c r="W40" s="237"/>
      <c r="X40" s="238"/>
      <c r="Y40" s="229"/>
      <c r="Z40" s="239"/>
      <c r="AA40" s="229"/>
      <c r="AB40" s="236"/>
      <c r="AC40" s="237"/>
      <c r="AD40" s="238"/>
      <c r="AE40" s="232">
        <v>65</v>
      </c>
      <c r="AF40" s="239">
        <v>91900</v>
      </c>
      <c r="AG40" s="229">
        <f>AE40*AF40</f>
      </c>
      <c r="AH40" s="236">
        <v>30</v>
      </c>
      <c r="AI40" s="237">
        <v>128500</v>
      </c>
      <c r="AJ40" s="238">
        <f>AH40*AI40</f>
      </c>
      <c r="AK40" s="232"/>
      <c r="AL40" s="233"/>
      <c r="AM40" s="234"/>
      <c r="AN40" s="236"/>
      <c r="AO40" s="240"/>
      <c r="AP40" s="238">
        <f>AN40*AO40</f>
      </c>
    </row>
    <row x14ac:dyDescent="0.25" r="41" customHeight="1" ht="23.25">
      <c r="A41" s="229">
        <v>37</v>
      </c>
      <c r="B41" s="230" t="s">
        <v>94</v>
      </c>
      <c r="C41" s="231" t="s">
        <v>95</v>
      </c>
      <c r="D41" s="232"/>
      <c r="E41" s="233"/>
      <c r="F41" s="234"/>
      <c r="G41" s="235"/>
      <c r="H41" s="236">
        <v>50</v>
      </c>
      <c r="I41" s="237">
        <v>247000</v>
      </c>
      <c r="J41" s="238">
        <f>H41*I41</f>
      </c>
      <c r="K41" s="232"/>
      <c r="L41" s="233"/>
      <c r="M41" s="234"/>
      <c r="N41" s="235"/>
      <c r="O41" s="236">
        <v>31</v>
      </c>
      <c r="P41" s="237">
        <v>247000</v>
      </c>
      <c r="Q41" s="238">
        <f>O41*P41</f>
      </c>
      <c r="R41" s="232"/>
      <c r="S41" s="239"/>
      <c r="T41" s="229"/>
      <c r="U41" s="235"/>
      <c r="V41" s="236">
        <v>19</v>
      </c>
      <c r="W41" s="237">
        <v>247000</v>
      </c>
      <c r="X41" s="238">
        <f>V41*W41</f>
      </c>
      <c r="Y41" s="229"/>
      <c r="Z41" s="239"/>
      <c r="AA41" s="229"/>
      <c r="AB41" s="236">
        <v>27</v>
      </c>
      <c r="AC41" s="237">
        <v>247000</v>
      </c>
      <c r="AD41" s="238">
        <f>AB41*AC41</f>
      </c>
      <c r="AE41" s="232"/>
      <c r="AF41" s="239"/>
      <c r="AG41" s="229"/>
      <c r="AH41" s="236">
        <v>23</v>
      </c>
      <c r="AI41" s="237">
        <v>247000</v>
      </c>
      <c r="AJ41" s="238">
        <f>AH41*AI41</f>
      </c>
      <c r="AK41" s="232">
        <v>35</v>
      </c>
      <c r="AL41" s="233">
        <v>191200</v>
      </c>
      <c r="AM41" s="234">
        <f>AK41*AL41</f>
      </c>
      <c r="AN41" s="236"/>
      <c r="AO41" s="240"/>
      <c r="AP41" s="238">
        <f>AN41*AO41</f>
      </c>
    </row>
    <row x14ac:dyDescent="0.25" r="42" customHeight="1" ht="23.25">
      <c r="A42" s="229">
        <v>38</v>
      </c>
      <c r="B42" s="230" t="s">
        <v>97</v>
      </c>
      <c r="C42" s="231" t="s">
        <v>98</v>
      </c>
      <c r="D42" s="232">
        <v>144</v>
      </c>
      <c r="E42" s="233">
        <v>183000</v>
      </c>
      <c r="F42" s="234">
        <f>D42*E42*98%</f>
      </c>
      <c r="G42" s="235">
        <v>0.02</v>
      </c>
      <c r="H42" s="236">
        <v>184</v>
      </c>
      <c r="I42" s="237">
        <v>256000</v>
      </c>
      <c r="J42" s="238">
        <f>H42*I42</f>
      </c>
      <c r="K42" s="232">
        <v>71</v>
      </c>
      <c r="L42" s="233">
        <v>183000</v>
      </c>
      <c r="M42" s="234">
        <f>K42*L42*98%</f>
      </c>
      <c r="N42" s="235">
        <v>0.02</v>
      </c>
      <c r="O42" s="236">
        <v>102</v>
      </c>
      <c r="P42" s="237">
        <v>256000</v>
      </c>
      <c r="Q42" s="238">
        <f>O42*P42</f>
      </c>
      <c r="R42" s="232">
        <v>19</v>
      </c>
      <c r="S42" s="239">
        <v>183000</v>
      </c>
      <c r="T42" s="229">
        <f>R42*S42*98%</f>
      </c>
      <c r="U42" s="235">
        <v>0.02</v>
      </c>
      <c r="V42" s="236">
        <v>130</v>
      </c>
      <c r="W42" s="237">
        <v>256000</v>
      </c>
      <c r="X42" s="238">
        <f>V42*W42</f>
      </c>
      <c r="Y42" s="229">
        <v>35</v>
      </c>
      <c r="Z42" s="239">
        <v>183000</v>
      </c>
      <c r="AA42" s="229">
        <f>Y42*Z42</f>
      </c>
      <c r="AB42" s="236">
        <v>62</v>
      </c>
      <c r="AC42" s="237">
        <v>256000</v>
      </c>
      <c r="AD42" s="238">
        <f>AB42*AC42</f>
      </c>
      <c r="AE42" s="232">
        <v>275</v>
      </c>
      <c r="AF42" s="239">
        <v>197700</v>
      </c>
      <c r="AG42" s="229">
        <f>AE42*AF42</f>
      </c>
      <c r="AH42" s="236">
        <v>115</v>
      </c>
      <c r="AI42" s="237">
        <v>256000</v>
      </c>
      <c r="AJ42" s="238">
        <f>AH42*AI42</f>
      </c>
      <c r="AK42" s="232">
        <v>75</v>
      </c>
      <c r="AL42" s="233">
        <v>197700</v>
      </c>
      <c r="AM42" s="234">
        <f>AK42*AL42</f>
      </c>
      <c r="AN42" s="236">
        <v>57</v>
      </c>
      <c r="AO42" s="240">
        <v>256000</v>
      </c>
      <c r="AP42" s="238">
        <f>AN42*AO42</f>
      </c>
    </row>
    <row x14ac:dyDescent="0.25" r="43" customHeight="1" ht="23.25">
      <c r="A43" s="229">
        <v>39</v>
      </c>
      <c r="B43" s="230" t="s">
        <v>99</v>
      </c>
      <c r="C43" s="231" t="s">
        <v>100</v>
      </c>
      <c r="D43" s="232"/>
      <c r="E43" s="233"/>
      <c r="F43" s="234"/>
      <c r="G43" s="235"/>
      <c r="H43" s="236"/>
      <c r="I43" s="237"/>
      <c r="J43" s="238"/>
      <c r="K43" s="232"/>
      <c r="L43" s="233"/>
      <c r="M43" s="234"/>
      <c r="N43" s="235"/>
      <c r="O43" s="236"/>
      <c r="P43" s="237"/>
      <c r="Q43" s="238"/>
      <c r="R43" s="232"/>
      <c r="S43" s="239"/>
      <c r="T43" s="229"/>
      <c r="U43" s="235"/>
      <c r="V43" s="236"/>
      <c r="W43" s="237"/>
      <c r="X43" s="238"/>
      <c r="Y43" s="229"/>
      <c r="Z43" s="239"/>
      <c r="AA43" s="229"/>
      <c r="AB43" s="236"/>
      <c r="AC43" s="237"/>
      <c r="AD43" s="238"/>
      <c r="AE43" s="232"/>
      <c r="AF43" s="239"/>
      <c r="AG43" s="229"/>
      <c r="AH43" s="236"/>
      <c r="AI43" s="237"/>
      <c r="AJ43" s="238"/>
      <c r="AK43" s="232">
        <v>30</v>
      </c>
      <c r="AL43" s="233">
        <v>198800</v>
      </c>
      <c r="AM43" s="234">
        <f>AK43*AL43</f>
      </c>
      <c r="AN43" s="236"/>
      <c r="AO43" s="240"/>
      <c r="AP43" s="238">
        <f>AN43*AO43</f>
      </c>
    </row>
    <row x14ac:dyDescent="0.25" r="44" customHeight="1" ht="23.25">
      <c r="A44" s="229">
        <v>40</v>
      </c>
      <c r="B44" s="230" t="s">
        <v>101</v>
      </c>
      <c r="C44" s="231" t="s">
        <v>102</v>
      </c>
      <c r="D44" s="232"/>
      <c r="E44" s="233"/>
      <c r="F44" s="234"/>
      <c r="G44" s="235"/>
      <c r="H44" s="236"/>
      <c r="I44" s="237"/>
      <c r="J44" s="238"/>
      <c r="K44" s="232">
        <v>20</v>
      </c>
      <c r="L44" s="233">
        <v>194500</v>
      </c>
      <c r="M44" s="234">
        <f>K44*L44*98%</f>
      </c>
      <c r="N44" s="235">
        <v>0.02</v>
      </c>
      <c r="O44" s="236"/>
      <c r="P44" s="237"/>
      <c r="Q44" s="238"/>
      <c r="R44" s="232"/>
      <c r="S44" s="239"/>
      <c r="T44" s="229"/>
      <c r="U44" s="235"/>
      <c r="V44" s="236">
        <v>20</v>
      </c>
      <c r="W44" s="237">
        <v>279000</v>
      </c>
      <c r="X44" s="238">
        <f>V44*W44</f>
      </c>
      <c r="Y44" s="229"/>
      <c r="Z44" s="239"/>
      <c r="AA44" s="229"/>
      <c r="AB44" s="236">
        <v>30</v>
      </c>
      <c r="AC44" s="237">
        <v>279000</v>
      </c>
      <c r="AD44" s="238">
        <f>AB44*AC44</f>
      </c>
      <c r="AE44" s="232"/>
      <c r="AF44" s="239"/>
      <c r="AG44" s="229"/>
      <c r="AH44" s="236"/>
      <c r="AI44" s="237"/>
      <c r="AJ44" s="238"/>
      <c r="AK44" s="232"/>
      <c r="AL44" s="233"/>
      <c r="AM44" s="234"/>
      <c r="AN44" s="236"/>
      <c r="AO44" s="240"/>
      <c r="AP44" s="238">
        <f>AN44*AO44</f>
      </c>
    </row>
    <row x14ac:dyDescent="0.25" r="45" customHeight="1" ht="22.5">
      <c r="A45" s="229">
        <v>41</v>
      </c>
      <c r="B45" s="230" t="s">
        <v>104</v>
      </c>
      <c r="C45" s="231" t="s">
        <v>105</v>
      </c>
      <c r="D45" s="232"/>
      <c r="E45" s="233"/>
      <c r="F45" s="234"/>
      <c r="G45" s="235"/>
      <c r="H45" s="236"/>
      <c r="I45" s="237"/>
      <c r="J45" s="238"/>
      <c r="K45" s="232"/>
      <c r="L45" s="233"/>
      <c r="M45" s="234"/>
      <c r="N45" s="235"/>
      <c r="O45" s="236"/>
      <c r="P45" s="237"/>
      <c r="Q45" s="238"/>
      <c r="R45" s="232">
        <v>27</v>
      </c>
      <c r="S45" s="239">
        <v>186000</v>
      </c>
      <c r="T45" s="229">
        <f>R45*S45*98%</f>
      </c>
      <c r="U45" s="235">
        <v>0.02</v>
      </c>
      <c r="V45" s="236"/>
      <c r="W45" s="237"/>
      <c r="X45" s="238"/>
      <c r="Y45" s="229"/>
      <c r="Z45" s="239"/>
      <c r="AA45" s="229"/>
      <c r="AB45" s="236"/>
      <c r="AC45" s="237"/>
      <c r="AD45" s="238"/>
      <c r="AE45" s="232"/>
      <c r="AF45" s="239"/>
      <c r="AG45" s="229"/>
      <c r="AH45" s="236"/>
      <c r="AI45" s="237"/>
      <c r="AJ45" s="238"/>
      <c r="AK45" s="232"/>
      <c r="AL45" s="233"/>
      <c r="AM45" s="234"/>
      <c r="AN45" s="236"/>
      <c r="AO45" s="240"/>
      <c r="AP45" s="238">
        <f>AN45*AO45</f>
      </c>
    </row>
    <row x14ac:dyDescent="0.25" r="46" customHeight="1" ht="23.25">
      <c r="A46" s="229">
        <v>42</v>
      </c>
      <c r="B46" s="230" t="s">
        <v>107</v>
      </c>
      <c r="C46" s="231" t="s">
        <v>108</v>
      </c>
      <c r="D46" s="232">
        <v>100</v>
      </c>
      <c r="E46" s="233">
        <v>196500</v>
      </c>
      <c r="F46" s="234">
        <f>D46*E46*98%</f>
      </c>
      <c r="G46" s="235">
        <v>0.02</v>
      </c>
      <c r="H46" s="236">
        <v>33</v>
      </c>
      <c r="I46" s="237">
        <v>274500</v>
      </c>
      <c r="J46" s="238">
        <f>H46*I46</f>
      </c>
      <c r="K46" s="232">
        <v>80</v>
      </c>
      <c r="L46" s="233">
        <v>196500</v>
      </c>
      <c r="M46" s="234">
        <f>K46*L46*98%</f>
      </c>
      <c r="N46" s="235">
        <v>0.02</v>
      </c>
      <c r="O46" s="236">
        <v>48</v>
      </c>
      <c r="P46" s="237">
        <v>274500</v>
      </c>
      <c r="Q46" s="238">
        <f>O46*P46</f>
      </c>
      <c r="R46" s="232"/>
      <c r="S46" s="239"/>
      <c r="T46" s="229"/>
      <c r="U46" s="235"/>
      <c r="V46" s="236">
        <v>47</v>
      </c>
      <c r="W46" s="237">
        <v>274500</v>
      </c>
      <c r="X46" s="238">
        <f>V46*W46</f>
      </c>
      <c r="Y46" s="229"/>
      <c r="Z46" s="239"/>
      <c r="AA46" s="229"/>
      <c r="AB46" s="236">
        <v>41</v>
      </c>
      <c r="AC46" s="237">
        <v>274500</v>
      </c>
      <c r="AD46" s="238">
        <f>AB46*AC46</f>
      </c>
      <c r="AE46" s="232">
        <v>40</v>
      </c>
      <c r="AF46" s="239">
        <v>212300</v>
      </c>
      <c r="AG46" s="229">
        <f>AE46*AF46</f>
      </c>
      <c r="AH46" s="236">
        <v>61</v>
      </c>
      <c r="AI46" s="237">
        <v>274500</v>
      </c>
      <c r="AJ46" s="238">
        <f>AH46*AI46</f>
      </c>
      <c r="AK46" s="232">
        <v>95</v>
      </c>
      <c r="AL46" s="233">
        <v>212300</v>
      </c>
      <c r="AM46" s="234">
        <f>AK46*AL46</f>
      </c>
      <c r="AN46" s="236">
        <v>20</v>
      </c>
      <c r="AO46" s="240">
        <v>274500</v>
      </c>
      <c r="AP46" s="238">
        <f>AN46*AO46</f>
      </c>
    </row>
    <row x14ac:dyDescent="0.25" r="47" customHeight="1" ht="23.25">
      <c r="A47" s="229">
        <v>43</v>
      </c>
      <c r="B47" s="230" t="s">
        <v>109</v>
      </c>
      <c r="C47" s="231" t="s">
        <v>110</v>
      </c>
      <c r="D47" s="232"/>
      <c r="E47" s="233"/>
      <c r="F47" s="234"/>
      <c r="G47" s="235"/>
      <c r="H47" s="236">
        <v>59</v>
      </c>
      <c r="I47" s="237">
        <v>282000</v>
      </c>
      <c r="J47" s="238">
        <f>H47*I47</f>
      </c>
      <c r="K47" s="232"/>
      <c r="L47" s="233"/>
      <c r="M47" s="234"/>
      <c r="N47" s="235"/>
      <c r="O47" s="236">
        <v>15</v>
      </c>
      <c r="P47" s="237">
        <v>282000</v>
      </c>
      <c r="Q47" s="238">
        <f>O47*P47</f>
      </c>
      <c r="R47" s="232"/>
      <c r="S47" s="239"/>
      <c r="T47" s="229"/>
      <c r="U47" s="235"/>
      <c r="V47" s="236"/>
      <c r="W47" s="237"/>
      <c r="X47" s="238"/>
      <c r="Y47" s="229"/>
      <c r="Z47" s="239"/>
      <c r="AA47" s="229"/>
      <c r="AB47" s="236"/>
      <c r="AC47" s="237"/>
      <c r="AD47" s="238"/>
      <c r="AE47" s="232"/>
      <c r="AF47" s="239"/>
      <c r="AG47" s="229"/>
      <c r="AH47" s="236"/>
      <c r="AI47" s="237"/>
      <c r="AJ47" s="238"/>
      <c r="AK47" s="232"/>
      <c r="AL47" s="233"/>
      <c r="AM47" s="234"/>
      <c r="AN47" s="236">
        <v>26</v>
      </c>
      <c r="AO47" s="240">
        <v>282000</v>
      </c>
      <c r="AP47" s="238">
        <f>AN47*AO47</f>
      </c>
    </row>
    <row x14ac:dyDescent="0.25" r="48" customHeight="1" ht="23.25">
      <c r="A48" s="229">
        <v>44</v>
      </c>
      <c r="B48" s="230" t="s">
        <v>112</v>
      </c>
      <c r="C48" s="231" t="s">
        <v>113</v>
      </c>
      <c r="D48" s="232"/>
      <c r="E48" s="233"/>
      <c r="F48" s="234"/>
      <c r="G48" s="235"/>
      <c r="H48" s="236"/>
      <c r="I48" s="237"/>
      <c r="J48" s="238"/>
      <c r="K48" s="232">
        <v>130</v>
      </c>
      <c r="L48" s="233">
        <v>83000</v>
      </c>
      <c r="M48" s="234">
        <f>K48*L48*98%</f>
      </c>
      <c r="N48" s="235">
        <v>0.02</v>
      </c>
      <c r="O48" s="236"/>
      <c r="P48" s="237"/>
      <c r="Q48" s="238"/>
      <c r="R48" s="232">
        <v>75</v>
      </c>
      <c r="S48" s="239">
        <v>83000</v>
      </c>
      <c r="T48" s="229">
        <f>R48*S48*98%</f>
      </c>
      <c r="U48" s="235">
        <v>0.02</v>
      </c>
      <c r="V48" s="236"/>
      <c r="W48" s="237"/>
      <c r="X48" s="238"/>
      <c r="Y48" s="229">
        <v>52</v>
      </c>
      <c r="Z48" s="239">
        <v>83000</v>
      </c>
      <c r="AA48" s="229">
        <f>Y48*Z48</f>
      </c>
      <c r="AB48" s="236"/>
      <c r="AC48" s="237"/>
      <c r="AD48" s="238"/>
      <c r="AE48" s="232">
        <v>83</v>
      </c>
      <c r="AF48" s="239">
        <v>91300</v>
      </c>
      <c r="AG48" s="229">
        <f>AE48*AF48</f>
      </c>
      <c r="AH48" s="236"/>
      <c r="AI48" s="237"/>
      <c r="AJ48" s="238"/>
      <c r="AK48" s="232">
        <v>15</v>
      </c>
      <c r="AL48" s="233">
        <v>91300</v>
      </c>
      <c r="AM48" s="234">
        <f>AK48*AL48</f>
      </c>
      <c r="AN48" s="236">
        <v>50</v>
      </c>
      <c r="AO48" s="240">
        <v>122000</v>
      </c>
      <c r="AP48" s="238">
        <f>AN48*AO48</f>
      </c>
    </row>
    <row x14ac:dyDescent="0.25" r="49" customHeight="1" ht="23.25">
      <c r="A49" s="229">
        <v>45</v>
      </c>
      <c r="B49" s="230" t="s">
        <v>114</v>
      </c>
      <c r="C49" s="231" t="s">
        <v>115</v>
      </c>
      <c r="D49" s="232">
        <v>25</v>
      </c>
      <c r="E49" s="233">
        <v>239000</v>
      </c>
      <c r="F49" s="234">
        <f>D49*E49*98%</f>
      </c>
      <c r="G49" s="235">
        <v>0.02</v>
      </c>
      <c r="H49" s="236">
        <v>23</v>
      </c>
      <c r="I49" s="237">
        <v>340500</v>
      </c>
      <c r="J49" s="238">
        <f>H49*I49</f>
      </c>
      <c r="K49" s="232"/>
      <c r="L49" s="233"/>
      <c r="M49" s="234"/>
      <c r="N49" s="235"/>
      <c r="O49" s="236">
        <v>37</v>
      </c>
      <c r="P49" s="237">
        <v>340500</v>
      </c>
      <c r="Q49" s="238">
        <f>O49*P49</f>
      </c>
      <c r="R49" s="232">
        <v>16</v>
      </c>
      <c r="S49" s="239">
        <v>239000</v>
      </c>
      <c r="T49" s="229">
        <f>R49*S49*98%</f>
      </c>
      <c r="U49" s="235">
        <v>0.02</v>
      </c>
      <c r="V49" s="236">
        <v>30</v>
      </c>
      <c r="W49" s="237">
        <v>340500</v>
      </c>
      <c r="X49" s="238">
        <f>V49*W49</f>
      </c>
      <c r="Y49" s="229"/>
      <c r="Z49" s="239"/>
      <c r="AA49" s="229"/>
      <c r="AB49" s="236">
        <v>20</v>
      </c>
      <c r="AC49" s="237">
        <v>340500</v>
      </c>
      <c r="AD49" s="238">
        <f>AB49*AC49</f>
      </c>
      <c r="AE49" s="232">
        <v>54</v>
      </c>
      <c r="AF49" s="239">
        <v>255800</v>
      </c>
      <c r="AG49" s="229">
        <f>AE49*AF49</f>
      </c>
      <c r="AH49" s="236">
        <v>30</v>
      </c>
      <c r="AI49" s="237">
        <v>340500</v>
      </c>
      <c r="AJ49" s="238">
        <f>AH49*AI49</f>
      </c>
      <c r="AK49" s="232"/>
      <c r="AL49" s="233"/>
      <c r="AM49" s="234"/>
      <c r="AN49" s="236"/>
      <c r="AO49" s="240"/>
      <c r="AP49" s="238">
        <f>AN49*AO49</f>
      </c>
    </row>
    <row x14ac:dyDescent="0.25" r="50" customHeight="1" ht="23.25">
      <c r="A50" s="229">
        <v>46</v>
      </c>
      <c r="B50" s="230" t="s">
        <v>116</v>
      </c>
      <c r="C50" s="231" t="s">
        <v>117</v>
      </c>
      <c r="D50" s="232">
        <v>57</v>
      </c>
      <c r="E50" s="233">
        <v>255000</v>
      </c>
      <c r="F50" s="234">
        <f>D50*E50*90%</f>
      </c>
      <c r="G50" s="235">
        <v>0.1</v>
      </c>
      <c r="H50" s="236"/>
      <c r="I50" s="237"/>
      <c r="J50" s="238"/>
      <c r="K50" s="232"/>
      <c r="L50" s="233"/>
      <c r="M50" s="234"/>
      <c r="N50" s="235"/>
      <c r="O50" s="236"/>
      <c r="P50" s="237"/>
      <c r="Q50" s="238"/>
      <c r="R50" s="232"/>
      <c r="S50" s="239"/>
      <c r="T50" s="229"/>
      <c r="U50" s="235"/>
      <c r="V50" s="236"/>
      <c r="W50" s="237"/>
      <c r="X50" s="238"/>
      <c r="Y50" s="229"/>
      <c r="Z50" s="239"/>
      <c r="AA50" s="229"/>
      <c r="AB50" s="236"/>
      <c r="AC50" s="237"/>
      <c r="AD50" s="238"/>
      <c r="AE50" s="232"/>
      <c r="AF50" s="239"/>
      <c r="AG50" s="229"/>
      <c r="AH50" s="236"/>
      <c r="AI50" s="237"/>
      <c r="AJ50" s="238"/>
      <c r="AK50" s="232"/>
      <c r="AL50" s="233"/>
      <c r="AM50" s="234"/>
      <c r="AN50" s="236"/>
      <c r="AO50" s="240"/>
      <c r="AP50" s="238">
        <f>AN50*AO50</f>
      </c>
    </row>
    <row x14ac:dyDescent="0.25" r="51" customHeight="1" ht="23.25">
      <c r="A51" s="229">
        <v>47</v>
      </c>
      <c r="B51" s="230" t="s">
        <v>118</v>
      </c>
      <c r="C51" s="231" t="s">
        <v>119</v>
      </c>
      <c r="D51" s="232">
        <v>46</v>
      </c>
      <c r="E51" s="233">
        <v>255000</v>
      </c>
      <c r="F51" s="234">
        <f>D51*E51*98%</f>
      </c>
      <c r="G51" s="235">
        <v>0.02</v>
      </c>
      <c r="H51" s="236">
        <v>49</v>
      </c>
      <c r="I51" s="237">
        <v>363500</v>
      </c>
      <c r="J51" s="238">
        <f>H51*I51</f>
      </c>
      <c r="K51" s="232"/>
      <c r="L51" s="233"/>
      <c r="M51" s="234"/>
      <c r="N51" s="235"/>
      <c r="O51" s="236">
        <v>10</v>
      </c>
      <c r="P51" s="237">
        <v>363500</v>
      </c>
      <c r="Q51" s="238">
        <f>O51*P51</f>
      </c>
      <c r="R51" s="232">
        <v>19</v>
      </c>
      <c r="S51" s="239">
        <v>255000</v>
      </c>
      <c r="T51" s="229">
        <f>R51*S51*98%</f>
      </c>
      <c r="U51" s="235">
        <v>0.02</v>
      </c>
      <c r="V51" s="236">
        <v>31</v>
      </c>
      <c r="W51" s="237">
        <v>363500</v>
      </c>
      <c r="X51" s="238">
        <f>V51*W51</f>
      </c>
      <c r="Y51" s="229"/>
      <c r="Z51" s="239"/>
      <c r="AA51" s="229"/>
      <c r="AB51" s="236">
        <v>41</v>
      </c>
      <c r="AC51" s="237">
        <v>363500</v>
      </c>
      <c r="AD51" s="238">
        <f>AB51*AC51</f>
      </c>
      <c r="AE51" s="232">
        <v>60</v>
      </c>
      <c r="AF51" s="239">
        <v>272900</v>
      </c>
      <c r="AG51" s="229">
        <f>AE51*AF51</f>
      </c>
      <c r="AH51" s="236"/>
      <c r="AI51" s="237"/>
      <c r="AJ51" s="238"/>
      <c r="AK51" s="232">
        <v>40</v>
      </c>
      <c r="AL51" s="233">
        <v>272900</v>
      </c>
      <c r="AM51" s="234">
        <f>AK51*AL51</f>
      </c>
      <c r="AN51" s="236">
        <v>9</v>
      </c>
      <c r="AO51" s="240">
        <v>363500</v>
      </c>
      <c r="AP51" s="238">
        <f>AN51*AO51</f>
      </c>
    </row>
    <row x14ac:dyDescent="0.25" r="52" customHeight="1" ht="23.25">
      <c r="A52" s="229">
        <v>48</v>
      </c>
      <c r="B52" s="230" t="s">
        <v>121</v>
      </c>
      <c r="C52" s="231" t="s">
        <v>122</v>
      </c>
      <c r="D52" s="232">
        <v>6</v>
      </c>
      <c r="E52" s="233">
        <v>166500</v>
      </c>
      <c r="F52" s="234">
        <f>D52*E52*93%</f>
      </c>
      <c r="G52" s="235">
        <v>0.07</v>
      </c>
      <c r="H52" s="236"/>
      <c r="I52" s="237"/>
      <c r="J52" s="238"/>
      <c r="K52" s="232"/>
      <c r="L52" s="233"/>
      <c r="M52" s="234"/>
      <c r="N52" s="235"/>
      <c r="O52" s="236"/>
      <c r="P52" s="237"/>
      <c r="Q52" s="238"/>
      <c r="R52" s="232"/>
      <c r="S52" s="239"/>
      <c r="T52" s="229"/>
      <c r="U52" s="235"/>
      <c r="V52" s="236">
        <v>20</v>
      </c>
      <c r="W52" s="237">
        <v>222000</v>
      </c>
      <c r="X52" s="238">
        <f>V52*W52</f>
      </c>
      <c r="Y52" s="229"/>
      <c r="Z52" s="239"/>
      <c r="AA52" s="229"/>
      <c r="AB52" s="236">
        <v>10</v>
      </c>
      <c r="AC52" s="237">
        <v>222000</v>
      </c>
      <c r="AD52" s="238">
        <f>AB52*AC52</f>
      </c>
      <c r="AE52" s="232"/>
      <c r="AF52" s="239"/>
      <c r="AG52" s="229"/>
      <c r="AH52" s="236">
        <v>20</v>
      </c>
      <c r="AI52" s="237">
        <v>222000</v>
      </c>
      <c r="AJ52" s="238">
        <f>AH52*AI52</f>
      </c>
      <c r="AK52" s="232">
        <v>10</v>
      </c>
      <c r="AL52" s="233">
        <v>175000</v>
      </c>
      <c r="AM52" s="234">
        <f>AK52*AL52</f>
      </c>
      <c r="AN52" s="236">
        <v>20</v>
      </c>
      <c r="AO52" s="240">
        <v>222000</v>
      </c>
      <c r="AP52" s="238">
        <f>AN52*AO52</f>
      </c>
    </row>
    <row x14ac:dyDescent="0.25" r="53" customHeight="1" ht="23.25">
      <c r="A53" s="229">
        <v>49</v>
      </c>
      <c r="B53" s="230" t="s">
        <v>124</v>
      </c>
      <c r="C53" s="231" t="s">
        <v>125</v>
      </c>
      <c r="D53" s="232"/>
      <c r="E53" s="233"/>
      <c r="F53" s="234"/>
      <c r="G53" s="235"/>
      <c r="H53" s="236"/>
      <c r="I53" s="237"/>
      <c r="J53" s="238"/>
      <c r="K53" s="232"/>
      <c r="L53" s="233"/>
      <c r="M53" s="234"/>
      <c r="N53" s="235"/>
      <c r="O53" s="246"/>
      <c r="P53" s="247"/>
      <c r="Q53" s="246"/>
      <c r="R53" s="232"/>
      <c r="S53" s="239"/>
      <c r="T53" s="229"/>
      <c r="U53" s="235"/>
      <c r="V53" s="236">
        <v>10</v>
      </c>
      <c r="W53" s="237">
        <v>234500</v>
      </c>
      <c r="X53" s="238">
        <f>V53*W53</f>
      </c>
      <c r="Y53" s="229"/>
      <c r="Z53" s="239"/>
      <c r="AA53" s="229"/>
      <c r="AB53" s="246"/>
      <c r="AC53" s="247"/>
      <c r="AD53" s="246"/>
      <c r="AE53" s="232"/>
      <c r="AF53" s="239"/>
      <c r="AG53" s="229"/>
      <c r="AH53" s="248"/>
      <c r="AI53" s="247"/>
      <c r="AJ53" s="246"/>
      <c r="AK53" s="232"/>
      <c r="AL53" s="233"/>
      <c r="AM53" s="234"/>
      <c r="AN53" s="236"/>
      <c r="AO53" s="240"/>
      <c r="AP53" s="238">
        <f>AN53*AO53</f>
      </c>
    </row>
    <row x14ac:dyDescent="0.25" r="54" customHeight="1" ht="23.25">
      <c r="A54" s="229">
        <v>50</v>
      </c>
      <c r="B54" s="230" t="s">
        <v>126</v>
      </c>
      <c r="C54" s="231" t="s">
        <v>127</v>
      </c>
      <c r="D54" s="232"/>
      <c r="E54" s="233"/>
      <c r="F54" s="234"/>
      <c r="G54" s="235"/>
      <c r="H54" s="236"/>
      <c r="I54" s="237"/>
      <c r="J54" s="238"/>
      <c r="K54" s="232"/>
      <c r="L54" s="233"/>
      <c r="M54" s="234"/>
      <c r="N54" s="235"/>
      <c r="O54" s="236"/>
      <c r="P54" s="237"/>
      <c r="Q54" s="238"/>
      <c r="R54" s="232"/>
      <c r="S54" s="239"/>
      <c r="T54" s="229"/>
      <c r="U54" s="235"/>
      <c r="V54" s="236"/>
      <c r="W54" s="237"/>
      <c r="X54" s="238"/>
      <c r="Y54" s="229"/>
      <c r="Z54" s="239"/>
      <c r="AA54" s="229"/>
      <c r="AB54" s="236"/>
      <c r="AC54" s="237"/>
      <c r="AD54" s="238"/>
      <c r="AE54" s="232"/>
      <c r="AF54" s="239"/>
      <c r="AG54" s="229"/>
      <c r="AH54" s="236">
        <v>3</v>
      </c>
      <c r="AI54" s="237">
        <v>312500</v>
      </c>
      <c r="AJ54" s="238">
        <f>AH54*AI54</f>
      </c>
      <c r="AK54" s="232"/>
      <c r="AL54" s="233"/>
      <c r="AM54" s="234"/>
      <c r="AN54" s="236">
        <v>7</v>
      </c>
      <c r="AO54" s="240">
        <v>312500</v>
      </c>
      <c r="AP54" s="238">
        <f>AN54*AO54</f>
      </c>
    </row>
    <row x14ac:dyDescent="0.25" r="55" customHeight="1" ht="23.25">
      <c r="A55" s="229">
        <v>51</v>
      </c>
      <c r="B55" s="230" t="s">
        <v>128</v>
      </c>
      <c r="C55" s="231" t="s">
        <v>129</v>
      </c>
      <c r="D55" s="232">
        <v>14</v>
      </c>
      <c r="E55" s="233">
        <v>249000</v>
      </c>
      <c r="F55" s="234">
        <f>D55*E55*93%</f>
      </c>
      <c r="G55" s="235">
        <v>0.07</v>
      </c>
      <c r="H55" s="236">
        <v>6</v>
      </c>
      <c r="I55" s="237">
        <v>339000</v>
      </c>
      <c r="J55" s="238">
        <f>H55*I55</f>
      </c>
      <c r="K55" s="232"/>
      <c r="L55" s="233"/>
      <c r="M55" s="234"/>
      <c r="N55" s="235"/>
      <c r="O55" s="236"/>
      <c r="P55" s="237"/>
      <c r="Q55" s="238"/>
      <c r="R55" s="232"/>
      <c r="S55" s="239"/>
      <c r="T55" s="229"/>
      <c r="U55" s="235"/>
      <c r="V55" s="236">
        <v>9</v>
      </c>
      <c r="W55" s="237">
        <v>339000</v>
      </c>
      <c r="X55" s="238">
        <f>V55*W55</f>
      </c>
      <c r="Y55" s="229">
        <v>10</v>
      </c>
      <c r="Z55" s="239">
        <v>249000</v>
      </c>
      <c r="AA55" s="229">
        <f>Y55*Z55</f>
      </c>
      <c r="AB55" s="236">
        <v>5</v>
      </c>
      <c r="AC55" s="237">
        <v>339000</v>
      </c>
      <c r="AD55" s="238">
        <f>AB55*AC55</f>
      </c>
      <c r="AE55" s="232"/>
      <c r="AF55" s="239"/>
      <c r="AG55" s="229"/>
      <c r="AH55" s="236">
        <v>10</v>
      </c>
      <c r="AI55" s="237">
        <v>339000</v>
      </c>
      <c r="AJ55" s="238">
        <f>AH55*AI55</f>
      </c>
      <c r="AK55" s="232">
        <v>12</v>
      </c>
      <c r="AL55" s="233">
        <v>261500</v>
      </c>
      <c r="AM55" s="234">
        <f>AK55*AL55</f>
      </c>
      <c r="AN55" s="236">
        <v>10</v>
      </c>
      <c r="AO55" s="240">
        <v>339000</v>
      </c>
      <c r="AP55" s="238">
        <f>AN55*AO55</f>
      </c>
    </row>
    <row x14ac:dyDescent="0.25" r="56" customHeight="1" ht="23.25">
      <c r="A56" s="229">
        <v>52</v>
      </c>
      <c r="B56" s="230" t="s">
        <v>131</v>
      </c>
      <c r="C56" s="231" t="s">
        <v>132</v>
      </c>
      <c r="D56" s="232"/>
      <c r="E56" s="233"/>
      <c r="F56" s="234"/>
      <c r="G56" s="235"/>
      <c r="H56" s="236"/>
      <c r="I56" s="237"/>
      <c r="J56" s="238"/>
      <c r="K56" s="232"/>
      <c r="L56" s="233"/>
      <c r="M56" s="234"/>
      <c r="N56" s="235"/>
      <c r="O56" s="236"/>
      <c r="P56" s="237"/>
      <c r="Q56" s="238"/>
      <c r="R56" s="232"/>
      <c r="S56" s="239"/>
      <c r="T56" s="229"/>
      <c r="U56" s="235"/>
      <c r="V56" s="236"/>
      <c r="W56" s="237"/>
      <c r="X56" s="238"/>
      <c r="Y56" s="229"/>
      <c r="Z56" s="239"/>
      <c r="AA56" s="229"/>
      <c r="AB56" s="236">
        <v>4</v>
      </c>
      <c r="AC56" s="237">
        <v>176500</v>
      </c>
      <c r="AD56" s="238">
        <f>AB56*AC56</f>
      </c>
      <c r="AE56" s="232"/>
      <c r="AF56" s="239"/>
      <c r="AG56" s="229"/>
      <c r="AH56" s="236"/>
      <c r="AI56" s="237"/>
      <c r="AJ56" s="238"/>
      <c r="AK56" s="232"/>
      <c r="AL56" s="233"/>
      <c r="AM56" s="234"/>
      <c r="AN56" s="236">
        <v>10</v>
      </c>
      <c r="AO56" s="240">
        <v>176500</v>
      </c>
      <c r="AP56" s="238">
        <f>AN56*AO56</f>
      </c>
    </row>
    <row x14ac:dyDescent="0.25" r="57" customHeight="1" ht="23.25">
      <c r="A57" s="229">
        <v>53</v>
      </c>
      <c r="B57" s="230" t="s">
        <v>134</v>
      </c>
      <c r="C57" s="231" t="s">
        <v>135</v>
      </c>
      <c r="D57" s="232"/>
      <c r="E57" s="233"/>
      <c r="F57" s="234"/>
      <c r="G57" s="235"/>
      <c r="H57" s="236"/>
      <c r="I57" s="237"/>
      <c r="J57" s="238"/>
      <c r="K57" s="232"/>
      <c r="L57" s="233"/>
      <c r="M57" s="234"/>
      <c r="N57" s="235"/>
      <c r="O57" s="236"/>
      <c r="P57" s="237"/>
      <c r="Q57" s="238"/>
      <c r="R57" s="232"/>
      <c r="S57" s="239"/>
      <c r="T57" s="229"/>
      <c r="U57" s="235"/>
      <c r="V57" s="236"/>
      <c r="W57" s="237"/>
      <c r="X57" s="238"/>
      <c r="Y57" s="229"/>
      <c r="Z57" s="239"/>
      <c r="AA57" s="229"/>
      <c r="AB57" s="236"/>
      <c r="AC57" s="237"/>
      <c r="AD57" s="238"/>
      <c r="AE57" s="232"/>
      <c r="AF57" s="239"/>
      <c r="AG57" s="229"/>
      <c r="AH57" s="236">
        <v>10</v>
      </c>
      <c r="AI57" s="237">
        <v>245000</v>
      </c>
      <c r="AJ57" s="238">
        <f>AH57*AI57</f>
      </c>
      <c r="AK57" s="232">
        <v>8</v>
      </c>
      <c r="AL57" s="233">
        <v>189000</v>
      </c>
      <c r="AM57" s="234">
        <f>AK57*AL57</f>
      </c>
      <c r="AN57" s="236"/>
      <c r="AO57" s="240"/>
      <c r="AP57" s="238">
        <f>AN57*AO57</f>
      </c>
    </row>
    <row x14ac:dyDescent="0.25" r="58" customHeight="1" ht="23.25">
      <c r="A58" s="229">
        <v>54</v>
      </c>
      <c r="B58" s="230" t="s">
        <v>137</v>
      </c>
      <c r="C58" s="231" t="s">
        <v>138</v>
      </c>
      <c r="D58" s="232"/>
      <c r="E58" s="233"/>
      <c r="F58" s="234"/>
      <c r="G58" s="235"/>
      <c r="H58" s="236"/>
      <c r="I58" s="237"/>
      <c r="J58" s="238"/>
      <c r="K58" s="232"/>
      <c r="L58" s="233"/>
      <c r="M58" s="234"/>
      <c r="N58" s="235"/>
      <c r="O58" s="236"/>
      <c r="P58" s="237"/>
      <c r="Q58" s="238"/>
      <c r="R58" s="232"/>
      <c r="S58" s="239"/>
      <c r="T58" s="229"/>
      <c r="U58" s="235"/>
      <c r="V58" s="236"/>
      <c r="W58" s="237"/>
      <c r="X58" s="238"/>
      <c r="Y58" s="229"/>
      <c r="Z58" s="239"/>
      <c r="AA58" s="229"/>
      <c r="AB58" s="236"/>
      <c r="AC58" s="237"/>
      <c r="AD58" s="238"/>
      <c r="AE58" s="232"/>
      <c r="AF58" s="239"/>
      <c r="AG58" s="229"/>
      <c r="AH58" s="236"/>
      <c r="AI58" s="237"/>
      <c r="AJ58" s="238"/>
      <c r="AK58" s="232"/>
      <c r="AL58" s="233"/>
      <c r="AM58" s="234"/>
      <c r="AN58" s="236"/>
      <c r="AO58" s="240"/>
      <c r="AP58" s="238">
        <f>AN58*AO58</f>
      </c>
    </row>
    <row x14ac:dyDescent="0.25" r="59" customHeight="1" ht="23.25">
      <c r="A59" s="229">
        <v>55</v>
      </c>
      <c r="B59" s="230" t="s">
        <v>139</v>
      </c>
      <c r="C59" s="231" t="s">
        <v>140</v>
      </c>
      <c r="D59" s="232">
        <v>140</v>
      </c>
      <c r="E59" s="233">
        <v>38500</v>
      </c>
      <c r="F59" s="234">
        <f>D59*E59*98%</f>
      </c>
      <c r="G59" s="235">
        <v>0.02</v>
      </c>
      <c r="H59" s="236">
        <v>251</v>
      </c>
      <c r="I59" s="237">
        <v>55500</v>
      </c>
      <c r="J59" s="238">
        <f>H59*I59</f>
      </c>
      <c r="K59" s="232">
        <v>185</v>
      </c>
      <c r="L59" s="233">
        <v>38500</v>
      </c>
      <c r="M59" s="234">
        <f>K59*L59*98%</f>
      </c>
      <c r="N59" s="235">
        <v>0.02</v>
      </c>
      <c r="O59" s="236">
        <v>258</v>
      </c>
      <c r="P59" s="237">
        <v>55500</v>
      </c>
      <c r="Q59" s="238">
        <f>O59*P59</f>
      </c>
      <c r="R59" s="232">
        <v>55</v>
      </c>
      <c r="S59" s="239">
        <v>38500</v>
      </c>
      <c r="T59" s="229">
        <f>R59*S59*98%</f>
      </c>
      <c r="U59" s="235">
        <v>0.02</v>
      </c>
      <c r="V59" s="236">
        <v>289</v>
      </c>
      <c r="W59" s="237">
        <v>55500</v>
      </c>
      <c r="X59" s="238">
        <f>V59*W59</f>
      </c>
      <c r="Y59" s="229">
        <v>100</v>
      </c>
      <c r="Z59" s="239">
        <v>38500</v>
      </c>
      <c r="AA59" s="229">
        <f>Y59*Z59</f>
      </c>
      <c r="AB59" s="236">
        <v>182</v>
      </c>
      <c r="AC59" s="237">
        <v>55500</v>
      </c>
      <c r="AD59" s="238">
        <f>AB59*AC59</f>
      </c>
      <c r="AE59" s="232">
        <v>585</v>
      </c>
      <c r="AF59" s="239">
        <v>42400</v>
      </c>
      <c r="AG59" s="229">
        <f>AE59*AF59</f>
      </c>
      <c r="AH59" s="236">
        <v>146</v>
      </c>
      <c r="AI59" s="237">
        <v>55500</v>
      </c>
      <c r="AJ59" s="238">
        <f>AH59*AI59</f>
      </c>
      <c r="AK59" s="232">
        <v>245</v>
      </c>
      <c r="AL59" s="233">
        <v>42400</v>
      </c>
      <c r="AM59" s="234">
        <f>AK59*AL59</f>
      </c>
      <c r="AN59" s="236">
        <v>325</v>
      </c>
      <c r="AO59" s="240">
        <v>55500</v>
      </c>
      <c r="AP59" s="238">
        <f>AN59*AO59</f>
      </c>
    </row>
    <row x14ac:dyDescent="0.25" r="60" customHeight="1" ht="23.25">
      <c r="A60" s="229">
        <v>56</v>
      </c>
      <c r="B60" s="230" t="s">
        <v>141</v>
      </c>
      <c r="C60" s="231" t="s">
        <v>142</v>
      </c>
      <c r="D60" s="232"/>
      <c r="E60" s="233"/>
      <c r="F60" s="234"/>
      <c r="G60" s="235"/>
      <c r="H60" s="249">
        <v>10</v>
      </c>
      <c r="I60" s="250">
        <v>139500</v>
      </c>
      <c r="J60" s="251">
        <f>H60*I60</f>
      </c>
      <c r="K60" s="232"/>
      <c r="L60" s="233"/>
      <c r="M60" s="234"/>
      <c r="N60" s="235"/>
      <c r="O60" s="252"/>
      <c r="P60" s="253"/>
      <c r="Q60" s="252"/>
      <c r="R60" s="232"/>
      <c r="S60" s="239"/>
      <c r="T60" s="229"/>
      <c r="U60" s="235"/>
      <c r="V60" s="249"/>
      <c r="W60" s="250"/>
      <c r="X60" s="251"/>
      <c r="Y60" s="229"/>
      <c r="Z60" s="239"/>
      <c r="AA60" s="229"/>
      <c r="AB60" s="246"/>
      <c r="AC60" s="247"/>
      <c r="AD60" s="246"/>
      <c r="AE60" s="232"/>
      <c r="AF60" s="239"/>
      <c r="AG60" s="229"/>
      <c r="AH60" s="236"/>
      <c r="AI60" s="237"/>
      <c r="AJ60" s="238"/>
      <c r="AK60" s="232">
        <v>6</v>
      </c>
      <c r="AL60" s="233">
        <v>105000</v>
      </c>
      <c r="AM60" s="234">
        <f>AK60*AL60</f>
      </c>
      <c r="AN60" s="236">
        <v>10</v>
      </c>
      <c r="AO60" s="240">
        <v>139500</v>
      </c>
      <c r="AP60" s="238">
        <f>AN60*AO60</f>
      </c>
    </row>
    <row x14ac:dyDescent="0.25" r="61" customHeight="1" ht="23.25">
      <c r="A61" s="229">
        <v>57</v>
      </c>
      <c r="B61" s="230" t="s">
        <v>144</v>
      </c>
      <c r="C61" s="231" t="s">
        <v>145</v>
      </c>
      <c r="D61" s="232"/>
      <c r="E61" s="233"/>
      <c r="F61" s="234"/>
      <c r="G61" s="235"/>
      <c r="H61" s="246"/>
      <c r="I61" s="247"/>
      <c r="J61" s="246"/>
      <c r="K61" s="232"/>
      <c r="L61" s="233"/>
      <c r="M61" s="234"/>
      <c r="N61" s="235"/>
      <c r="O61" s="246"/>
      <c r="P61" s="247"/>
      <c r="Q61" s="246"/>
      <c r="R61" s="232"/>
      <c r="S61" s="239"/>
      <c r="T61" s="229"/>
      <c r="U61" s="235"/>
      <c r="V61" s="236">
        <v>10</v>
      </c>
      <c r="W61" s="237">
        <v>165000</v>
      </c>
      <c r="X61" s="238">
        <f>V61*W61</f>
      </c>
      <c r="Y61" s="229"/>
      <c r="Z61" s="239"/>
      <c r="AA61" s="229"/>
      <c r="AB61" s="246"/>
      <c r="AC61" s="247"/>
      <c r="AD61" s="246"/>
      <c r="AE61" s="232"/>
      <c r="AF61" s="239"/>
      <c r="AG61" s="229"/>
      <c r="AH61" s="248"/>
      <c r="AI61" s="247"/>
      <c r="AJ61" s="246"/>
      <c r="AK61" s="232"/>
      <c r="AL61" s="233"/>
      <c r="AM61" s="234"/>
      <c r="AN61" s="236"/>
      <c r="AO61" s="240"/>
      <c r="AP61" s="238">
        <f>AN61*AO61</f>
      </c>
    </row>
    <row x14ac:dyDescent="0.25" r="62" customHeight="1" ht="23.25">
      <c r="A62" s="229" t="s">
        <v>146</v>
      </c>
      <c r="B62" s="254"/>
      <c r="C62" s="255"/>
      <c r="D62" s="232">
        <f>SUM(D7:D60)</f>
      </c>
      <c r="E62" s="233"/>
      <c r="F62" s="234">
        <f>SUM(F7:F60)</f>
      </c>
      <c r="G62" s="235"/>
      <c r="H62" s="256">
        <f>SUM(H7:H61)</f>
      </c>
      <c r="I62" s="247"/>
      <c r="J62" s="256">
        <f>SUM(J7:J61)</f>
      </c>
      <c r="K62" s="232">
        <f>SUM(K7:K60)</f>
      </c>
      <c r="L62" s="233"/>
      <c r="M62" s="234">
        <f>SUM(M7:M60)</f>
      </c>
      <c r="N62" s="235"/>
      <c r="O62" s="256">
        <f>SUM(O7:O61)</f>
      </c>
      <c r="P62" s="247"/>
      <c r="Q62" s="256">
        <f>SUM(Q7:Q61)</f>
      </c>
      <c r="R62" s="232">
        <f>SUM(R7:R60)</f>
      </c>
      <c r="S62" s="239"/>
      <c r="T62" s="229">
        <f>SUM(T7:T60)</f>
      </c>
      <c r="U62" s="235"/>
      <c r="V62" s="256">
        <f>SUM(V7:V61)</f>
      </c>
      <c r="W62" s="247"/>
      <c r="X62" s="256">
        <f>SUM(X7:X61)</f>
      </c>
      <c r="Y62" s="229">
        <f>SUM(Y7:Y60)</f>
      </c>
      <c r="Z62" s="239"/>
      <c r="AA62" s="229">
        <f>SUM(AA7:AA60)</f>
      </c>
      <c r="AB62" s="256">
        <f>SUM(AB7:AB61)</f>
      </c>
      <c r="AC62" s="247"/>
      <c r="AD62" s="256">
        <f>SUM(AD7:AD61)</f>
      </c>
      <c r="AE62" s="232">
        <f>SUM(AE7:AE60)</f>
      </c>
      <c r="AF62" s="239"/>
      <c r="AG62" s="229">
        <f>SUM(AG7:AG60)</f>
      </c>
      <c r="AH62" s="248">
        <f>SUM(AH7:AH61)</f>
      </c>
      <c r="AI62" s="247"/>
      <c r="AJ62" s="256">
        <f>SUM(AJ7:AJ61)</f>
      </c>
      <c r="AK62" s="232">
        <f>SUM(AK7:AK60)</f>
      </c>
      <c r="AL62" s="233"/>
      <c r="AM62" s="234">
        <f>SUM(AM7:AM60)</f>
      </c>
      <c r="AN62" s="236">
        <f>SUM(AN7:AN61)</f>
      </c>
      <c r="AO62" s="240"/>
      <c r="AP62" s="238">
        <f>SUM(AP7:AP61)</f>
      </c>
    </row>
    <row x14ac:dyDescent="0.25" r="63" customHeight="1" ht="23.25">
      <c r="A63" s="38"/>
      <c r="B63" s="39"/>
      <c r="C63" s="5"/>
      <c r="D63" s="38"/>
      <c r="E63" s="38"/>
      <c r="F63" s="38"/>
      <c r="G63" s="79"/>
      <c r="H63" s="209"/>
      <c r="I63" s="204"/>
      <c r="J63" s="209"/>
      <c r="K63" s="200"/>
      <c r="L63" s="38"/>
      <c r="M63" s="200"/>
      <c r="N63" s="208"/>
      <c r="O63" s="209"/>
      <c r="P63" s="204"/>
      <c r="Q63" s="209"/>
      <c r="R63" s="200"/>
      <c r="S63" s="38"/>
      <c r="T63" s="38"/>
      <c r="U63" s="208"/>
      <c r="V63" s="209"/>
      <c r="W63" s="204"/>
      <c r="X63" s="209"/>
      <c r="Y63" s="38"/>
      <c r="Z63" s="38"/>
      <c r="AA63" s="38"/>
      <c r="AB63" s="209"/>
      <c r="AC63" s="204"/>
      <c r="AD63" s="209"/>
      <c r="AE63" s="200"/>
      <c r="AF63" s="38"/>
      <c r="AG63" s="38"/>
      <c r="AH63" s="203"/>
      <c r="AI63" s="38"/>
      <c r="AJ63" s="38"/>
      <c r="AK63" s="200"/>
      <c r="AL63" s="38"/>
      <c r="AM63" s="200"/>
      <c r="AN63" s="200"/>
      <c r="AO63" s="38"/>
      <c r="AP63" s="200"/>
    </row>
    <row x14ac:dyDescent="0.25" r="64" customHeight="1" ht="18.75">
      <c r="A64" s="38"/>
      <c r="B64" s="257"/>
      <c r="C64" s="258"/>
      <c r="D64" s="209"/>
      <c r="E64" s="209"/>
      <c r="F64" s="38"/>
      <c r="G64" s="79"/>
      <c r="H64" s="209"/>
      <c r="I64" s="204"/>
      <c r="J64" s="209"/>
      <c r="K64" s="200"/>
      <c r="L64" s="38"/>
      <c r="M64" s="200"/>
      <c r="N64" s="208"/>
      <c r="O64" s="209"/>
      <c r="P64" s="204"/>
      <c r="Q64" s="209"/>
      <c r="R64" s="200"/>
      <c r="S64" s="38"/>
      <c r="T64" s="38"/>
      <c r="U64" s="208"/>
      <c r="V64" s="209"/>
      <c r="W64" s="204"/>
      <c r="X64" s="209"/>
      <c r="Y64" s="38"/>
      <c r="Z64" s="38"/>
      <c r="AA64" s="38"/>
      <c r="AB64" s="209"/>
      <c r="AC64" s="204"/>
      <c r="AD64" s="209"/>
      <c r="AE64" s="200"/>
      <c r="AF64" s="38"/>
      <c r="AG64" s="38"/>
      <c r="AH64" s="203"/>
      <c r="AI64" s="209"/>
      <c r="AJ64" s="209"/>
      <c r="AK64" s="200"/>
      <c r="AL64" s="209"/>
      <c r="AM64" s="200"/>
      <c r="AN64" s="200"/>
      <c r="AO64" s="209"/>
      <c r="AP64" s="200"/>
    </row>
    <row x14ac:dyDescent="0.25" r="65" customHeight="1" ht="18.75">
      <c r="A65" s="38"/>
      <c r="B65" s="257"/>
      <c r="C65" s="258"/>
      <c r="D65" s="209"/>
      <c r="E65" s="209"/>
      <c r="F65" s="38"/>
      <c r="G65" s="79"/>
      <c r="H65" s="209"/>
      <c r="I65" s="204"/>
      <c r="J65" s="209"/>
      <c r="K65" s="200"/>
      <c r="L65" s="38"/>
      <c r="M65" s="200"/>
      <c r="N65" s="208"/>
      <c r="O65" s="209"/>
      <c r="P65" s="204"/>
      <c r="Q65" s="209"/>
      <c r="R65" s="200"/>
      <c r="S65" s="38"/>
      <c r="T65" s="38"/>
      <c r="U65" s="208"/>
      <c r="V65" s="209"/>
      <c r="W65" s="204"/>
      <c r="X65" s="209"/>
      <c r="Y65" s="38"/>
      <c r="Z65" s="38"/>
      <c r="AA65" s="38"/>
      <c r="AB65" s="209"/>
      <c r="AC65" s="204"/>
      <c r="AD65" s="209"/>
      <c r="AE65" s="200"/>
      <c r="AF65" s="38"/>
      <c r="AG65" s="38"/>
      <c r="AH65" s="203"/>
      <c r="AI65" s="209"/>
      <c r="AJ65" s="209"/>
      <c r="AK65" s="200"/>
      <c r="AL65" s="209"/>
      <c r="AM65" s="200"/>
      <c r="AN65" s="200"/>
      <c r="AO65" s="209"/>
      <c r="AP65" s="200"/>
    </row>
    <row x14ac:dyDescent="0.25" r="66" customHeight="1" ht="18.75">
      <c r="A66" s="38"/>
      <c r="B66" s="257"/>
      <c r="C66" s="258"/>
      <c r="D66" s="209"/>
      <c r="E66" s="209"/>
      <c r="F66" s="38"/>
      <c r="G66" s="79"/>
      <c r="H66" s="209"/>
      <c r="I66" s="204"/>
      <c r="J66" s="209"/>
      <c r="K66" s="200"/>
      <c r="L66" s="38"/>
      <c r="M66" s="200"/>
      <c r="N66" s="208"/>
      <c r="O66" s="209"/>
      <c r="P66" s="204"/>
      <c r="Q66" s="209"/>
      <c r="R66" s="200"/>
      <c r="S66" s="38"/>
      <c r="T66" s="38"/>
      <c r="U66" s="208"/>
      <c r="V66" s="209"/>
      <c r="W66" s="204"/>
      <c r="X66" s="209"/>
      <c r="Y66" s="38"/>
      <c r="Z66" s="38"/>
      <c r="AA66" s="38"/>
      <c r="AB66" s="209"/>
      <c r="AC66" s="204"/>
      <c r="AD66" s="209"/>
      <c r="AE66" s="200"/>
      <c r="AF66" s="38"/>
      <c r="AG66" s="38"/>
      <c r="AH66" s="203"/>
      <c r="AI66" s="209"/>
      <c r="AJ66" s="209"/>
      <c r="AK66" s="200"/>
      <c r="AL66" s="209"/>
      <c r="AM66" s="200"/>
      <c r="AN66" s="200"/>
      <c r="AO66" s="209"/>
      <c r="AP66" s="200"/>
    </row>
    <row x14ac:dyDescent="0.25" r="67" customHeight="1" ht="18.75">
      <c r="A67" s="38"/>
      <c r="B67" s="257"/>
      <c r="C67" s="258"/>
      <c r="D67" s="209"/>
      <c r="E67" s="209"/>
      <c r="F67" s="38"/>
      <c r="G67" s="79"/>
      <c r="H67" s="209"/>
      <c r="I67" s="204"/>
      <c r="J67" s="209"/>
      <c r="K67" s="200"/>
      <c r="L67" s="38"/>
      <c r="M67" s="200"/>
      <c r="N67" s="208"/>
      <c r="O67" s="209"/>
      <c r="P67" s="204"/>
      <c r="Q67" s="209"/>
      <c r="R67" s="200"/>
      <c r="S67" s="38"/>
      <c r="T67" s="38"/>
      <c r="U67" s="208"/>
      <c r="V67" s="209"/>
      <c r="W67" s="204"/>
      <c r="X67" s="209"/>
      <c r="Y67" s="38"/>
      <c r="Z67" s="38"/>
      <c r="AA67" s="38"/>
      <c r="AB67" s="209"/>
      <c r="AC67" s="204"/>
      <c r="AD67" s="209"/>
      <c r="AE67" s="200"/>
      <c r="AF67" s="38"/>
      <c r="AG67" s="38"/>
      <c r="AH67" s="203"/>
      <c r="AI67" s="209"/>
      <c r="AJ67" s="209"/>
      <c r="AK67" s="200"/>
      <c r="AL67" s="209"/>
      <c r="AM67" s="200"/>
      <c r="AN67" s="200"/>
      <c r="AO67" s="209"/>
      <c r="AP67" s="200"/>
    </row>
    <row x14ac:dyDescent="0.25" r="68" customHeight="1" ht="18.75">
      <c r="A68" s="38"/>
      <c r="B68" s="257"/>
      <c r="C68" s="258"/>
      <c r="D68" s="209"/>
      <c r="E68" s="209"/>
      <c r="F68" s="38"/>
      <c r="G68" s="79"/>
      <c r="H68" s="209"/>
      <c r="I68" s="204"/>
      <c r="J68" s="209"/>
      <c r="K68" s="200"/>
      <c r="L68" s="38"/>
      <c r="M68" s="200"/>
      <c r="N68" s="208"/>
      <c r="O68" s="209"/>
      <c r="P68" s="204"/>
      <c r="Q68" s="209"/>
      <c r="R68" s="200"/>
      <c r="S68" s="38"/>
      <c r="T68" s="38"/>
      <c r="U68" s="208"/>
      <c r="V68" s="209"/>
      <c r="W68" s="204"/>
      <c r="X68" s="209"/>
      <c r="Y68" s="38"/>
      <c r="Z68" s="38"/>
      <c r="AA68" s="38"/>
      <c r="AB68" s="209"/>
      <c r="AC68" s="204"/>
      <c r="AD68" s="209"/>
      <c r="AE68" s="200"/>
      <c r="AF68" s="38"/>
      <c r="AG68" s="38"/>
      <c r="AH68" s="203"/>
      <c r="AI68" s="209"/>
      <c r="AJ68" s="209"/>
      <c r="AK68" s="200"/>
      <c r="AL68" s="209"/>
      <c r="AM68" s="200"/>
      <c r="AN68" s="200"/>
      <c r="AO68" s="209"/>
      <c r="AP68" s="200"/>
    </row>
    <row x14ac:dyDescent="0.25" r="69" customHeight="1" ht="18.75">
      <c r="A69" s="38"/>
      <c r="B69" s="257"/>
      <c r="C69" s="258"/>
      <c r="D69" s="209"/>
      <c r="E69" s="209"/>
      <c r="F69" s="38"/>
      <c r="G69" s="79"/>
      <c r="H69" s="209"/>
      <c r="I69" s="204"/>
      <c r="J69" s="209"/>
      <c r="K69" s="200"/>
      <c r="L69" s="38"/>
      <c r="M69" s="200"/>
      <c r="N69" s="208"/>
      <c r="O69" s="209"/>
      <c r="P69" s="204"/>
      <c r="Q69" s="209"/>
      <c r="R69" s="200"/>
      <c r="S69" s="38"/>
      <c r="T69" s="38"/>
      <c r="U69" s="208"/>
      <c r="V69" s="209"/>
      <c r="W69" s="204"/>
      <c r="X69" s="209"/>
      <c r="Y69" s="38"/>
      <c r="Z69" s="38"/>
      <c r="AA69" s="38"/>
      <c r="AB69" s="209"/>
      <c r="AC69" s="204"/>
      <c r="AD69" s="209"/>
      <c r="AE69" s="200"/>
      <c r="AF69" s="38"/>
      <c r="AG69" s="38"/>
      <c r="AH69" s="203"/>
      <c r="AI69" s="209"/>
      <c r="AJ69" s="209"/>
      <c r="AK69" s="200"/>
      <c r="AL69" s="209"/>
      <c r="AM69" s="200"/>
      <c r="AN69" s="200"/>
      <c r="AO69" s="209"/>
      <c r="AP69" s="200"/>
    </row>
    <row x14ac:dyDescent="0.25" r="70" customHeight="1" ht="18.75">
      <c r="A70" s="38"/>
      <c r="B70" s="257"/>
      <c r="C70" s="258"/>
      <c r="D70" s="209"/>
      <c r="E70" s="209"/>
      <c r="F70" s="38"/>
      <c r="G70" s="79"/>
      <c r="H70" s="209"/>
      <c r="I70" s="204"/>
      <c r="J70" s="209"/>
      <c r="K70" s="200"/>
      <c r="L70" s="38"/>
      <c r="M70" s="200"/>
      <c r="N70" s="208"/>
      <c r="O70" s="209"/>
      <c r="P70" s="204"/>
      <c r="Q70" s="209"/>
      <c r="R70" s="200"/>
      <c r="S70" s="38"/>
      <c r="T70" s="38"/>
      <c r="U70" s="208"/>
      <c r="V70" s="209"/>
      <c r="W70" s="204"/>
      <c r="X70" s="209"/>
      <c r="Y70" s="38"/>
      <c r="Z70" s="38"/>
      <c r="AA70" s="38"/>
      <c r="AB70" s="209"/>
      <c r="AC70" s="204"/>
      <c r="AD70" s="209"/>
      <c r="AE70" s="200"/>
      <c r="AF70" s="38"/>
      <c r="AG70" s="38"/>
      <c r="AH70" s="203"/>
      <c r="AI70" s="209"/>
      <c r="AJ70" s="209"/>
      <c r="AK70" s="200"/>
      <c r="AL70" s="209"/>
      <c r="AM70" s="200"/>
      <c r="AN70" s="200"/>
      <c r="AO70" s="209"/>
      <c r="AP70" s="200"/>
    </row>
    <row x14ac:dyDescent="0.25" r="71" customHeight="1" ht="18.75">
      <c r="A71" s="38"/>
      <c r="B71" s="257"/>
      <c r="C71" s="258"/>
      <c r="D71" s="209"/>
      <c r="E71" s="209"/>
      <c r="F71" s="38"/>
      <c r="G71" s="79"/>
      <c r="H71" s="209"/>
      <c r="I71" s="204"/>
      <c r="J71" s="209"/>
      <c r="K71" s="200"/>
      <c r="L71" s="38"/>
      <c r="M71" s="200"/>
      <c r="N71" s="208"/>
      <c r="O71" s="209"/>
      <c r="P71" s="204"/>
      <c r="Q71" s="209"/>
      <c r="R71" s="200"/>
      <c r="S71" s="38"/>
      <c r="T71" s="38"/>
      <c r="U71" s="208"/>
      <c r="V71" s="209"/>
      <c r="W71" s="204"/>
      <c r="X71" s="209"/>
      <c r="Y71" s="38"/>
      <c r="Z71" s="38"/>
      <c r="AA71" s="38"/>
      <c r="AB71" s="209"/>
      <c r="AC71" s="204"/>
      <c r="AD71" s="209"/>
      <c r="AE71" s="200"/>
      <c r="AF71" s="38"/>
      <c r="AG71" s="38"/>
      <c r="AH71" s="203"/>
      <c r="AI71" s="209"/>
      <c r="AJ71" s="209"/>
      <c r="AK71" s="200"/>
      <c r="AL71" s="209"/>
      <c r="AM71" s="200"/>
      <c r="AN71" s="200"/>
      <c r="AO71" s="209"/>
      <c r="AP71" s="200"/>
    </row>
    <row x14ac:dyDescent="0.25" r="72" customHeight="1" ht="18.75">
      <c r="A72" s="38"/>
      <c r="B72" s="257"/>
      <c r="C72" s="258"/>
      <c r="D72" s="209"/>
      <c r="E72" s="209"/>
      <c r="F72" s="38"/>
      <c r="G72" s="79"/>
      <c r="H72" s="209"/>
      <c r="I72" s="204"/>
      <c r="J72" s="209"/>
      <c r="K72" s="200"/>
      <c r="L72" s="38"/>
      <c r="M72" s="200"/>
      <c r="N72" s="208"/>
      <c r="O72" s="209"/>
      <c r="P72" s="204"/>
      <c r="Q72" s="209"/>
      <c r="R72" s="200"/>
      <c r="S72" s="38"/>
      <c r="T72" s="38"/>
      <c r="U72" s="208"/>
      <c r="V72" s="209"/>
      <c r="W72" s="204"/>
      <c r="X72" s="209"/>
      <c r="Y72" s="38"/>
      <c r="Z72" s="38"/>
      <c r="AA72" s="38"/>
      <c r="AB72" s="209"/>
      <c r="AC72" s="204"/>
      <c r="AD72" s="209"/>
      <c r="AE72" s="200"/>
      <c r="AF72" s="38"/>
      <c r="AG72" s="38"/>
      <c r="AH72" s="203"/>
      <c r="AI72" s="209"/>
      <c r="AJ72" s="209"/>
      <c r="AK72" s="200"/>
      <c r="AL72" s="209"/>
      <c r="AM72" s="200"/>
      <c r="AN72" s="200"/>
      <c r="AO72" s="209"/>
      <c r="AP72" s="200"/>
    </row>
    <row x14ac:dyDescent="0.25" r="73" customHeight="1" ht="18.75">
      <c r="A73" s="38"/>
      <c r="B73" s="257"/>
      <c r="C73" s="258"/>
      <c r="D73" s="209"/>
      <c r="E73" s="209"/>
      <c r="F73" s="38"/>
      <c r="G73" s="79"/>
      <c r="H73" s="209"/>
      <c r="I73" s="204"/>
      <c r="J73" s="209"/>
      <c r="K73" s="200"/>
      <c r="L73" s="38"/>
      <c r="M73" s="200"/>
      <c r="N73" s="208"/>
      <c r="O73" s="209"/>
      <c r="P73" s="204"/>
      <c r="Q73" s="209"/>
      <c r="R73" s="200"/>
      <c r="S73" s="38"/>
      <c r="T73" s="38"/>
      <c r="U73" s="208"/>
      <c r="V73" s="209"/>
      <c r="W73" s="204"/>
      <c r="X73" s="209"/>
      <c r="Y73" s="38"/>
      <c r="Z73" s="38"/>
      <c r="AA73" s="38"/>
      <c r="AB73" s="209"/>
      <c r="AC73" s="204"/>
      <c r="AD73" s="209"/>
      <c r="AE73" s="200"/>
      <c r="AF73" s="38"/>
      <c r="AG73" s="38"/>
      <c r="AH73" s="203"/>
      <c r="AI73" s="209"/>
      <c r="AJ73" s="209"/>
      <c r="AK73" s="200"/>
      <c r="AL73" s="209"/>
      <c r="AM73" s="200"/>
      <c r="AN73" s="200"/>
      <c r="AO73" s="209"/>
      <c r="AP73" s="200"/>
    </row>
    <row x14ac:dyDescent="0.25" r="74" customHeight="1" ht="18.75">
      <c r="A74" s="38"/>
      <c r="B74" s="257"/>
      <c r="C74" s="258"/>
      <c r="D74" s="209"/>
      <c r="E74" s="209"/>
      <c r="F74" s="38"/>
      <c r="G74" s="79"/>
      <c r="H74" s="209"/>
      <c r="I74" s="204"/>
      <c r="J74" s="209"/>
      <c r="K74" s="200"/>
      <c r="L74" s="38"/>
      <c r="M74" s="200"/>
      <c r="N74" s="208"/>
      <c r="O74" s="209"/>
      <c r="P74" s="204"/>
      <c r="Q74" s="209"/>
      <c r="R74" s="200"/>
      <c r="S74" s="38"/>
      <c r="T74" s="38"/>
      <c r="U74" s="208"/>
      <c r="V74" s="209"/>
      <c r="W74" s="204"/>
      <c r="X74" s="209"/>
      <c r="Y74" s="38"/>
      <c r="Z74" s="38"/>
      <c r="AA74" s="38"/>
      <c r="AB74" s="209"/>
      <c r="AC74" s="204"/>
      <c r="AD74" s="209"/>
      <c r="AE74" s="200"/>
      <c r="AF74" s="38"/>
      <c r="AG74" s="38"/>
      <c r="AH74" s="203"/>
      <c r="AI74" s="209"/>
      <c r="AJ74" s="209"/>
      <c r="AK74" s="200"/>
      <c r="AL74" s="209"/>
      <c r="AM74" s="200"/>
      <c r="AN74" s="200"/>
      <c r="AO74" s="209"/>
      <c r="AP74" s="200"/>
    </row>
    <row x14ac:dyDescent="0.25" r="75" customHeight="1" ht="18.75">
      <c r="A75" s="38"/>
      <c r="B75" s="257"/>
      <c r="C75" s="258"/>
      <c r="D75" s="209"/>
      <c r="E75" s="209"/>
      <c r="F75" s="38"/>
      <c r="G75" s="79"/>
      <c r="H75" s="209"/>
      <c r="I75" s="204"/>
      <c r="J75" s="209"/>
      <c r="K75" s="200"/>
      <c r="L75" s="38"/>
      <c r="M75" s="200"/>
      <c r="N75" s="208"/>
      <c r="O75" s="209"/>
      <c r="P75" s="204"/>
      <c r="Q75" s="209"/>
      <c r="R75" s="200"/>
      <c r="S75" s="38"/>
      <c r="T75" s="38"/>
      <c r="U75" s="208"/>
      <c r="V75" s="209"/>
      <c r="W75" s="204"/>
      <c r="X75" s="209"/>
      <c r="Y75" s="38"/>
      <c r="Z75" s="38"/>
      <c r="AA75" s="38"/>
      <c r="AB75" s="209"/>
      <c r="AC75" s="204"/>
      <c r="AD75" s="209"/>
      <c r="AE75" s="200"/>
      <c r="AF75" s="38"/>
      <c r="AG75" s="38"/>
      <c r="AH75" s="203"/>
      <c r="AI75" s="209"/>
      <c r="AJ75" s="209"/>
      <c r="AK75" s="200"/>
      <c r="AL75" s="209"/>
      <c r="AM75" s="200"/>
      <c r="AN75" s="200"/>
      <c r="AO75" s="209"/>
      <c r="AP75" s="200"/>
    </row>
    <row x14ac:dyDescent="0.25" r="76" customHeight="1" ht="18.75">
      <c r="A76" s="38"/>
      <c r="B76" s="257"/>
      <c r="C76" s="258"/>
      <c r="D76" s="209"/>
      <c r="E76" s="209"/>
      <c r="F76" s="38"/>
      <c r="G76" s="79"/>
      <c r="H76" s="209"/>
      <c r="I76" s="204"/>
      <c r="J76" s="209"/>
      <c r="K76" s="200"/>
      <c r="L76" s="38"/>
      <c r="M76" s="200"/>
      <c r="N76" s="208"/>
      <c r="O76" s="209"/>
      <c r="P76" s="204"/>
      <c r="Q76" s="209"/>
      <c r="R76" s="200"/>
      <c r="S76" s="38"/>
      <c r="T76" s="38"/>
      <c r="U76" s="208"/>
      <c r="V76" s="209"/>
      <c r="W76" s="204"/>
      <c r="X76" s="209"/>
      <c r="Y76" s="38"/>
      <c r="Z76" s="38"/>
      <c r="AA76" s="38"/>
      <c r="AB76" s="209"/>
      <c r="AC76" s="204"/>
      <c r="AD76" s="209"/>
      <c r="AE76" s="200"/>
      <c r="AF76" s="38"/>
      <c r="AG76" s="38"/>
      <c r="AH76" s="203"/>
      <c r="AI76" s="209"/>
      <c r="AJ76" s="209"/>
      <c r="AK76" s="200"/>
      <c r="AL76" s="209"/>
      <c r="AM76" s="200"/>
      <c r="AN76" s="200"/>
      <c r="AO76" s="209"/>
      <c r="AP76" s="200"/>
    </row>
    <row x14ac:dyDescent="0.25" r="77" customHeight="1" ht="18.75">
      <c r="A77" s="38"/>
      <c r="B77" s="257"/>
      <c r="C77" s="258"/>
      <c r="D77" s="209"/>
      <c r="E77" s="209"/>
      <c r="F77" s="38"/>
      <c r="G77" s="79"/>
      <c r="H77" s="209"/>
      <c r="I77" s="204"/>
      <c r="J77" s="209"/>
      <c r="K77" s="200"/>
      <c r="L77" s="38"/>
      <c r="M77" s="200"/>
      <c r="N77" s="208"/>
      <c r="O77" s="209"/>
      <c r="P77" s="204"/>
      <c r="Q77" s="209"/>
      <c r="R77" s="200"/>
      <c r="S77" s="38"/>
      <c r="T77" s="38"/>
      <c r="U77" s="208"/>
      <c r="V77" s="209"/>
      <c r="W77" s="204"/>
      <c r="X77" s="209"/>
      <c r="Y77" s="38"/>
      <c r="Z77" s="38"/>
      <c r="AA77" s="38"/>
      <c r="AB77" s="209"/>
      <c r="AC77" s="204"/>
      <c r="AD77" s="209"/>
      <c r="AE77" s="200"/>
      <c r="AF77" s="38"/>
      <c r="AG77" s="38"/>
      <c r="AH77" s="203"/>
      <c r="AI77" s="209"/>
      <c r="AJ77" s="209"/>
      <c r="AK77" s="200"/>
      <c r="AL77" s="209"/>
      <c r="AM77" s="200"/>
      <c r="AN77" s="200"/>
      <c r="AO77" s="209"/>
      <c r="AP77" s="200"/>
    </row>
    <row x14ac:dyDescent="0.25" r="78" customHeight="1" ht="18.75">
      <c r="A78" s="38"/>
      <c r="B78" s="257"/>
      <c r="C78" s="258"/>
      <c r="D78" s="209"/>
      <c r="E78" s="209"/>
      <c r="F78" s="38"/>
      <c r="G78" s="79"/>
      <c r="H78" s="209"/>
      <c r="I78" s="204"/>
      <c r="J78" s="209"/>
      <c r="K78" s="200"/>
      <c r="L78" s="38"/>
      <c r="M78" s="200"/>
      <c r="N78" s="208"/>
      <c r="O78" s="209"/>
      <c r="P78" s="204"/>
      <c r="Q78" s="209"/>
      <c r="R78" s="200"/>
      <c r="S78" s="38"/>
      <c r="T78" s="38"/>
      <c r="U78" s="208"/>
      <c r="V78" s="209"/>
      <c r="W78" s="204"/>
      <c r="X78" s="209"/>
      <c r="Y78" s="38"/>
      <c r="Z78" s="38"/>
      <c r="AA78" s="38"/>
      <c r="AB78" s="209"/>
      <c r="AC78" s="204"/>
      <c r="AD78" s="209"/>
      <c r="AE78" s="200"/>
      <c r="AF78" s="38"/>
      <c r="AG78" s="38"/>
      <c r="AH78" s="203"/>
      <c r="AI78" s="209"/>
      <c r="AJ78" s="209"/>
      <c r="AK78" s="200"/>
      <c r="AL78" s="209"/>
      <c r="AM78" s="200"/>
      <c r="AN78" s="200"/>
      <c r="AO78" s="209"/>
      <c r="AP78" s="200"/>
    </row>
    <row x14ac:dyDescent="0.25" r="79" customHeight="1" ht="18.75">
      <c r="A79" s="38"/>
      <c r="B79" s="257"/>
      <c r="C79" s="258"/>
      <c r="D79" s="209"/>
      <c r="E79" s="209"/>
      <c r="F79" s="38"/>
      <c r="G79" s="79"/>
      <c r="H79" s="209"/>
      <c r="I79" s="204"/>
      <c r="J79" s="209"/>
      <c r="K79" s="200"/>
      <c r="L79" s="38"/>
      <c r="M79" s="200"/>
      <c r="N79" s="208"/>
      <c r="O79" s="209"/>
      <c r="P79" s="204"/>
      <c r="Q79" s="209"/>
      <c r="R79" s="200"/>
      <c r="S79" s="38"/>
      <c r="T79" s="38"/>
      <c r="U79" s="208"/>
      <c r="V79" s="209"/>
      <c r="W79" s="204"/>
      <c r="X79" s="209"/>
      <c r="Y79" s="38"/>
      <c r="Z79" s="38"/>
      <c r="AA79" s="38"/>
      <c r="AB79" s="209"/>
      <c r="AC79" s="204"/>
      <c r="AD79" s="209"/>
      <c r="AE79" s="200"/>
      <c r="AF79" s="38"/>
      <c r="AG79" s="38"/>
      <c r="AH79" s="203"/>
      <c r="AI79" s="209"/>
      <c r="AJ79" s="209"/>
      <c r="AK79" s="200"/>
      <c r="AL79" s="209"/>
      <c r="AM79" s="200"/>
      <c r="AN79" s="200"/>
      <c r="AO79" s="209"/>
      <c r="AP79" s="200"/>
    </row>
    <row x14ac:dyDescent="0.25" r="80" customHeight="1" ht="18.75">
      <c r="A80" s="38"/>
      <c r="B80" s="257"/>
      <c r="C80" s="258"/>
      <c r="D80" s="209"/>
      <c r="E80" s="209"/>
      <c r="F80" s="38"/>
      <c r="G80" s="79"/>
      <c r="H80" s="209"/>
      <c r="I80" s="204"/>
      <c r="J80" s="209"/>
      <c r="K80" s="200"/>
      <c r="L80" s="38"/>
      <c r="M80" s="200"/>
      <c r="N80" s="208"/>
      <c r="O80" s="209"/>
      <c r="P80" s="204"/>
      <c r="Q80" s="209"/>
      <c r="R80" s="200"/>
      <c r="S80" s="38"/>
      <c r="T80" s="38"/>
      <c r="U80" s="208"/>
      <c r="V80" s="209"/>
      <c r="W80" s="204"/>
      <c r="X80" s="209"/>
      <c r="Y80" s="38"/>
      <c r="Z80" s="38"/>
      <c r="AA80" s="38"/>
      <c r="AB80" s="209"/>
      <c r="AC80" s="204"/>
      <c r="AD80" s="209"/>
      <c r="AE80" s="200"/>
      <c r="AF80" s="38"/>
      <c r="AG80" s="38"/>
      <c r="AH80" s="203"/>
      <c r="AI80" s="209"/>
      <c r="AJ80" s="209"/>
      <c r="AK80" s="200"/>
      <c r="AL80" s="209"/>
      <c r="AM80" s="200"/>
      <c r="AN80" s="200"/>
      <c r="AO80" s="209"/>
      <c r="AP80" s="200"/>
    </row>
    <row x14ac:dyDescent="0.25" r="81" customHeight="1" ht="18.75">
      <c r="A81" s="38"/>
      <c r="B81" s="257"/>
      <c r="C81" s="258"/>
      <c r="D81" s="209"/>
      <c r="E81" s="209"/>
      <c r="F81" s="38"/>
      <c r="G81" s="79"/>
      <c r="H81" s="209"/>
      <c r="I81" s="204"/>
      <c r="J81" s="209"/>
      <c r="K81" s="200"/>
      <c r="L81" s="38"/>
      <c r="M81" s="200"/>
      <c r="N81" s="208"/>
      <c r="O81" s="209"/>
      <c r="P81" s="204"/>
      <c r="Q81" s="209"/>
      <c r="R81" s="200"/>
      <c r="S81" s="38"/>
      <c r="T81" s="38"/>
      <c r="U81" s="208"/>
      <c r="V81" s="209"/>
      <c r="W81" s="204"/>
      <c r="X81" s="209"/>
      <c r="Y81" s="38"/>
      <c r="Z81" s="38"/>
      <c r="AA81" s="38"/>
      <c r="AB81" s="209"/>
      <c r="AC81" s="204"/>
      <c r="AD81" s="209"/>
      <c r="AE81" s="200"/>
      <c r="AF81" s="38"/>
      <c r="AG81" s="38"/>
      <c r="AH81" s="203"/>
      <c r="AI81" s="209"/>
      <c r="AJ81" s="209"/>
      <c r="AK81" s="200"/>
      <c r="AL81" s="209"/>
      <c r="AM81" s="200"/>
      <c r="AN81" s="200"/>
      <c r="AO81" s="209"/>
      <c r="AP81" s="200"/>
    </row>
    <row x14ac:dyDescent="0.25" r="82" customHeight="1" ht="18.75">
      <c r="A82" s="38"/>
      <c r="B82" s="257"/>
      <c r="C82" s="258"/>
      <c r="D82" s="209"/>
      <c r="E82" s="209"/>
      <c r="F82" s="38"/>
      <c r="G82" s="79"/>
      <c r="H82" s="209"/>
      <c r="I82" s="204"/>
      <c r="J82" s="209"/>
      <c r="K82" s="200"/>
      <c r="L82" s="38"/>
      <c r="M82" s="200"/>
      <c r="N82" s="208"/>
      <c r="O82" s="209"/>
      <c r="P82" s="204"/>
      <c r="Q82" s="209"/>
      <c r="R82" s="200"/>
      <c r="S82" s="38"/>
      <c r="T82" s="38"/>
      <c r="U82" s="208"/>
      <c r="V82" s="209"/>
      <c r="W82" s="204"/>
      <c r="X82" s="209"/>
      <c r="Y82" s="38"/>
      <c r="Z82" s="38"/>
      <c r="AA82" s="38"/>
      <c r="AB82" s="209"/>
      <c r="AC82" s="204"/>
      <c r="AD82" s="209"/>
      <c r="AE82" s="200"/>
      <c r="AF82" s="38"/>
      <c r="AG82" s="38"/>
      <c r="AH82" s="203"/>
      <c r="AI82" s="209"/>
      <c r="AJ82" s="209"/>
      <c r="AK82" s="200"/>
      <c r="AL82" s="209"/>
      <c r="AM82" s="200"/>
      <c r="AN82" s="200"/>
      <c r="AO82" s="209"/>
      <c r="AP82" s="200"/>
    </row>
    <row x14ac:dyDescent="0.25" r="83" customHeight="1" ht="18.75">
      <c r="A83" s="38"/>
      <c r="B83" s="257"/>
      <c r="C83" s="258"/>
      <c r="D83" s="209"/>
      <c r="E83" s="209"/>
      <c r="F83" s="38"/>
      <c r="G83" s="79"/>
      <c r="H83" s="209"/>
      <c r="I83" s="204"/>
      <c r="J83" s="209"/>
      <c r="K83" s="200"/>
      <c r="L83" s="38"/>
      <c r="M83" s="200"/>
      <c r="N83" s="208"/>
      <c r="O83" s="209"/>
      <c r="P83" s="204"/>
      <c r="Q83" s="209"/>
      <c r="R83" s="200"/>
      <c r="S83" s="38"/>
      <c r="T83" s="38"/>
      <c r="U83" s="208"/>
      <c r="V83" s="209"/>
      <c r="W83" s="204"/>
      <c r="X83" s="209"/>
      <c r="Y83" s="38"/>
      <c r="Z83" s="38"/>
      <c r="AA83" s="38"/>
      <c r="AB83" s="209"/>
      <c r="AC83" s="204"/>
      <c r="AD83" s="209"/>
      <c r="AE83" s="200"/>
      <c r="AF83" s="38"/>
      <c r="AG83" s="38"/>
      <c r="AH83" s="203"/>
      <c r="AI83" s="209"/>
      <c r="AJ83" s="209"/>
      <c r="AK83" s="200"/>
      <c r="AL83" s="209"/>
      <c r="AM83" s="200"/>
      <c r="AN83" s="200"/>
      <c r="AO83" s="209"/>
      <c r="AP83" s="200"/>
    </row>
    <row x14ac:dyDescent="0.25" r="84" customHeight="1" ht="18.75">
      <c r="A84" s="38"/>
      <c r="B84" s="257"/>
      <c r="C84" s="258"/>
      <c r="D84" s="209"/>
      <c r="E84" s="209"/>
      <c r="F84" s="38"/>
      <c r="G84" s="79"/>
      <c r="H84" s="209"/>
      <c r="I84" s="204"/>
      <c r="J84" s="209"/>
      <c r="K84" s="200"/>
      <c r="L84" s="38"/>
      <c r="M84" s="200"/>
      <c r="N84" s="208"/>
      <c r="O84" s="209"/>
      <c r="P84" s="204"/>
      <c r="Q84" s="209"/>
      <c r="R84" s="200"/>
      <c r="S84" s="38"/>
      <c r="T84" s="38"/>
      <c r="U84" s="208"/>
      <c r="V84" s="209"/>
      <c r="W84" s="204"/>
      <c r="X84" s="209"/>
      <c r="Y84" s="38"/>
      <c r="Z84" s="38"/>
      <c r="AA84" s="38"/>
      <c r="AB84" s="209"/>
      <c r="AC84" s="204"/>
      <c r="AD84" s="209"/>
      <c r="AE84" s="200"/>
      <c r="AF84" s="38"/>
      <c r="AG84" s="38"/>
      <c r="AH84" s="203"/>
      <c r="AI84" s="209"/>
      <c r="AJ84" s="209"/>
      <c r="AK84" s="200"/>
      <c r="AL84" s="209"/>
      <c r="AM84" s="200"/>
      <c r="AN84" s="200"/>
      <c r="AO84" s="209"/>
      <c r="AP84" s="200"/>
    </row>
    <row x14ac:dyDescent="0.25" r="85" customHeight="1" ht="18.75">
      <c r="A85" s="38"/>
      <c r="B85" s="257"/>
      <c r="C85" s="258"/>
      <c r="D85" s="209"/>
      <c r="E85" s="209"/>
      <c r="F85" s="38"/>
      <c r="G85" s="79"/>
      <c r="H85" s="209"/>
      <c r="I85" s="204"/>
      <c r="J85" s="209"/>
      <c r="K85" s="200"/>
      <c r="L85" s="38"/>
      <c r="M85" s="200"/>
      <c r="N85" s="208"/>
      <c r="O85" s="209"/>
      <c r="P85" s="204"/>
      <c r="Q85" s="209"/>
      <c r="R85" s="200"/>
      <c r="S85" s="38"/>
      <c r="T85" s="38"/>
      <c r="U85" s="208"/>
      <c r="V85" s="209"/>
      <c r="W85" s="204"/>
      <c r="X85" s="209"/>
      <c r="Y85" s="38"/>
      <c r="Z85" s="38"/>
      <c r="AA85" s="38"/>
      <c r="AB85" s="209"/>
      <c r="AC85" s="204"/>
      <c r="AD85" s="209"/>
      <c r="AE85" s="200"/>
      <c r="AF85" s="38"/>
      <c r="AG85" s="38"/>
      <c r="AH85" s="203"/>
      <c r="AI85" s="209"/>
      <c r="AJ85" s="209"/>
      <c r="AK85" s="200"/>
      <c r="AL85" s="209"/>
      <c r="AM85" s="200"/>
      <c r="AN85" s="200"/>
      <c r="AO85" s="209"/>
      <c r="AP85" s="200"/>
    </row>
    <row x14ac:dyDescent="0.25" r="86" customHeight="1" ht="18.75">
      <c r="A86" s="38"/>
      <c r="B86" s="257"/>
      <c r="C86" s="258"/>
      <c r="D86" s="209"/>
      <c r="E86" s="209"/>
      <c r="F86" s="38"/>
      <c r="G86" s="79"/>
      <c r="H86" s="209"/>
      <c r="I86" s="204"/>
      <c r="J86" s="209"/>
      <c r="K86" s="200"/>
      <c r="L86" s="38"/>
      <c r="M86" s="200"/>
      <c r="N86" s="208"/>
      <c r="O86" s="209"/>
      <c r="P86" s="204"/>
      <c r="Q86" s="209"/>
      <c r="R86" s="200"/>
      <c r="S86" s="38"/>
      <c r="T86" s="38"/>
      <c r="U86" s="208"/>
      <c r="V86" s="209"/>
      <c r="W86" s="204"/>
      <c r="X86" s="209"/>
      <c r="Y86" s="38"/>
      <c r="Z86" s="38"/>
      <c r="AA86" s="38"/>
      <c r="AB86" s="209"/>
      <c r="AC86" s="204"/>
      <c r="AD86" s="209"/>
      <c r="AE86" s="200"/>
      <c r="AF86" s="38"/>
      <c r="AG86" s="38"/>
      <c r="AH86" s="203"/>
      <c r="AI86" s="209"/>
      <c r="AJ86" s="209"/>
      <c r="AK86" s="200"/>
      <c r="AL86" s="209"/>
      <c r="AM86" s="200"/>
      <c r="AN86" s="200"/>
      <c r="AO86" s="209"/>
      <c r="AP86" s="200"/>
    </row>
    <row x14ac:dyDescent="0.25" r="87" customHeight="1" ht="18.75">
      <c r="A87" s="38"/>
      <c r="B87" s="257"/>
      <c r="C87" s="258"/>
      <c r="D87" s="209"/>
      <c r="E87" s="209"/>
      <c r="F87" s="38"/>
      <c r="G87" s="79"/>
      <c r="H87" s="209"/>
      <c r="I87" s="204"/>
      <c r="J87" s="209"/>
      <c r="K87" s="200"/>
      <c r="L87" s="38"/>
      <c r="M87" s="200"/>
      <c r="N87" s="208"/>
      <c r="O87" s="209"/>
      <c r="P87" s="204"/>
      <c r="Q87" s="209"/>
      <c r="R87" s="200"/>
      <c r="S87" s="38"/>
      <c r="T87" s="38"/>
      <c r="U87" s="208"/>
      <c r="V87" s="209"/>
      <c r="W87" s="204"/>
      <c r="X87" s="209"/>
      <c r="Y87" s="38"/>
      <c r="Z87" s="38"/>
      <c r="AA87" s="38"/>
      <c r="AB87" s="209"/>
      <c r="AC87" s="204"/>
      <c r="AD87" s="209"/>
      <c r="AE87" s="200"/>
      <c r="AF87" s="38"/>
      <c r="AG87" s="38"/>
      <c r="AH87" s="203"/>
      <c r="AI87" s="209"/>
      <c r="AJ87" s="209"/>
      <c r="AK87" s="200"/>
      <c r="AL87" s="209"/>
      <c r="AM87" s="200"/>
      <c r="AN87" s="200"/>
      <c r="AO87" s="209"/>
      <c r="AP87" s="200"/>
    </row>
    <row x14ac:dyDescent="0.25" r="88" customHeight="1" ht="18.75">
      <c r="A88" s="38"/>
      <c r="B88" s="257"/>
      <c r="C88" s="258"/>
      <c r="D88" s="209"/>
      <c r="E88" s="209"/>
      <c r="F88" s="38"/>
      <c r="G88" s="79"/>
      <c r="H88" s="209"/>
      <c r="I88" s="204"/>
      <c r="J88" s="209"/>
      <c r="K88" s="200"/>
      <c r="L88" s="38"/>
      <c r="M88" s="200"/>
      <c r="N88" s="208"/>
      <c r="O88" s="209"/>
      <c r="P88" s="204"/>
      <c r="Q88" s="209"/>
      <c r="R88" s="200"/>
      <c r="S88" s="38"/>
      <c r="T88" s="38"/>
      <c r="U88" s="208"/>
      <c r="V88" s="209"/>
      <c r="W88" s="204"/>
      <c r="X88" s="209"/>
      <c r="Y88" s="38"/>
      <c r="Z88" s="38"/>
      <c r="AA88" s="38"/>
      <c r="AB88" s="209"/>
      <c r="AC88" s="204"/>
      <c r="AD88" s="209"/>
      <c r="AE88" s="200"/>
      <c r="AF88" s="38"/>
      <c r="AG88" s="38"/>
      <c r="AH88" s="203"/>
      <c r="AI88" s="209"/>
      <c r="AJ88" s="209"/>
      <c r="AK88" s="200"/>
      <c r="AL88" s="209"/>
      <c r="AM88" s="200"/>
      <c r="AN88" s="200"/>
      <c r="AO88" s="209"/>
      <c r="AP88" s="200"/>
    </row>
    <row x14ac:dyDescent="0.25" r="89" customHeight="1" ht="18.75">
      <c r="A89" s="38"/>
      <c r="B89" s="257"/>
      <c r="C89" s="258"/>
      <c r="D89" s="209"/>
      <c r="E89" s="209"/>
      <c r="F89" s="38"/>
      <c r="G89" s="79"/>
      <c r="H89" s="209"/>
      <c r="I89" s="204"/>
      <c r="J89" s="209"/>
      <c r="K89" s="200"/>
      <c r="L89" s="38"/>
      <c r="M89" s="200"/>
      <c r="N89" s="208"/>
      <c r="O89" s="209"/>
      <c r="P89" s="204"/>
      <c r="Q89" s="209"/>
      <c r="R89" s="200"/>
      <c r="S89" s="38"/>
      <c r="T89" s="38"/>
      <c r="U89" s="208"/>
      <c r="V89" s="209"/>
      <c r="W89" s="204"/>
      <c r="X89" s="209"/>
      <c r="Y89" s="38"/>
      <c r="Z89" s="38"/>
      <c r="AA89" s="38"/>
      <c r="AB89" s="209"/>
      <c r="AC89" s="204"/>
      <c r="AD89" s="209"/>
      <c r="AE89" s="200"/>
      <c r="AF89" s="38"/>
      <c r="AG89" s="38"/>
      <c r="AH89" s="203"/>
      <c r="AI89" s="209"/>
      <c r="AJ89" s="209"/>
      <c r="AK89" s="200"/>
      <c r="AL89" s="209"/>
      <c r="AM89" s="200"/>
      <c r="AN89" s="200"/>
      <c r="AO89" s="209"/>
      <c r="AP89" s="200"/>
    </row>
    <row x14ac:dyDescent="0.25" r="90" customHeight="1" ht="18.75">
      <c r="A90" s="38"/>
      <c r="B90" s="257"/>
      <c r="C90" s="258"/>
      <c r="D90" s="209"/>
      <c r="E90" s="209"/>
      <c r="F90" s="38"/>
      <c r="G90" s="79"/>
      <c r="H90" s="209"/>
      <c r="I90" s="204"/>
      <c r="J90" s="209"/>
      <c r="K90" s="200"/>
      <c r="L90" s="38"/>
      <c r="M90" s="200"/>
      <c r="N90" s="208"/>
      <c r="O90" s="209"/>
      <c r="P90" s="204"/>
      <c r="Q90" s="209"/>
      <c r="R90" s="200"/>
      <c r="S90" s="38"/>
      <c r="T90" s="38"/>
      <c r="U90" s="208"/>
      <c r="V90" s="209"/>
      <c r="W90" s="204"/>
      <c r="X90" s="209"/>
      <c r="Y90" s="38"/>
      <c r="Z90" s="38"/>
      <c r="AA90" s="38"/>
      <c r="AB90" s="209"/>
      <c r="AC90" s="204"/>
      <c r="AD90" s="209"/>
      <c r="AE90" s="200"/>
      <c r="AF90" s="38"/>
      <c r="AG90" s="38"/>
      <c r="AH90" s="203"/>
      <c r="AI90" s="209"/>
      <c r="AJ90" s="209"/>
      <c r="AK90" s="200"/>
      <c r="AL90" s="209"/>
      <c r="AM90" s="200"/>
      <c r="AN90" s="200"/>
      <c r="AO90" s="209"/>
      <c r="AP90" s="200"/>
    </row>
    <row x14ac:dyDescent="0.25" r="91" customHeight="1" ht="18.75">
      <c r="A91" s="38"/>
      <c r="B91" s="257"/>
      <c r="C91" s="258"/>
      <c r="D91" s="209"/>
      <c r="E91" s="209"/>
      <c r="F91" s="38"/>
      <c r="G91" s="79"/>
      <c r="H91" s="209"/>
      <c r="I91" s="204"/>
      <c r="J91" s="209"/>
      <c r="K91" s="200"/>
      <c r="L91" s="38"/>
      <c r="M91" s="200"/>
      <c r="N91" s="208"/>
      <c r="O91" s="209"/>
      <c r="P91" s="204"/>
      <c r="Q91" s="209"/>
      <c r="R91" s="200"/>
      <c r="S91" s="38"/>
      <c r="T91" s="38"/>
      <c r="U91" s="208"/>
      <c r="V91" s="209"/>
      <c r="W91" s="204"/>
      <c r="X91" s="209"/>
      <c r="Y91" s="38"/>
      <c r="Z91" s="38"/>
      <c r="AA91" s="38"/>
      <c r="AB91" s="209"/>
      <c r="AC91" s="204"/>
      <c r="AD91" s="209"/>
      <c r="AE91" s="200"/>
      <c r="AF91" s="38"/>
      <c r="AG91" s="38"/>
      <c r="AH91" s="203"/>
      <c r="AI91" s="209"/>
      <c r="AJ91" s="209"/>
      <c r="AK91" s="200"/>
      <c r="AL91" s="209"/>
      <c r="AM91" s="200"/>
      <c r="AN91" s="200"/>
      <c r="AO91" s="209"/>
      <c r="AP91" s="200"/>
    </row>
    <row x14ac:dyDescent="0.25" r="92" customHeight="1" ht="18.75">
      <c r="A92" s="38"/>
      <c r="B92" s="257"/>
      <c r="C92" s="258"/>
      <c r="D92" s="209"/>
      <c r="E92" s="209"/>
      <c r="F92" s="38"/>
      <c r="G92" s="79"/>
      <c r="H92" s="209"/>
      <c r="I92" s="204"/>
      <c r="J92" s="209"/>
      <c r="K92" s="200"/>
      <c r="L92" s="38"/>
      <c r="M92" s="200"/>
      <c r="N92" s="208"/>
      <c r="O92" s="209"/>
      <c r="P92" s="204"/>
      <c r="Q92" s="209"/>
      <c r="R92" s="200"/>
      <c r="S92" s="38"/>
      <c r="T92" s="38"/>
      <c r="U92" s="208"/>
      <c r="V92" s="209"/>
      <c r="W92" s="204"/>
      <c r="X92" s="209"/>
      <c r="Y92" s="38"/>
      <c r="Z92" s="38"/>
      <c r="AA92" s="38"/>
      <c r="AB92" s="209"/>
      <c r="AC92" s="204"/>
      <c r="AD92" s="209"/>
      <c r="AE92" s="200"/>
      <c r="AF92" s="38"/>
      <c r="AG92" s="38"/>
      <c r="AH92" s="203"/>
      <c r="AI92" s="209"/>
      <c r="AJ92" s="209"/>
      <c r="AK92" s="200"/>
      <c r="AL92" s="209"/>
      <c r="AM92" s="200"/>
      <c r="AN92" s="200"/>
      <c r="AO92" s="209"/>
      <c r="AP92" s="200"/>
    </row>
    <row x14ac:dyDescent="0.25" r="93" customHeight="1" ht="18.75">
      <c r="A93" s="38"/>
      <c r="B93" s="257"/>
      <c r="C93" s="258"/>
      <c r="D93" s="209"/>
      <c r="E93" s="209"/>
      <c r="F93" s="38"/>
      <c r="G93" s="79"/>
      <c r="H93" s="209"/>
      <c r="I93" s="204"/>
      <c r="J93" s="209"/>
      <c r="K93" s="200"/>
      <c r="L93" s="38"/>
      <c r="M93" s="200"/>
      <c r="N93" s="208"/>
      <c r="O93" s="209"/>
      <c r="P93" s="204"/>
      <c r="Q93" s="209"/>
      <c r="R93" s="200"/>
      <c r="S93" s="38"/>
      <c r="T93" s="38"/>
      <c r="U93" s="208"/>
      <c r="V93" s="209"/>
      <c r="W93" s="204"/>
      <c r="X93" s="209"/>
      <c r="Y93" s="38"/>
      <c r="Z93" s="38"/>
      <c r="AA93" s="38"/>
      <c r="AB93" s="209"/>
      <c r="AC93" s="204"/>
      <c r="AD93" s="209"/>
      <c r="AE93" s="200"/>
      <c r="AF93" s="38"/>
      <c r="AG93" s="38"/>
      <c r="AH93" s="203"/>
      <c r="AI93" s="209"/>
      <c r="AJ93" s="209"/>
      <c r="AK93" s="200"/>
      <c r="AL93" s="209"/>
      <c r="AM93" s="200"/>
      <c r="AN93" s="200"/>
      <c r="AO93" s="209"/>
      <c r="AP93" s="200"/>
    </row>
    <row x14ac:dyDescent="0.25" r="94" customHeight="1" ht="18.75">
      <c r="A94" s="38"/>
      <c r="B94" s="257"/>
      <c r="C94" s="258"/>
      <c r="D94" s="209"/>
      <c r="E94" s="209"/>
      <c r="F94" s="38"/>
      <c r="G94" s="79"/>
      <c r="H94" s="209"/>
      <c r="I94" s="204"/>
      <c r="J94" s="209"/>
      <c r="K94" s="200"/>
      <c r="L94" s="38"/>
      <c r="M94" s="200"/>
      <c r="N94" s="208"/>
      <c r="O94" s="209"/>
      <c r="P94" s="204"/>
      <c r="Q94" s="209"/>
      <c r="R94" s="200"/>
      <c r="S94" s="38"/>
      <c r="T94" s="38"/>
      <c r="U94" s="208"/>
      <c r="V94" s="209"/>
      <c r="W94" s="204"/>
      <c r="X94" s="209"/>
      <c r="Y94" s="38"/>
      <c r="Z94" s="38"/>
      <c r="AA94" s="38"/>
      <c r="AB94" s="209"/>
      <c r="AC94" s="204"/>
      <c r="AD94" s="209"/>
      <c r="AE94" s="200"/>
      <c r="AF94" s="38"/>
      <c r="AG94" s="38"/>
      <c r="AH94" s="203"/>
      <c r="AI94" s="209"/>
      <c r="AJ94" s="209"/>
      <c r="AK94" s="200"/>
      <c r="AL94" s="209"/>
      <c r="AM94" s="200"/>
      <c r="AN94" s="200"/>
      <c r="AO94" s="209"/>
      <c r="AP94" s="200"/>
    </row>
    <row x14ac:dyDescent="0.25" r="95" customHeight="1" ht="18.75">
      <c r="A95" s="38"/>
      <c r="B95" s="257"/>
      <c r="C95" s="258"/>
      <c r="D95" s="209"/>
      <c r="E95" s="209"/>
      <c r="F95" s="38"/>
      <c r="G95" s="79"/>
      <c r="H95" s="209"/>
      <c r="I95" s="204"/>
      <c r="J95" s="209"/>
      <c r="K95" s="200"/>
      <c r="L95" s="38"/>
      <c r="M95" s="200"/>
      <c r="N95" s="208"/>
      <c r="O95" s="209"/>
      <c r="P95" s="204"/>
      <c r="Q95" s="209"/>
      <c r="R95" s="200"/>
      <c r="S95" s="38"/>
      <c r="T95" s="38"/>
      <c r="U95" s="208"/>
      <c r="V95" s="209"/>
      <c r="W95" s="204"/>
      <c r="X95" s="209"/>
      <c r="Y95" s="38"/>
      <c r="Z95" s="38"/>
      <c r="AA95" s="38"/>
      <c r="AB95" s="209"/>
      <c r="AC95" s="204"/>
      <c r="AD95" s="209"/>
      <c r="AE95" s="200"/>
      <c r="AF95" s="38"/>
      <c r="AG95" s="38"/>
      <c r="AH95" s="203"/>
      <c r="AI95" s="209"/>
      <c r="AJ95" s="209"/>
      <c r="AK95" s="200"/>
      <c r="AL95" s="209"/>
      <c r="AM95" s="200"/>
      <c r="AN95" s="200"/>
      <c r="AO95" s="209"/>
      <c r="AP95" s="200"/>
    </row>
    <row x14ac:dyDescent="0.25" r="96" customHeight="1" ht="18.75">
      <c r="A96" s="38"/>
      <c r="B96" s="257"/>
      <c r="C96" s="258"/>
      <c r="D96" s="209"/>
      <c r="E96" s="209"/>
      <c r="F96" s="38"/>
      <c r="G96" s="79"/>
      <c r="H96" s="209"/>
      <c r="I96" s="204"/>
      <c r="J96" s="209"/>
      <c r="K96" s="200"/>
      <c r="L96" s="38"/>
      <c r="M96" s="200"/>
      <c r="N96" s="208"/>
      <c r="O96" s="209"/>
      <c r="P96" s="204"/>
      <c r="Q96" s="209"/>
      <c r="R96" s="200"/>
      <c r="S96" s="38"/>
      <c r="T96" s="38"/>
      <c r="U96" s="208"/>
      <c r="V96" s="209"/>
      <c r="W96" s="204"/>
      <c r="X96" s="209"/>
      <c r="Y96" s="38"/>
      <c r="Z96" s="38"/>
      <c r="AA96" s="38"/>
      <c r="AB96" s="209"/>
      <c r="AC96" s="204"/>
      <c r="AD96" s="209"/>
      <c r="AE96" s="200"/>
      <c r="AF96" s="38"/>
      <c r="AG96" s="38"/>
      <c r="AH96" s="203"/>
      <c r="AI96" s="38"/>
      <c r="AJ96" s="38"/>
      <c r="AK96" s="200"/>
      <c r="AL96" s="209"/>
      <c r="AM96" s="200"/>
      <c r="AN96" s="200"/>
      <c r="AO96" s="209"/>
      <c r="AP96" s="200"/>
    </row>
    <row x14ac:dyDescent="0.25" r="97" customHeight="1" ht="18.75">
      <c r="A97" s="38"/>
      <c r="B97" s="257"/>
      <c r="C97" s="258"/>
      <c r="D97" s="209"/>
      <c r="E97" s="209"/>
      <c r="F97" s="38"/>
      <c r="G97" s="79"/>
      <c r="H97" s="209"/>
      <c r="I97" s="204"/>
      <c r="J97" s="209"/>
      <c r="K97" s="200"/>
      <c r="L97" s="38"/>
      <c r="M97" s="200"/>
      <c r="N97" s="208"/>
      <c r="O97" s="209"/>
      <c r="P97" s="204"/>
      <c r="Q97" s="209"/>
      <c r="R97" s="200"/>
      <c r="S97" s="38"/>
      <c r="T97" s="38"/>
      <c r="U97" s="208"/>
      <c r="V97" s="209"/>
      <c r="W97" s="204"/>
      <c r="X97" s="209"/>
      <c r="Y97" s="38"/>
      <c r="Z97" s="38"/>
      <c r="AA97" s="38"/>
      <c r="AB97" s="209"/>
      <c r="AC97" s="204"/>
      <c r="AD97" s="209"/>
      <c r="AE97" s="200"/>
      <c r="AF97" s="38"/>
      <c r="AG97" s="38"/>
      <c r="AH97" s="203"/>
      <c r="AI97" s="38"/>
      <c r="AJ97" s="38"/>
      <c r="AK97" s="200"/>
      <c r="AL97" s="209"/>
      <c r="AM97" s="200"/>
      <c r="AN97" s="200"/>
      <c r="AO97" s="209"/>
      <c r="AP97" s="200"/>
    </row>
    <row x14ac:dyDescent="0.25" r="98" customHeight="1" ht="18.75">
      <c r="A98" s="38"/>
      <c r="B98" s="257"/>
      <c r="C98" s="258"/>
      <c r="D98" s="209"/>
      <c r="E98" s="209"/>
      <c r="F98" s="38"/>
      <c r="G98" s="79"/>
      <c r="H98" s="209"/>
      <c r="I98" s="204"/>
      <c r="J98" s="209"/>
      <c r="K98" s="200"/>
      <c r="L98" s="38"/>
      <c r="M98" s="200"/>
      <c r="N98" s="208"/>
      <c r="O98" s="209"/>
      <c r="P98" s="204"/>
      <c r="Q98" s="209"/>
      <c r="R98" s="200"/>
      <c r="S98" s="38"/>
      <c r="T98" s="38"/>
      <c r="U98" s="208"/>
      <c r="V98" s="209"/>
      <c r="W98" s="204"/>
      <c r="X98" s="209"/>
      <c r="Y98" s="38"/>
      <c r="Z98" s="38"/>
      <c r="AA98" s="38"/>
      <c r="AB98" s="209"/>
      <c r="AC98" s="204"/>
      <c r="AD98" s="209"/>
      <c r="AE98" s="200"/>
      <c r="AF98" s="38"/>
      <c r="AG98" s="38"/>
      <c r="AH98" s="203"/>
      <c r="AI98" s="38"/>
      <c r="AJ98" s="38"/>
      <c r="AK98" s="200"/>
      <c r="AL98" s="209"/>
      <c r="AM98" s="200"/>
      <c r="AN98" s="200"/>
      <c r="AO98" s="209"/>
      <c r="AP98" s="200"/>
    </row>
    <row x14ac:dyDescent="0.25" r="99" customHeight="1" ht="18.75">
      <c r="A99" s="38"/>
      <c r="B99" s="257"/>
      <c r="C99" s="258"/>
      <c r="D99" s="209"/>
      <c r="E99" s="209"/>
      <c r="F99" s="38"/>
      <c r="G99" s="79"/>
      <c r="H99" s="209"/>
      <c r="I99" s="204"/>
      <c r="J99" s="209"/>
      <c r="K99" s="200"/>
      <c r="L99" s="38"/>
      <c r="M99" s="200"/>
      <c r="N99" s="208"/>
      <c r="O99" s="209"/>
      <c r="P99" s="204"/>
      <c r="Q99" s="209"/>
      <c r="R99" s="200"/>
      <c r="S99" s="38"/>
      <c r="T99" s="38"/>
      <c r="U99" s="208"/>
      <c r="V99" s="209"/>
      <c r="W99" s="204"/>
      <c r="X99" s="209"/>
      <c r="Y99" s="38"/>
      <c r="Z99" s="38"/>
      <c r="AA99" s="38"/>
      <c r="AB99" s="209"/>
      <c r="AC99" s="204"/>
      <c r="AD99" s="209"/>
      <c r="AE99" s="200"/>
      <c r="AF99" s="38"/>
      <c r="AG99" s="38"/>
      <c r="AH99" s="203"/>
      <c r="AI99" s="38"/>
      <c r="AJ99" s="38"/>
      <c r="AK99" s="200"/>
      <c r="AL99" s="209"/>
      <c r="AM99" s="200"/>
      <c r="AN99" s="200"/>
      <c r="AO99" s="209"/>
      <c r="AP99" s="200"/>
    </row>
    <row x14ac:dyDescent="0.25" r="100" customHeight="1" ht="18.75">
      <c r="A100" s="38"/>
      <c r="B100" s="257"/>
      <c r="C100" s="258"/>
      <c r="D100" s="209"/>
      <c r="E100" s="209"/>
      <c r="F100" s="38"/>
      <c r="G100" s="79"/>
      <c r="H100" s="209"/>
      <c r="I100" s="204"/>
      <c r="J100" s="209"/>
      <c r="K100" s="200"/>
      <c r="L100" s="38"/>
      <c r="M100" s="200"/>
      <c r="N100" s="208"/>
      <c r="O100" s="209"/>
      <c r="P100" s="204"/>
      <c r="Q100" s="209"/>
      <c r="R100" s="200"/>
      <c r="S100" s="38"/>
      <c r="T100" s="38"/>
      <c r="U100" s="208"/>
      <c r="V100" s="209"/>
      <c r="W100" s="204"/>
      <c r="X100" s="209"/>
      <c r="Y100" s="38"/>
      <c r="Z100" s="38"/>
      <c r="AA100" s="38"/>
      <c r="AB100" s="209"/>
      <c r="AC100" s="204"/>
      <c r="AD100" s="209"/>
      <c r="AE100" s="200"/>
      <c r="AF100" s="38"/>
      <c r="AG100" s="38"/>
      <c r="AH100" s="203"/>
      <c r="AI100" s="38"/>
      <c r="AJ100" s="38"/>
      <c r="AK100" s="200"/>
      <c r="AL100" s="209"/>
      <c r="AM100" s="200"/>
      <c r="AN100" s="200"/>
      <c r="AO100" s="209"/>
      <c r="AP100" s="200"/>
    </row>
    <row x14ac:dyDescent="0.25" r="101" customHeight="1" ht="18.75">
      <c r="A101" s="38"/>
      <c r="B101" s="257"/>
      <c r="C101" s="258"/>
      <c r="D101" s="209"/>
      <c r="E101" s="209"/>
      <c r="F101" s="38"/>
      <c r="G101" s="79"/>
      <c r="H101" s="209"/>
      <c r="I101" s="204"/>
      <c r="J101" s="209"/>
      <c r="K101" s="200"/>
      <c r="L101" s="38"/>
      <c r="M101" s="200"/>
      <c r="N101" s="208"/>
      <c r="O101" s="209"/>
      <c r="P101" s="204"/>
      <c r="Q101" s="209"/>
      <c r="R101" s="200"/>
      <c r="S101" s="38"/>
      <c r="T101" s="38"/>
      <c r="U101" s="208"/>
      <c r="V101" s="209"/>
      <c r="W101" s="204"/>
      <c r="X101" s="209"/>
      <c r="Y101" s="38"/>
      <c r="Z101" s="38"/>
      <c r="AA101" s="38"/>
      <c r="AB101" s="209"/>
      <c r="AC101" s="204"/>
      <c r="AD101" s="209"/>
      <c r="AE101" s="200"/>
      <c r="AF101" s="38"/>
      <c r="AG101" s="38"/>
      <c r="AH101" s="203"/>
      <c r="AI101" s="38"/>
      <c r="AJ101" s="38"/>
      <c r="AK101" s="200"/>
      <c r="AL101" s="209"/>
      <c r="AM101" s="200"/>
      <c r="AN101" s="200"/>
      <c r="AO101" s="209"/>
      <c r="AP101" s="200"/>
    </row>
    <row x14ac:dyDescent="0.25" r="102" customHeight="1" ht="18.75">
      <c r="A102" s="38"/>
      <c r="B102" s="257"/>
      <c r="C102" s="258"/>
      <c r="D102" s="209"/>
      <c r="E102" s="209"/>
      <c r="F102" s="38"/>
      <c r="G102" s="79"/>
      <c r="H102" s="209"/>
      <c r="I102" s="204"/>
      <c r="J102" s="209"/>
      <c r="K102" s="200"/>
      <c r="L102" s="38"/>
      <c r="M102" s="200"/>
      <c r="N102" s="208"/>
      <c r="O102" s="209"/>
      <c r="P102" s="204"/>
      <c r="Q102" s="209"/>
      <c r="R102" s="200"/>
      <c r="S102" s="38"/>
      <c r="T102" s="38"/>
      <c r="U102" s="208"/>
      <c r="V102" s="209"/>
      <c r="W102" s="204"/>
      <c r="X102" s="209"/>
      <c r="Y102" s="38"/>
      <c r="Z102" s="38"/>
      <c r="AA102" s="38"/>
      <c r="AB102" s="209"/>
      <c r="AC102" s="204"/>
      <c r="AD102" s="209"/>
      <c r="AE102" s="200"/>
      <c r="AF102" s="38"/>
      <c r="AG102" s="38"/>
      <c r="AH102" s="203"/>
      <c r="AI102" s="38"/>
      <c r="AJ102" s="38"/>
      <c r="AK102" s="200"/>
      <c r="AL102" s="209"/>
      <c r="AM102" s="200"/>
      <c r="AN102" s="200"/>
      <c r="AO102" s="209"/>
      <c r="AP102" s="200"/>
    </row>
    <row x14ac:dyDescent="0.25" r="103" customHeight="1" ht="18.75">
      <c r="A103" s="38"/>
      <c r="B103" s="257"/>
      <c r="C103" s="258"/>
      <c r="D103" s="209"/>
      <c r="E103" s="209"/>
      <c r="F103" s="38"/>
      <c r="G103" s="79"/>
      <c r="H103" s="209"/>
      <c r="I103" s="204"/>
      <c r="J103" s="209"/>
      <c r="K103" s="200"/>
      <c r="L103" s="38"/>
      <c r="M103" s="200"/>
      <c r="N103" s="208"/>
      <c r="O103" s="209"/>
      <c r="P103" s="204"/>
      <c r="Q103" s="209"/>
      <c r="R103" s="200"/>
      <c r="S103" s="38"/>
      <c r="T103" s="38"/>
      <c r="U103" s="208"/>
      <c r="V103" s="209"/>
      <c r="W103" s="204"/>
      <c r="X103" s="209"/>
      <c r="Y103" s="38"/>
      <c r="Z103" s="38"/>
      <c r="AA103" s="38"/>
      <c r="AB103" s="209"/>
      <c r="AC103" s="204"/>
      <c r="AD103" s="209"/>
      <c r="AE103" s="200"/>
      <c r="AF103" s="38"/>
      <c r="AG103" s="38"/>
      <c r="AH103" s="203"/>
      <c r="AI103" s="38"/>
      <c r="AJ103" s="38"/>
      <c r="AK103" s="200"/>
      <c r="AL103" s="209"/>
      <c r="AM103" s="200"/>
      <c r="AN103" s="200"/>
      <c r="AO103" s="209"/>
      <c r="AP103" s="200"/>
    </row>
    <row x14ac:dyDescent="0.25" r="104" customHeight="1" ht="18.75">
      <c r="A104" s="38"/>
      <c r="B104" s="257"/>
      <c r="C104" s="258"/>
      <c r="D104" s="209"/>
      <c r="E104" s="209"/>
      <c r="F104" s="38"/>
      <c r="G104" s="79"/>
      <c r="H104" s="209"/>
      <c r="I104" s="204"/>
      <c r="J104" s="209"/>
      <c r="K104" s="200"/>
      <c r="L104" s="38"/>
      <c r="M104" s="200"/>
      <c r="N104" s="208"/>
      <c r="O104" s="209"/>
      <c r="P104" s="204"/>
      <c r="Q104" s="209"/>
      <c r="R104" s="200"/>
      <c r="S104" s="38"/>
      <c r="T104" s="38"/>
      <c r="U104" s="208"/>
      <c r="V104" s="209"/>
      <c r="W104" s="204"/>
      <c r="X104" s="209"/>
      <c r="Y104" s="38"/>
      <c r="Z104" s="38"/>
      <c r="AA104" s="38"/>
      <c r="AB104" s="209"/>
      <c r="AC104" s="204"/>
      <c r="AD104" s="209"/>
      <c r="AE104" s="200"/>
      <c r="AF104" s="38"/>
      <c r="AG104" s="38"/>
      <c r="AH104" s="203"/>
      <c r="AI104" s="38"/>
      <c r="AJ104" s="38"/>
      <c r="AK104" s="200"/>
      <c r="AL104" s="209"/>
      <c r="AM104" s="200"/>
      <c r="AN104" s="200"/>
      <c r="AO104" s="209"/>
      <c r="AP104" s="200"/>
    </row>
    <row x14ac:dyDescent="0.25" r="105" customHeight="1" ht="18.75">
      <c r="A105" s="38"/>
      <c r="B105" s="257"/>
      <c r="C105" s="258"/>
      <c r="D105" s="209"/>
      <c r="E105" s="209"/>
      <c r="F105" s="38"/>
      <c r="G105" s="79"/>
      <c r="H105" s="209"/>
      <c r="I105" s="204"/>
      <c r="J105" s="209"/>
      <c r="K105" s="200"/>
      <c r="L105" s="38"/>
      <c r="M105" s="200"/>
      <c r="N105" s="208"/>
      <c r="O105" s="209"/>
      <c r="P105" s="204"/>
      <c r="Q105" s="209"/>
      <c r="R105" s="200"/>
      <c r="S105" s="38"/>
      <c r="T105" s="38"/>
      <c r="U105" s="208"/>
      <c r="V105" s="209"/>
      <c r="W105" s="204"/>
      <c r="X105" s="209"/>
      <c r="Y105" s="38"/>
      <c r="Z105" s="38"/>
      <c r="AA105" s="38"/>
      <c r="AB105" s="209"/>
      <c r="AC105" s="204"/>
      <c r="AD105" s="209"/>
      <c r="AE105" s="200"/>
      <c r="AF105" s="38"/>
      <c r="AG105" s="38"/>
      <c r="AH105" s="209"/>
      <c r="AI105" s="204"/>
      <c r="AJ105" s="209"/>
      <c r="AK105" s="200"/>
      <c r="AL105" s="209"/>
      <c r="AM105" s="200"/>
      <c r="AN105" s="200"/>
      <c r="AO105" s="209"/>
      <c r="AP105" s="200"/>
    </row>
    <row x14ac:dyDescent="0.25" r="106" customHeight="1" ht="18.75">
      <c r="A106" s="38"/>
      <c r="B106" s="257"/>
      <c r="C106" s="258"/>
      <c r="D106" s="209"/>
      <c r="E106" s="209"/>
      <c r="F106" s="38"/>
      <c r="G106" s="79"/>
      <c r="H106" s="209"/>
      <c r="I106" s="204"/>
      <c r="J106" s="209"/>
      <c r="K106" s="200"/>
      <c r="L106" s="38"/>
      <c r="M106" s="200"/>
      <c r="N106" s="208"/>
      <c r="O106" s="209"/>
      <c r="P106" s="204"/>
      <c r="Q106" s="209"/>
      <c r="R106" s="200"/>
      <c r="S106" s="38"/>
      <c r="T106" s="38"/>
      <c r="U106" s="208"/>
      <c r="V106" s="209"/>
      <c r="W106" s="204"/>
      <c r="X106" s="209"/>
      <c r="Y106" s="38"/>
      <c r="Z106" s="38"/>
      <c r="AA106" s="38"/>
      <c r="AB106" s="209"/>
      <c r="AC106" s="204"/>
      <c r="AD106" s="209"/>
      <c r="AE106" s="200"/>
      <c r="AF106" s="38"/>
      <c r="AG106" s="38"/>
      <c r="AH106" s="209"/>
      <c r="AI106" s="204"/>
      <c r="AJ106" s="209"/>
      <c r="AK106" s="200"/>
      <c r="AL106" s="209"/>
      <c r="AM106" s="200"/>
      <c r="AN106" s="200"/>
      <c r="AO106" s="209"/>
      <c r="AP106" s="200"/>
    </row>
    <row x14ac:dyDescent="0.25" r="107" customHeight="1" ht="18.75">
      <c r="A107" s="38"/>
      <c r="B107" s="257"/>
      <c r="C107" s="258"/>
      <c r="D107" s="209"/>
      <c r="E107" s="209"/>
      <c r="F107" s="38"/>
      <c r="G107" s="79"/>
      <c r="H107" s="209"/>
      <c r="I107" s="204"/>
      <c r="J107" s="209"/>
      <c r="K107" s="200"/>
      <c r="L107" s="38"/>
      <c r="M107" s="200"/>
      <c r="N107" s="208"/>
      <c r="O107" s="209"/>
      <c r="P107" s="204"/>
      <c r="Q107" s="209"/>
      <c r="R107" s="200"/>
      <c r="S107" s="38"/>
      <c r="T107" s="38"/>
      <c r="U107" s="208"/>
      <c r="V107" s="209"/>
      <c r="W107" s="204"/>
      <c r="X107" s="209"/>
      <c r="Y107" s="38"/>
      <c r="Z107" s="38"/>
      <c r="AA107" s="38"/>
      <c r="AB107" s="209"/>
      <c r="AC107" s="204"/>
      <c r="AD107" s="209"/>
      <c r="AE107" s="200"/>
      <c r="AF107" s="38"/>
      <c r="AG107" s="38"/>
      <c r="AH107" s="209"/>
      <c r="AI107" s="204"/>
      <c r="AJ107" s="209"/>
      <c r="AK107" s="200"/>
      <c r="AL107" s="209"/>
      <c r="AM107" s="200"/>
      <c r="AN107" s="200"/>
      <c r="AO107" s="209"/>
      <c r="AP107" s="200"/>
    </row>
    <row x14ac:dyDescent="0.25" r="108" customHeight="1" ht="18.75">
      <c r="A108" s="38"/>
      <c r="B108" s="257"/>
      <c r="C108" s="258"/>
      <c r="D108" s="209"/>
      <c r="E108" s="209"/>
      <c r="F108" s="38"/>
      <c r="G108" s="79"/>
      <c r="H108" s="209"/>
      <c r="I108" s="204"/>
      <c r="J108" s="209"/>
      <c r="K108" s="200"/>
      <c r="L108" s="38"/>
      <c r="M108" s="200"/>
      <c r="N108" s="208"/>
      <c r="O108" s="209"/>
      <c r="P108" s="204"/>
      <c r="Q108" s="209"/>
      <c r="R108" s="200"/>
      <c r="S108" s="38"/>
      <c r="T108" s="38"/>
      <c r="U108" s="208"/>
      <c r="V108" s="209"/>
      <c r="W108" s="204"/>
      <c r="X108" s="209"/>
      <c r="Y108" s="38"/>
      <c r="Z108" s="38"/>
      <c r="AA108" s="38"/>
      <c r="AB108" s="209"/>
      <c r="AC108" s="204"/>
      <c r="AD108" s="209"/>
      <c r="AE108" s="200"/>
      <c r="AF108" s="38"/>
      <c r="AG108" s="38"/>
      <c r="AH108" s="209"/>
      <c r="AI108" s="204"/>
      <c r="AJ108" s="209"/>
      <c r="AK108" s="200"/>
      <c r="AL108" s="209"/>
      <c r="AM108" s="200"/>
      <c r="AN108" s="200"/>
      <c r="AO108" s="209"/>
      <c r="AP108" s="200"/>
    </row>
    <row x14ac:dyDescent="0.25" r="109" customHeight="1" ht="18.75">
      <c r="A109" s="38"/>
      <c r="B109" s="257"/>
      <c r="C109" s="258"/>
      <c r="D109" s="209"/>
      <c r="E109" s="209"/>
      <c r="F109" s="38"/>
      <c r="G109" s="79"/>
      <c r="H109" s="209"/>
      <c r="I109" s="204"/>
      <c r="J109" s="209"/>
      <c r="K109" s="200"/>
      <c r="L109" s="38"/>
      <c r="M109" s="200"/>
      <c r="N109" s="208"/>
      <c r="O109" s="209"/>
      <c r="P109" s="204"/>
      <c r="Q109" s="209"/>
      <c r="R109" s="200"/>
      <c r="S109" s="38"/>
      <c r="T109" s="38"/>
      <c r="U109" s="208"/>
      <c r="V109" s="209"/>
      <c r="W109" s="204"/>
      <c r="X109" s="209"/>
      <c r="Y109" s="38"/>
      <c r="Z109" s="38"/>
      <c r="AA109" s="38"/>
      <c r="AB109" s="209"/>
      <c r="AC109" s="204"/>
      <c r="AD109" s="209"/>
      <c r="AE109" s="200"/>
      <c r="AF109" s="38"/>
      <c r="AG109" s="38"/>
      <c r="AH109" s="209"/>
      <c r="AI109" s="204"/>
      <c r="AJ109" s="209"/>
      <c r="AK109" s="200"/>
      <c r="AL109" s="209"/>
      <c r="AM109" s="200"/>
      <c r="AN109" s="200"/>
      <c r="AO109" s="209"/>
      <c r="AP109" s="200"/>
    </row>
    <row x14ac:dyDescent="0.25" r="110" customHeight="1" ht="18.75">
      <c r="A110" s="38"/>
      <c r="B110" s="257"/>
      <c r="C110" s="258"/>
      <c r="D110" s="209"/>
      <c r="E110" s="209"/>
      <c r="F110" s="38"/>
      <c r="G110" s="79"/>
      <c r="H110" s="209"/>
      <c r="I110" s="204"/>
      <c r="J110" s="209"/>
      <c r="K110" s="200"/>
      <c r="L110" s="38"/>
      <c r="M110" s="200"/>
      <c r="N110" s="208"/>
      <c r="O110" s="209"/>
      <c r="P110" s="204"/>
      <c r="Q110" s="209"/>
      <c r="R110" s="200"/>
      <c r="S110" s="38"/>
      <c r="T110" s="38"/>
      <c r="U110" s="208"/>
      <c r="V110" s="209"/>
      <c r="W110" s="204"/>
      <c r="X110" s="209"/>
      <c r="Y110" s="38"/>
      <c r="Z110" s="38"/>
      <c r="AA110" s="38"/>
      <c r="AB110" s="209"/>
      <c r="AC110" s="204"/>
      <c r="AD110" s="209"/>
      <c r="AE110" s="200"/>
      <c r="AF110" s="38"/>
      <c r="AG110" s="38"/>
      <c r="AH110" s="209"/>
      <c r="AI110" s="204"/>
      <c r="AJ110" s="209"/>
      <c r="AK110" s="200"/>
      <c r="AL110" s="209"/>
      <c r="AM110" s="200"/>
      <c r="AN110" s="200"/>
      <c r="AO110" s="209"/>
      <c r="AP110" s="200"/>
    </row>
    <row x14ac:dyDescent="0.25" r="111" customHeight="1" ht="18.75">
      <c r="A111" s="38"/>
      <c r="B111" s="257"/>
      <c r="C111" s="258"/>
      <c r="D111" s="209"/>
      <c r="E111" s="209"/>
      <c r="F111" s="38"/>
      <c r="G111" s="79"/>
      <c r="H111" s="209"/>
      <c r="I111" s="204"/>
      <c r="J111" s="209"/>
      <c r="K111" s="200"/>
      <c r="L111" s="38"/>
      <c r="M111" s="200"/>
      <c r="N111" s="208"/>
      <c r="O111" s="209"/>
      <c r="P111" s="204"/>
      <c r="Q111" s="209"/>
      <c r="R111" s="200"/>
      <c r="S111" s="38"/>
      <c r="T111" s="38"/>
      <c r="U111" s="208"/>
      <c r="V111" s="209"/>
      <c r="W111" s="204"/>
      <c r="X111" s="209"/>
      <c r="Y111" s="38"/>
      <c r="Z111" s="38"/>
      <c r="AA111" s="38"/>
      <c r="AB111" s="209"/>
      <c r="AC111" s="204"/>
      <c r="AD111" s="209"/>
      <c r="AE111" s="200"/>
      <c r="AF111" s="38"/>
      <c r="AG111" s="38"/>
      <c r="AH111" s="209"/>
      <c r="AI111" s="204"/>
      <c r="AJ111" s="209"/>
      <c r="AK111" s="200"/>
      <c r="AL111" s="209"/>
      <c r="AM111" s="200"/>
      <c r="AN111" s="200"/>
      <c r="AO111" s="209"/>
      <c r="AP111" s="200"/>
    </row>
    <row x14ac:dyDescent="0.25" r="112" customHeight="1" ht="18.75">
      <c r="A112" s="38"/>
      <c r="B112" s="257"/>
      <c r="C112" s="258"/>
      <c r="D112" s="209"/>
      <c r="E112" s="209"/>
      <c r="F112" s="38"/>
      <c r="G112" s="79"/>
      <c r="H112" s="209"/>
      <c r="I112" s="204"/>
      <c r="J112" s="209"/>
      <c r="K112" s="200"/>
      <c r="L112" s="38"/>
      <c r="M112" s="200"/>
      <c r="N112" s="208"/>
      <c r="O112" s="209"/>
      <c r="P112" s="204"/>
      <c r="Q112" s="209"/>
      <c r="R112" s="200"/>
      <c r="S112" s="38"/>
      <c r="T112" s="38"/>
      <c r="U112" s="208"/>
      <c r="V112" s="209"/>
      <c r="W112" s="204"/>
      <c r="X112" s="209"/>
      <c r="Y112" s="38"/>
      <c r="Z112" s="38"/>
      <c r="AA112" s="38"/>
      <c r="AB112" s="209"/>
      <c r="AC112" s="204"/>
      <c r="AD112" s="209"/>
      <c r="AE112" s="200"/>
      <c r="AF112" s="38"/>
      <c r="AG112" s="38"/>
      <c r="AH112" s="209"/>
      <c r="AI112" s="204"/>
      <c r="AJ112" s="209"/>
      <c r="AK112" s="200"/>
      <c r="AL112" s="209"/>
      <c r="AM112" s="200"/>
      <c r="AN112" s="200"/>
      <c r="AO112" s="209"/>
      <c r="AP112" s="200"/>
    </row>
    <row x14ac:dyDescent="0.25" r="113" customHeight="1" ht="18.75">
      <c r="A113" s="38"/>
      <c r="B113" s="257"/>
      <c r="C113" s="258"/>
      <c r="D113" s="209"/>
      <c r="E113" s="209"/>
      <c r="F113" s="38"/>
      <c r="G113" s="79"/>
      <c r="H113" s="209"/>
      <c r="I113" s="204"/>
      <c r="J113" s="209"/>
      <c r="K113" s="200"/>
      <c r="L113" s="38"/>
      <c r="M113" s="200"/>
      <c r="N113" s="208"/>
      <c r="O113" s="209"/>
      <c r="P113" s="204"/>
      <c r="Q113" s="209"/>
      <c r="R113" s="200"/>
      <c r="S113" s="38"/>
      <c r="T113" s="38"/>
      <c r="U113" s="208"/>
      <c r="V113" s="209"/>
      <c r="W113" s="204"/>
      <c r="X113" s="209"/>
      <c r="Y113" s="38"/>
      <c r="Z113" s="38"/>
      <c r="AA113" s="38"/>
      <c r="AB113" s="209"/>
      <c r="AC113" s="204"/>
      <c r="AD113" s="209"/>
      <c r="AE113" s="200"/>
      <c r="AF113" s="38"/>
      <c r="AG113" s="38"/>
      <c r="AH113" s="209"/>
      <c r="AI113" s="204"/>
      <c r="AJ113" s="209"/>
      <c r="AK113" s="200"/>
      <c r="AL113" s="209"/>
      <c r="AM113" s="200"/>
      <c r="AN113" s="200"/>
      <c r="AO113" s="209"/>
      <c r="AP113" s="200"/>
    </row>
    <row x14ac:dyDescent="0.25" r="114" customHeight="1" ht="18.75">
      <c r="A114" s="38"/>
      <c r="B114" s="257"/>
      <c r="C114" s="258"/>
      <c r="D114" s="209"/>
      <c r="E114" s="209"/>
      <c r="F114" s="38"/>
      <c r="G114" s="79"/>
      <c r="H114" s="209"/>
      <c r="I114" s="204"/>
      <c r="J114" s="209"/>
      <c r="K114" s="200"/>
      <c r="L114" s="38"/>
      <c r="M114" s="200"/>
      <c r="N114" s="208"/>
      <c r="O114" s="209"/>
      <c r="P114" s="204"/>
      <c r="Q114" s="209"/>
      <c r="R114" s="200"/>
      <c r="S114" s="38"/>
      <c r="T114" s="38"/>
      <c r="U114" s="208"/>
      <c r="V114" s="209"/>
      <c r="W114" s="204"/>
      <c r="X114" s="209"/>
      <c r="Y114" s="38"/>
      <c r="Z114" s="38"/>
      <c r="AA114" s="38"/>
      <c r="AB114" s="209"/>
      <c r="AC114" s="204"/>
      <c r="AD114" s="209"/>
      <c r="AE114" s="200"/>
      <c r="AF114" s="38"/>
      <c r="AG114" s="38"/>
      <c r="AH114" s="209"/>
      <c r="AI114" s="204"/>
      <c r="AJ114" s="209"/>
      <c r="AK114" s="200"/>
      <c r="AL114" s="209"/>
      <c r="AM114" s="200"/>
      <c r="AN114" s="200"/>
      <c r="AO114" s="209"/>
      <c r="AP114" s="200"/>
    </row>
    <row x14ac:dyDescent="0.25" r="115" customHeight="1" ht="18.75">
      <c r="A115" s="38"/>
      <c r="B115" s="257"/>
      <c r="C115" s="258"/>
      <c r="D115" s="209"/>
      <c r="E115" s="209"/>
      <c r="F115" s="38"/>
      <c r="G115" s="79"/>
      <c r="H115" s="209"/>
      <c r="I115" s="204"/>
      <c r="J115" s="209"/>
      <c r="K115" s="200"/>
      <c r="L115" s="38"/>
      <c r="M115" s="200"/>
      <c r="N115" s="208"/>
      <c r="O115" s="209"/>
      <c r="P115" s="204"/>
      <c r="Q115" s="209"/>
      <c r="R115" s="200"/>
      <c r="S115" s="38"/>
      <c r="T115" s="38"/>
      <c r="U115" s="208"/>
      <c r="V115" s="209"/>
      <c r="W115" s="204"/>
      <c r="X115" s="209"/>
      <c r="Y115" s="38"/>
      <c r="Z115" s="38"/>
      <c r="AA115" s="38"/>
      <c r="AB115" s="209"/>
      <c r="AC115" s="204"/>
      <c r="AD115" s="209"/>
      <c r="AE115" s="200"/>
      <c r="AF115" s="38"/>
      <c r="AG115" s="38"/>
      <c r="AH115" s="209"/>
      <c r="AI115" s="204"/>
      <c r="AJ115" s="209"/>
      <c r="AK115" s="200"/>
      <c r="AL115" s="209"/>
      <c r="AM115" s="200"/>
      <c r="AN115" s="200"/>
      <c r="AO115" s="209"/>
      <c r="AP115" s="200"/>
    </row>
    <row x14ac:dyDescent="0.25" r="116" customHeight="1" ht="18.75">
      <c r="A116" s="38"/>
      <c r="B116" s="257"/>
      <c r="C116" s="258"/>
      <c r="D116" s="209"/>
      <c r="E116" s="209"/>
      <c r="F116" s="38"/>
      <c r="G116" s="79"/>
      <c r="H116" s="209"/>
      <c r="I116" s="204"/>
      <c r="J116" s="209"/>
      <c r="K116" s="200"/>
      <c r="L116" s="38"/>
      <c r="M116" s="200"/>
      <c r="N116" s="208"/>
      <c r="O116" s="209"/>
      <c r="P116" s="204"/>
      <c r="Q116" s="209"/>
      <c r="R116" s="200"/>
      <c r="S116" s="38"/>
      <c r="T116" s="38"/>
      <c r="U116" s="208"/>
      <c r="V116" s="209"/>
      <c r="W116" s="204"/>
      <c r="X116" s="209"/>
      <c r="Y116" s="38"/>
      <c r="Z116" s="38"/>
      <c r="AA116" s="38"/>
      <c r="AB116" s="209"/>
      <c r="AC116" s="204"/>
      <c r="AD116" s="209"/>
      <c r="AE116" s="200"/>
      <c r="AF116" s="38"/>
      <c r="AG116" s="38"/>
      <c r="AH116" s="209"/>
      <c r="AI116" s="204"/>
      <c r="AJ116" s="209"/>
      <c r="AK116" s="200"/>
      <c r="AL116" s="209"/>
      <c r="AM116" s="200"/>
      <c r="AN116" s="200"/>
      <c r="AO116" s="209"/>
      <c r="AP116" s="200"/>
    </row>
    <row x14ac:dyDescent="0.25" r="117" customHeight="1" ht="18.75">
      <c r="A117" s="38"/>
      <c r="B117" s="257"/>
      <c r="C117" s="258"/>
      <c r="D117" s="209"/>
      <c r="E117" s="209"/>
      <c r="F117" s="38"/>
      <c r="G117" s="79"/>
      <c r="H117" s="209"/>
      <c r="I117" s="204"/>
      <c r="J117" s="209"/>
      <c r="K117" s="200"/>
      <c r="L117" s="38"/>
      <c r="M117" s="200"/>
      <c r="N117" s="208"/>
      <c r="O117" s="209"/>
      <c r="P117" s="204"/>
      <c r="Q117" s="209"/>
      <c r="R117" s="200"/>
      <c r="S117" s="38"/>
      <c r="T117" s="38"/>
      <c r="U117" s="208"/>
      <c r="V117" s="209"/>
      <c r="W117" s="204"/>
      <c r="X117" s="209"/>
      <c r="Y117" s="38"/>
      <c r="Z117" s="38"/>
      <c r="AA117" s="38"/>
      <c r="AB117" s="209"/>
      <c r="AC117" s="204"/>
      <c r="AD117" s="209"/>
      <c r="AE117" s="200"/>
      <c r="AF117" s="38"/>
      <c r="AG117" s="38"/>
      <c r="AH117" s="209"/>
      <c r="AI117" s="204"/>
      <c r="AJ117" s="209"/>
      <c r="AK117" s="200"/>
      <c r="AL117" s="209"/>
      <c r="AM117" s="200"/>
      <c r="AN117" s="200"/>
      <c r="AO117" s="209"/>
      <c r="AP117" s="200"/>
    </row>
    <row x14ac:dyDescent="0.25" r="118" customHeight="1" ht="18.75">
      <c r="A118" s="38"/>
      <c r="B118" s="257"/>
      <c r="C118" s="258"/>
      <c r="D118" s="209"/>
      <c r="E118" s="209"/>
      <c r="F118" s="38"/>
      <c r="G118" s="79"/>
      <c r="H118" s="209"/>
      <c r="I118" s="204"/>
      <c r="J118" s="209"/>
      <c r="K118" s="200"/>
      <c r="L118" s="38"/>
      <c r="M118" s="200"/>
      <c r="N118" s="208"/>
      <c r="O118" s="209"/>
      <c r="P118" s="204"/>
      <c r="Q118" s="209"/>
      <c r="R118" s="200"/>
      <c r="S118" s="38"/>
      <c r="T118" s="38"/>
      <c r="U118" s="208"/>
      <c r="V118" s="209"/>
      <c r="W118" s="204"/>
      <c r="X118" s="209"/>
      <c r="Y118" s="38"/>
      <c r="Z118" s="38"/>
      <c r="AA118" s="38"/>
      <c r="AB118" s="209"/>
      <c r="AC118" s="204"/>
      <c r="AD118" s="209"/>
      <c r="AE118" s="200"/>
      <c r="AF118" s="38"/>
      <c r="AG118" s="38"/>
      <c r="AH118" s="209"/>
      <c r="AI118" s="204"/>
      <c r="AJ118" s="209"/>
      <c r="AK118" s="200"/>
      <c r="AL118" s="209"/>
      <c r="AM118" s="200"/>
      <c r="AN118" s="200"/>
      <c r="AO118" s="209"/>
      <c r="AP118" s="200"/>
    </row>
    <row x14ac:dyDescent="0.25" r="119" customHeight="1" ht="18.75">
      <c r="A119" s="38"/>
      <c r="B119" s="257"/>
      <c r="C119" s="258"/>
      <c r="D119" s="209"/>
      <c r="E119" s="209"/>
      <c r="F119" s="38"/>
      <c r="G119" s="79"/>
      <c r="H119" s="209"/>
      <c r="I119" s="204"/>
      <c r="J119" s="209"/>
      <c r="K119" s="200"/>
      <c r="L119" s="38"/>
      <c r="M119" s="200"/>
      <c r="N119" s="208"/>
      <c r="O119" s="209"/>
      <c r="P119" s="204"/>
      <c r="Q119" s="209"/>
      <c r="R119" s="200"/>
      <c r="S119" s="38"/>
      <c r="T119" s="38"/>
      <c r="U119" s="208"/>
      <c r="V119" s="209"/>
      <c r="W119" s="204"/>
      <c r="X119" s="209"/>
      <c r="Y119" s="38"/>
      <c r="Z119" s="38"/>
      <c r="AA119" s="38"/>
      <c r="AB119" s="209"/>
      <c r="AC119" s="204"/>
      <c r="AD119" s="209"/>
      <c r="AE119" s="200"/>
      <c r="AF119" s="38"/>
      <c r="AG119" s="38"/>
      <c r="AH119" s="209"/>
      <c r="AI119" s="204"/>
      <c r="AJ119" s="209"/>
      <c r="AK119" s="200"/>
      <c r="AL119" s="209"/>
      <c r="AM119" s="200"/>
      <c r="AN119" s="200"/>
      <c r="AO119" s="209"/>
      <c r="AP119" s="200"/>
    </row>
    <row x14ac:dyDescent="0.25" r="120" customHeight="1" ht="18.75">
      <c r="A120" s="38"/>
      <c r="B120" s="257"/>
      <c r="C120" s="258"/>
      <c r="D120" s="209"/>
      <c r="E120" s="209"/>
      <c r="F120" s="38"/>
      <c r="G120" s="79"/>
      <c r="H120" s="209"/>
      <c r="I120" s="204"/>
      <c r="J120" s="209"/>
      <c r="K120" s="200"/>
      <c r="L120" s="38"/>
      <c r="M120" s="200"/>
      <c r="N120" s="208"/>
      <c r="O120" s="209"/>
      <c r="P120" s="204"/>
      <c r="Q120" s="209"/>
      <c r="R120" s="200"/>
      <c r="S120" s="38"/>
      <c r="T120" s="38"/>
      <c r="U120" s="208"/>
      <c r="V120" s="209"/>
      <c r="W120" s="204"/>
      <c r="X120" s="209"/>
      <c r="Y120" s="38"/>
      <c r="Z120" s="38"/>
      <c r="AA120" s="38"/>
      <c r="AB120" s="209"/>
      <c r="AC120" s="204"/>
      <c r="AD120" s="209"/>
      <c r="AE120" s="200"/>
      <c r="AF120" s="38"/>
      <c r="AG120" s="38"/>
      <c r="AH120" s="209"/>
      <c r="AI120" s="204"/>
      <c r="AJ120" s="209"/>
      <c r="AK120" s="200"/>
      <c r="AL120" s="209"/>
      <c r="AM120" s="200"/>
      <c r="AN120" s="200"/>
      <c r="AO120" s="209"/>
      <c r="AP120" s="200"/>
    </row>
    <row x14ac:dyDescent="0.25" r="121" customHeight="1" ht="18.75">
      <c r="A121" s="38"/>
      <c r="B121" s="257"/>
      <c r="C121" s="258"/>
      <c r="D121" s="209"/>
      <c r="E121" s="209"/>
      <c r="F121" s="38"/>
      <c r="G121" s="79"/>
      <c r="H121" s="209"/>
      <c r="I121" s="204"/>
      <c r="J121" s="209"/>
      <c r="K121" s="200"/>
      <c r="L121" s="38"/>
      <c r="M121" s="200"/>
      <c r="N121" s="208"/>
      <c r="O121" s="209"/>
      <c r="P121" s="204"/>
      <c r="Q121" s="209"/>
      <c r="R121" s="200"/>
      <c r="S121" s="38"/>
      <c r="T121" s="38"/>
      <c r="U121" s="208"/>
      <c r="V121" s="209"/>
      <c r="W121" s="204"/>
      <c r="X121" s="209"/>
      <c r="Y121" s="38"/>
      <c r="Z121" s="38"/>
      <c r="AA121" s="38"/>
      <c r="AB121" s="209"/>
      <c r="AC121" s="204"/>
      <c r="AD121" s="209"/>
      <c r="AE121" s="200"/>
      <c r="AF121" s="38"/>
      <c r="AG121" s="38"/>
      <c r="AH121" s="209"/>
      <c r="AI121" s="204"/>
      <c r="AJ121" s="209"/>
      <c r="AK121" s="200"/>
      <c r="AL121" s="209"/>
      <c r="AM121" s="200"/>
      <c r="AN121" s="200"/>
      <c r="AO121" s="209"/>
      <c r="AP121" s="200"/>
    </row>
    <row x14ac:dyDescent="0.25" r="122" customHeight="1" ht="18.75">
      <c r="A122" s="38"/>
      <c r="B122" s="257"/>
      <c r="C122" s="258"/>
      <c r="D122" s="209"/>
      <c r="E122" s="209"/>
      <c r="F122" s="38"/>
      <c r="G122" s="79"/>
      <c r="H122" s="209"/>
      <c r="I122" s="204"/>
      <c r="J122" s="209"/>
      <c r="K122" s="200"/>
      <c r="L122" s="38"/>
      <c r="M122" s="200"/>
      <c r="N122" s="208"/>
      <c r="O122" s="209"/>
      <c r="P122" s="204"/>
      <c r="Q122" s="209"/>
      <c r="R122" s="200"/>
      <c r="S122" s="38"/>
      <c r="T122" s="38"/>
      <c r="U122" s="208"/>
      <c r="V122" s="209"/>
      <c r="W122" s="204"/>
      <c r="X122" s="209"/>
      <c r="Y122" s="38"/>
      <c r="Z122" s="38"/>
      <c r="AA122" s="38"/>
      <c r="AB122" s="209"/>
      <c r="AC122" s="204"/>
      <c r="AD122" s="209"/>
      <c r="AE122" s="200"/>
      <c r="AF122" s="38"/>
      <c r="AG122" s="38"/>
      <c r="AH122" s="209"/>
      <c r="AI122" s="204"/>
      <c r="AJ122" s="209"/>
      <c r="AK122" s="200"/>
      <c r="AL122" s="209"/>
      <c r="AM122" s="200"/>
      <c r="AN122" s="200"/>
      <c r="AO122" s="209"/>
      <c r="AP122" s="200"/>
    </row>
    <row x14ac:dyDescent="0.25" r="123" customHeight="1" ht="18.75">
      <c r="A123" s="38"/>
      <c r="B123" s="257"/>
      <c r="C123" s="258"/>
      <c r="D123" s="209"/>
      <c r="E123" s="209"/>
      <c r="F123" s="38"/>
      <c r="G123" s="79"/>
      <c r="H123" s="209"/>
      <c r="I123" s="38"/>
      <c r="J123" s="38"/>
      <c r="K123" s="200"/>
      <c r="L123" s="38"/>
      <c r="M123" s="200"/>
      <c r="N123" s="208"/>
      <c r="O123" s="38"/>
      <c r="P123" s="38"/>
      <c r="Q123" s="38"/>
      <c r="R123" s="200"/>
      <c r="S123" s="38"/>
      <c r="T123" s="38"/>
      <c r="U123" s="208"/>
      <c r="V123" s="38"/>
      <c r="W123" s="38"/>
      <c r="X123" s="38"/>
      <c r="Y123" s="38"/>
      <c r="Z123" s="38"/>
      <c r="AA123" s="38"/>
      <c r="AB123" s="38"/>
      <c r="AC123" s="38"/>
      <c r="AD123" s="38"/>
      <c r="AE123" s="200"/>
      <c r="AF123" s="38"/>
      <c r="AG123" s="38"/>
      <c r="AH123" s="38"/>
      <c r="AI123" s="38"/>
      <c r="AJ123" s="38"/>
      <c r="AK123" s="200"/>
      <c r="AL123" s="209"/>
      <c r="AM123" s="200"/>
      <c r="AN123" s="200"/>
      <c r="AO123" s="209"/>
      <c r="AP123" s="200"/>
    </row>
    <row x14ac:dyDescent="0.25" r="124" customHeight="1" ht="18.75">
      <c r="A124" s="38"/>
      <c r="B124" s="257"/>
      <c r="C124" s="258"/>
      <c r="D124" s="209"/>
      <c r="E124" s="209"/>
      <c r="F124" s="38"/>
      <c r="G124" s="79"/>
      <c r="H124" s="209"/>
      <c r="I124" s="38"/>
      <c r="J124" s="38"/>
      <c r="K124" s="200"/>
      <c r="L124" s="38"/>
      <c r="M124" s="200"/>
      <c r="N124" s="208"/>
      <c r="O124" s="38"/>
      <c r="P124" s="38"/>
      <c r="Q124" s="38"/>
      <c r="R124" s="200"/>
      <c r="S124" s="38"/>
      <c r="T124" s="38"/>
      <c r="U124" s="208"/>
      <c r="V124" s="38"/>
      <c r="W124" s="38"/>
      <c r="X124" s="38"/>
      <c r="Y124" s="38"/>
      <c r="Z124" s="38"/>
      <c r="AA124" s="38"/>
      <c r="AB124" s="38"/>
      <c r="AC124" s="38"/>
      <c r="AD124" s="38"/>
      <c r="AE124" s="200"/>
      <c r="AF124" s="38"/>
      <c r="AG124" s="38"/>
      <c r="AH124" s="38"/>
      <c r="AI124" s="38"/>
      <c r="AJ124" s="38"/>
      <c r="AK124" s="200"/>
      <c r="AL124" s="209"/>
      <c r="AM124" s="200"/>
      <c r="AN124" s="200"/>
      <c r="AO124" s="209"/>
      <c r="AP124" s="200"/>
    </row>
    <row x14ac:dyDescent="0.25" r="125" customHeight="1" ht="18.75">
      <c r="A125" s="38"/>
      <c r="B125" s="257"/>
      <c r="C125" s="258"/>
      <c r="D125" s="209"/>
      <c r="E125" s="209"/>
      <c r="F125" s="38"/>
      <c r="G125" s="79"/>
      <c r="H125" s="209"/>
      <c r="I125" s="38"/>
      <c r="J125" s="38"/>
      <c r="K125" s="200"/>
      <c r="L125" s="38"/>
      <c r="M125" s="200"/>
      <c r="N125" s="208"/>
      <c r="O125" s="38"/>
      <c r="P125" s="38"/>
      <c r="Q125" s="38"/>
      <c r="R125" s="200"/>
      <c r="S125" s="38"/>
      <c r="T125" s="38"/>
      <c r="U125" s="208"/>
      <c r="V125" s="38"/>
      <c r="W125" s="38"/>
      <c r="X125" s="38"/>
      <c r="Y125" s="38"/>
      <c r="Z125" s="38"/>
      <c r="AA125" s="38"/>
      <c r="AB125" s="38"/>
      <c r="AC125" s="38"/>
      <c r="AD125" s="38"/>
      <c r="AE125" s="200"/>
      <c r="AF125" s="38"/>
      <c r="AG125" s="38"/>
      <c r="AH125" s="38"/>
      <c r="AI125" s="38"/>
      <c r="AJ125" s="38"/>
      <c r="AK125" s="200"/>
      <c r="AL125" s="209"/>
      <c r="AM125" s="200"/>
      <c r="AN125" s="200"/>
      <c r="AO125" s="209"/>
      <c r="AP125" s="200"/>
    </row>
    <row x14ac:dyDescent="0.25" r="126" customHeight="1" ht="18.75">
      <c r="A126" s="38"/>
      <c r="B126" s="257"/>
      <c r="C126" s="258"/>
      <c r="D126" s="209"/>
      <c r="E126" s="209"/>
      <c r="F126" s="38"/>
      <c r="G126" s="79"/>
      <c r="H126" s="209"/>
      <c r="I126" s="38"/>
      <c r="J126" s="38"/>
      <c r="K126" s="200"/>
      <c r="L126" s="38"/>
      <c r="M126" s="200"/>
      <c r="N126" s="208"/>
      <c r="O126" s="38"/>
      <c r="P126" s="38"/>
      <c r="Q126" s="38"/>
      <c r="R126" s="200"/>
      <c r="S126" s="38"/>
      <c r="T126" s="38"/>
      <c r="U126" s="208"/>
      <c r="V126" s="38"/>
      <c r="W126" s="38"/>
      <c r="X126" s="38"/>
      <c r="Y126" s="38"/>
      <c r="Z126" s="38"/>
      <c r="AA126" s="38"/>
      <c r="AB126" s="38"/>
      <c r="AC126" s="38"/>
      <c r="AD126" s="38"/>
      <c r="AE126" s="200"/>
      <c r="AF126" s="38"/>
      <c r="AG126" s="38"/>
      <c r="AH126" s="38"/>
      <c r="AI126" s="38"/>
      <c r="AJ126" s="38"/>
      <c r="AK126" s="200"/>
      <c r="AL126" s="209"/>
      <c r="AM126" s="200"/>
      <c r="AN126" s="200"/>
      <c r="AO126" s="209"/>
      <c r="AP126" s="200"/>
    </row>
    <row x14ac:dyDescent="0.25" r="127" customHeight="1" ht="18.75">
      <c r="A127" s="38"/>
      <c r="B127" s="257"/>
      <c r="C127" s="258"/>
      <c r="D127" s="209"/>
      <c r="E127" s="209"/>
      <c r="F127" s="38"/>
      <c r="G127" s="79"/>
      <c r="H127" s="209"/>
      <c r="I127" s="38"/>
      <c r="J127" s="38"/>
      <c r="K127" s="200"/>
      <c r="L127" s="38"/>
      <c r="M127" s="200"/>
      <c r="N127" s="208"/>
      <c r="O127" s="38"/>
      <c r="P127" s="38"/>
      <c r="Q127" s="38"/>
      <c r="R127" s="200"/>
      <c r="S127" s="38"/>
      <c r="T127" s="38"/>
      <c r="U127" s="208"/>
      <c r="V127" s="38"/>
      <c r="W127" s="38"/>
      <c r="X127" s="38"/>
      <c r="Y127" s="38"/>
      <c r="Z127" s="38"/>
      <c r="AA127" s="38"/>
      <c r="AB127" s="38"/>
      <c r="AC127" s="38"/>
      <c r="AD127" s="38"/>
      <c r="AE127" s="200"/>
      <c r="AF127" s="38"/>
      <c r="AG127" s="38"/>
      <c r="AH127" s="38"/>
      <c r="AI127" s="38"/>
      <c r="AJ127" s="38"/>
      <c r="AK127" s="200"/>
      <c r="AL127" s="209"/>
      <c r="AM127" s="200"/>
      <c r="AN127" s="200"/>
      <c r="AO127" s="209"/>
      <c r="AP127" s="200"/>
    </row>
    <row x14ac:dyDescent="0.25" r="128" customHeight="1" ht="18.75">
      <c r="A128" s="38"/>
      <c r="B128" s="257"/>
      <c r="C128" s="258"/>
      <c r="D128" s="209"/>
      <c r="E128" s="209"/>
      <c r="F128" s="38"/>
      <c r="G128" s="79"/>
      <c r="H128" s="209"/>
      <c r="I128" s="209"/>
      <c r="J128" s="209"/>
      <c r="K128" s="200"/>
      <c r="L128" s="209"/>
      <c r="M128" s="200"/>
      <c r="N128" s="208"/>
      <c r="O128" s="209"/>
      <c r="P128" s="209"/>
      <c r="Q128" s="209"/>
      <c r="R128" s="200"/>
      <c r="S128" s="209"/>
      <c r="T128" s="38"/>
      <c r="U128" s="208"/>
      <c r="V128" s="209"/>
      <c r="W128" s="209"/>
      <c r="X128" s="209"/>
      <c r="Y128" s="38"/>
      <c r="Z128" s="209"/>
      <c r="AA128" s="38"/>
      <c r="AB128" s="209"/>
      <c r="AC128" s="209"/>
      <c r="AD128" s="209"/>
      <c r="AE128" s="200"/>
      <c r="AF128" s="209"/>
      <c r="AG128" s="38"/>
      <c r="AH128" s="209"/>
      <c r="AI128" s="209"/>
      <c r="AJ128" s="209"/>
      <c r="AK128" s="200"/>
      <c r="AL128" s="209"/>
      <c r="AM128" s="200"/>
      <c r="AN128" s="200"/>
      <c r="AO128" s="209"/>
      <c r="AP128" s="200"/>
    </row>
    <row x14ac:dyDescent="0.25" r="129" customHeight="1" ht="18.75">
      <c r="A129" s="38"/>
      <c r="B129" s="257"/>
      <c r="C129" s="258"/>
      <c r="D129" s="209"/>
      <c r="E129" s="209"/>
      <c r="F129" s="38"/>
      <c r="G129" s="79"/>
      <c r="H129" s="209"/>
      <c r="I129" s="209"/>
      <c r="J129" s="209"/>
      <c r="K129" s="200"/>
      <c r="L129" s="209"/>
      <c r="M129" s="200"/>
      <c r="N129" s="208"/>
      <c r="O129" s="209"/>
      <c r="P129" s="209"/>
      <c r="Q129" s="209"/>
      <c r="R129" s="200"/>
      <c r="S129" s="209"/>
      <c r="T129" s="38"/>
      <c r="U129" s="208"/>
      <c r="V129" s="209"/>
      <c r="W129" s="209"/>
      <c r="X129" s="209"/>
      <c r="Y129" s="38"/>
      <c r="Z129" s="209"/>
      <c r="AA129" s="38"/>
      <c r="AB129" s="209"/>
      <c r="AC129" s="209"/>
      <c r="AD129" s="209"/>
      <c r="AE129" s="200"/>
      <c r="AF129" s="209"/>
      <c r="AG129" s="38"/>
      <c r="AH129" s="209"/>
      <c r="AI129" s="209"/>
      <c r="AJ129" s="209"/>
      <c r="AK129" s="200"/>
      <c r="AL129" s="209"/>
      <c r="AM129" s="200"/>
      <c r="AN129" s="200"/>
      <c r="AO129" s="209"/>
      <c r="AP129" s="200"/>
    </row>
    <row x14ac:dyDescent="0.25" r="130" customHeight="1" ht="18.75">
      <c r="A130" s="38"/>
      <c r="B130" s="257"/>
      <c r="C130" s="258"/>
      <c r="D130" s="209"/>
      <c r="E130" s="209"/>
      <c r="F130" s="38"/>
      <c r="G130" s="79"/>
      <c r="H130" s="209"/>
      <c r="I130" s="209"/>
      <c r="J130" s="209"/>
      <c r="K130" s="200"/>
      <c r="L130" s="209"/>
      <c r="M130" s="200"/>
      <c r="N130" s="208"/>
      <c r="O130" s="209"/>
      <c r="P130" s="209"/>
      <c r="Q130" s="209"/>
      <c r="R130" s="200"/>
      <c r="S130" s="209"/>
      <c r="T130" s="38"/>
      <c r="U130" s="208"/>
      <c r="V130" s="209"/>
      <c r="W130" s="209"/>
      <c r="X130" s="209"/>
      <c r="Y130" s="38"/>
      <c r="Z130" s="209"/>
      <c r="AA130" s="38"/>
      <c r="AB130" s="209"/>
      <c r="AC130" s="209"/>
      <c r="AD130" s="209"/>
      <c r="AE130" s="200"/>
      <c r="AF130" s="209"/>
      <c r="AG130" s="38"/>
      <c r="AH130" s="209"/>
      <c r="AI130" s="209"/>
      <c r="AJ130" s="209"/>
      <c r="AK130" s="200"/>
      <c r="AL130" s="209"/>
      <c r="AM130" s="200"/>
      <c r="AN130" s="200"/>
      <c r="AO130" s="209"/>
      <c r="AP130" s="200"/>
    </row>
    <row x14ac:dyDescent="0.25" r="131" customHeight="1" ht="18.75">
      <c r="A131" s="38"/>
      <c r="B131" s="257"/>
      <c r="C131" s="258"/>
      <c r="D131" s="209"/>
      <c r="E131" s="209"/>
      <c r="F131" s="38"/>
      <c r="G131" s="79"/>
      <c r="H131" s="209"/>
      <c r="I131" s="209"/>
      <c r="J131" s="209"/>
      <c r="K131" s="200"/>
      <c r="L131" s="209"/>
      <c r="M131" s="200"/>
      <c r="N131" s="208"/>
      <c r="O131" s="209"/>
      <c r="P131" s="209"/>
      <c r="Q131" s="209"/>
      <c r="R131" s="200"/>
      <c r="S131" s="209"/>
      <c r="T131" s="38"/>
      <c r="U131" s="208"/>
      <c r="V131" s="209"/>
      <c r="W131" s="209"/>
      <c r="X131" s="209"/>
      <c r="Y131" s="38"/>
      <c r="Z131" s="209"/>
      <c r="AA131" s="38"/>
      <c r="AB131" s="209"/>
      <c r="AC131" s="209"/>
      <c r="AD131" s="209"/>
      <c r="AE131" s="200"/>
      <c r="AF131" s="209"/>
      <c r="AG131" s="38"/>
      <c r="AH131" s="209"/>
      <c r="AI131" s="209"/>
      <c r="AJ131" s="209"/>
      <c r="AK131" s="200"/>
      <c r="AL131" s="209"/>
      <c r="AM131" s="200"/>
      <c r="AN131" s="200"/>
      <c r="AO131" s="209"/>
      <c r="AP131" s="200"/>
    </row>
    <row x14ac:dyDescent="0.25" r="132" customHeight="1" ht="18.75">
      <c r="A132" s="38"/>
      <c r="B132" s="257"/>
      <c r="C132" s="258"/>
      <c r="D132" s="209"/>
      <c r="E132" s="209"/>
      <c r="F132" s="38"/>
      <c r="G132" s="79"/>
      <c r="H132" s="209"/>
      <c r="I132" s="209"/>
      <c r="J132" s="209"/>
      <c r="K132" s="200"/>
      <c r="L132" s="209"/>
      <c r="M132" s="200"/>
      <c r="N132" s="208"/>
      <c r="O132" s="209"/>
      <c r="P132" s="209"/>
      <c r="Q132" s="209"/>
      <c r="R132" s="200"/>
      <c r="S132" s="209"/>
      <c r="T132" s="38"/>
      <c r="U132" s="208"/>
      <c r="V132" s="209"/>
      <c r="W132" s="209"/>
      <c r="X132" s="209"/>
      <c r="Y132" s="38"/>
      <c r="Z132" s="209"/>
      <c r="AA132" s="38"/>
      <c r="AB132" s="209"/>
      <c r="AC132" s="209"/>
      <c r="AD132" s="209"/>
      <c r="AE132" s="200"/>
      <c r="AF132" s="209"/>
      <c r="AG132" s="38"/>
      <c r="AH132" s="209"/>
      <c r="AI132" s="209"/>
      <c r="AJ132" s="209"/>
      <c r="AK132" s="200"/>
      <c r="AL132" s="209"/>
      <c r="AM132" s="200"/>
      <c r="AN132" s="200"/>
      <c r="AO132" s="209"/>
      <c r="AP132" s="200"/>
    </row>
    <row x14ac:dyDescent="0.25" r="133" customHeight="1" ht="18.75">
      <c r="A133" s="38"/>
      <c r="B133" s="257"/>
      <c r="C133" s="258"/>
      <c r="D133" s="209"/>
      <c r="E133" s="209"/>
      <c r="F133" s="38"/>
      <c r="G133" s="79"/>
      <c r="H133" s="209"/>
      <c r="I133" s="209"/>
      <c r="J133" s="209"/>
      <c r="K133" s="200"/>
      <c r="L133" s="209"/>
      <c r="M133" s="200"/>
      <c r="N133" s="208"/>
      <c r="O133" s="209"/>
      <c r="P133" s="209"/>
      <c r="Q133" s="209"/>
      <c r="R133" s="200"/>
      <c r="S133" s="209"/>
      <c r="T133" s="38"/>
      <c r="U133" s="208"/>
      <c r="V133" s="209"/>
      <c r="W133" s="209"/>
      <c r="X133" s="209"/>
      <c r="Y133" s="38"/>
      <c r="Z133" s="209"/>
      <c r="AA133" s="38"/>
      <c r="AB133" s="209"/>
      <c r="AC133" s="209"/>
      <c r="AD133" s="209"/>
      <c r="AE133" s="200"/>
      <c r="AF133" s="209"/>
      <c r="AG133" s="38"/>
      <c r="AH133" s="209"/>
      <c r="AI133" s="209"/>
      <c r="AJ133" s="209"/>
      <c r="AK133" s="200"/>
      <c r="AL133" s="209"/>
      <c r="AM133" s="200"/>
      <c r="AN133" s="200"/>
      <c r="AO133" s="209"/>
      <c r="AP133" s="200"/>
    </row>
    <row x14ac:dyDescent="0.25" r="134" customHeight="1" ht="18.75">
      <c r="A134" s="38"/>
      <c r="B134" s="257"/>
      <c r="C134" s="258"/>
      <c r="D134" s="209"/>
      <c r="E134" s="209"/>
      <c r="F134" s="38"/>
      <c r="G134" s="79"/>
      <c r="H134" s="209"/>
      <c r="I134" s="209"/>
      <c r="J134" s="209"/>
      <c r="K134" s="200"/>
      <c r="L134" s="209"/>
      <c r="M134" s="200"/>
      <c r="N134" s="208"/>
      <c r="O134" s="209"/>
      <c r="P134" s="209"/>
      <c r="Q134" s="209"/>
      <c r="R134" s="200"/>
      <c r="S134" s="209"/>
      <c r="T134" s="38"/>
      <c r="U134" s="208"/>
      <c r="V134" s="209"/>
      <c r="W134" s="209"/>
      <c r="X134" s="209"/>
      <c r="Y134" s="38"/>
      <c r="Z134" s="209"/>
      <c r="AA134" s="38"/>
      <c r="AB134" s="209"/>
      <c r="AC134" s="209"/>
      <c r="AD134" s="209"/>
      <c r="AE134" s="200"/>
      <c r="AF134" s="209"/>
      <c r="AG134" s="38"/>
      <c r="AH134" s="209"/>
      <c r="AI134" s="209"/>
      <c r="AJ134" s="209"/>
      <c r="AK134" s="200"/>
      <c r="AL134" s="209"/>
      <c r="AM134" s="200"/>
      <c r="AN134" s="200"/>
      <c r="AO134" s="209"/>
      <c r="AP134" s="200"/>
    </row>
    <row x14ac:dyDescent="0.25" r="135" customHeight="1" ht="18.75">
      <c r="A135" s="38"/>
      <c r="B135" s="257"/>
      <c r="C135" s="258"/>
      <c r="D135" s="209"/>
      <c r="E135" s="209"/>
      <c r="F135" s="38"/>
      <c r="G135" s="79"/>
      <c r="H135" s="209"/>
      <c r="I135" s="209"/>
      <c r="J135" s="209"/>
      <c r="K135" s="200"/>
      <c r="L135" s="209"/>
      <c r="M135" s="200"/>
      <c r="N135" s="208"/>
      <c r="O135" s="209"/>
      <c r="P135" s="209"/>
      <c r="Q135" s="209"/>
      <c r="R135" s="200"/>
      <c r="S135" s="209"/>
      <c r="T135" s="38"/>
      <c r="U135" s="208"/>
      <c r="V135" s="209"/>
      <c r="W135" s="209"/>
      <c r="X135" s="209"/>
      <c r="Y135" s="38"/>
      <c r="Z135" s="209"/>
      <c r="AA135" s="38"/>
      <c r="AB135" s="209"/>
      <c r="AC135" s="209"/>
      <c r="AD135" s="209"/>
      <c r="AE135" s="200"/>
      <c r="AF135" s="209"/>
      <c r="AG135" s="38"/>
      <c r="AH135" s="209"/>
      <c r="AI135" s="209"/>
      <c r="AJ135" s="209"/>
      <c r="AK135" s="200"/>
      <c r="AL135" s="209"/>
      <c r="AM135" s="200"/>
      <c r="AN135" s="200"/>
      <c r="AO135" s="209"/>
      <c r="AP135" s="200"/>
    </row>
    <row x14ac:dyDescent="0.25" r="136" customHeight="1" ht="18.75">
      <c r="A136" s="38"/>
      <c r="B136" s="257"/>
      <c r="C136" s="258"/>
      <c r="D136" s="209"/>
      <c r="E136" s="209"/>
      <c r="F136" s="38"/>
      <c r="G136" s="79"/>
      <c r="H136" s="209"/>
      <c r="I136" s="209"/>
      <c r="J136" s="209"/>
      <c r="K136" s="200"/>
      <c r="L136" s="209"/>
      <c r="M136" s="200"/>
      <c r="N136" s="208"/>
      <c r="O136" s="209"/>
      <c r="P136" s="209"/>
      <c r="Q136" s="209"/>
      <c r="R136" s="200"/>
      <c r="S136" s="209"/>
      <c r="T136" s="38"/>
      <c r="U136" s="208"/>
      <c r="V136" s="209"/>
      <c r="W136" s="209"/>
      <c r="X136" s="209"/>
      <c r="Y136" s="38"/>
      <c r="Z136" s="209"/>
      <c r="AA136" s="38"/>
      <c r="AB136" s="209"/>
      <c r="AC136" s="209"/>
      <c r="AD136" s="209"/>
      <c r="AE136" s="200"/>
      <c r="AF136" s="209"/>
      <c r="AG136" s="38"/>
      <c r="AH136" s="209"/>
      <c r="AI136" s="209"/>
      <c r="AJ136" s="209"/>
      <c r="AK136" s="200"/>
      <c r="AL136" s="209"/>
      <c r="AM136" s="200"/>
      <c r="AN136" s="200"/>
      <c r="AO136" s="209"/>
      <c r="AP136" s="200"/>
    </row>
    <row x14ac:dyDescent="0.25" r="137" customHeight="1" ht="18.75">
      <c r="A137" s="38"/>
      <c r="B137" s="257"/>
      <c r="C137" s="258"/>
      <c r="D137" s="209"/>
      <c r="E137" s="209"/>
      <c r="F137" s="38"/>
      <c r="G137" s="79"/>
      <c r="H137" s="209"/>
      <c r="I137" s="209"/>
      <c r="J137" s="209"/>
      <c r="K137" s="200"/>
      <c r="L137" s="209"/>
      <c r="M137" s="200"/>
      <c r="N137" s="208"/>
      <c r="O137" s="209"/>
      <c r="P137" s="209"/>
      <c r="Q137" s="209"/>
      <c r="R137" s="200"/>
      <c r="S137" s="209"/>
      <c r="T137" s="38"/>
      <c r="U137" s="208"/>
      <c r="V137" s="209"/>
      <c r="W137" s="209"/>
      <c r="X137" s="209"/>
      <c r="Y137" s="38"/>
      <c r="Z137" s="209"/>
      <c r="AA137" s="38"/>
      <c r="AB137" s="209"/>
      <c r="AC137" s="209"/>
      <c r="AD137" s="209"/>
      <c r="AE137" s="200"/>
      <c r="AF137" s="209"/>
      <c r="AG137" s="38"/>
      <c r="AH137" s="209"/>
      <c r="AI137" s="209"/>
      <c r="AJ137" s="209"/>
      <c r="AK137" s="200"/>
      <c r="AL137" s="209"/>
      <c r="AM137" s="200"/>
      <c r="AN137" s="200"/>
      <c r="AO137" s="209"/>
      <c r="AP137" s="200"/>
    </row>
    <row x14ac:dyDescent="0.25" r="138" customHeight="1" ht="18.75">
      <c r="A138" s="38"/>
      <c r="B138" s="257"/>
      <c r="C138" s="258"/>
      <c r="D138" s="209"/>
      <c r="E138" s="209"/>
      <c r="F138" s="38"/>
      <c r="G138" s="79"/>
      <c r="H138" s="209"/>
      <c r="I138" s="209"/>
      <c r="J138" s="209"/>
      <c r="K138" s="200"/>
      <c r="L138" s="209"/>
      <c r="M138" s="200"/>
      <c r="N138" s="208"/>
      <c r="O138" s="209"/>
      <c r="P138" s="209"/>
      <c r="Q138" s="209"/>
      <c r="R138" s="200"/>
      <c r="S138" s="209"/>
      <c r="T138" s="38"/>
      <c r="U138" s="208"/>
      <c r="V138" s="209"/>
      <c r="W138" s="209"/>
      <c r="X138" s="209"/>
      <c r="Y138" s="38"/>
      <c r="Z138" s="209"/>
      <c r="AA138" s="38"/>
      <c r="AB138" s="209"/>
      <c r="AC138" s="209"/>
      <c r="AD138" s="209"/>
      <c r="AE138" s="200"/>
      <c r="AF138" s="209"/>
      <c r="AG138" s="38"/>
      <c r="AH138" s="209"/>
      <c r="AI138" s="209"/>
      <c r="AJ138" s="209"/>
      <c r="AK138" s="200"/>
      <c r="AL138" s="209"/>
      <c r="AM138" s="200"/>
      <c r="AN138" s="200"/>
      <c r="AO138" s="209"/>
      <c r="AP138" s="200"/>
    </row>
    <row x14ac:dyDescent="0.25" r="139" customHeight="1" ht="18.75">
      <c r="A139" s="38"/>
      <c r="B139" s="257"/>
      <c r="C139" s="258"/>
      <c r="D139" s="209"/>
      <c r="E139" s="209"/>
      <c r="F139" s="38"/>
      <c r="G139" s="79"/>
      <c r="H139" s="209"/>
      <c r="I139" s="209"/>
      <c r="J139" s="209"/>
      <c r="K139" s="200"/>
      <c r="L139" s="209"/>
      <c r="M139" s="200"/>
      <c r="N139" s="208"/>
      <c r="O139" s="209"/>
      <c r="P139" s="209"/>
      <c r="Q139" s="209"/>
      <c r="R139" s="200"/>
      <c r="S139" s="209"/>
      <c r="T139" s="38"/>
      <c r="U139" s="208"/>
      <c r="V139" s="209"/>
      <c r="W139" s="209"/>
      <c r="X139" s="209"/>
      <c r="Y139" s="38"/>
      <c r="Z139" s="209"/>
      <c r="AA139" s="38"/>
      <c r="AB139" s="209"/>
      <c r="AC139" s="209"/>
      <c r="AD139" s="209"/>
      <c r="AE139" s="200"/>
      <c r="AF139" s="209"/>
      <c r="AG139" s="38"/>
      <c r="AH139" s="209"/>
      <c r="AI139" s="209"/>
      <c r="AJ139" s="209"/>
      <c r="AK139" s="200"/>
      <c r="AL139" s="209"/>
      <c r="AM139" s="200"/>
      <c r="AN139" s="200"/>
      <c r="AO139" s="209"/>
      <c r="AP139" s="200"/>
    </row>
    <row x14ac:dyDescent="0.25" r="140" customHeight="1" ht="18.75">
      <c r="A140" s="38"/>
      <c r="B140" s="257"/>
      <c r="C140" s="258"/>
      <c r="D140" s="209"/>
      <c r="E140" s="209"/>
      <c r="F140" s="38"/>
      <c r="G140" s="79"/>
      <c r="H140" s="209"/>
      <c r="I140" s="209"/>
      <c r="J140" s="209"/>
      <c r="K140" s="200"/>
      <c r="L140" s="209"/>
      <c r="M140" s="200"/>
      <c r="N140" s="208"/>
      <c r="O140" s="209"/>
      <c r="P140" s="209"/>
      <c r="Q140" s="209"/>
      <c r="R140" s="200"/>
      <c r="S140" s="209"/>
      <c r="T140" s="38"/>
      <c r="U140" s="208"/>
      <c r="V140" s="209"/>
      <c r="W140" s="209"/>
      <c r="X140" s="209"/>
      <c r="Y140" s="38"/>
      <c r="Z140" s="209"/>
      <c r="AA140" s="38"/>
      <c r="AB140" s="209"/>
      <c r="AC140" s="209"/>
      <c r="AD140" s="209"/>
      <c r="AE140" s="200"/>
      <c r="AF140" s="209"/>
      <c r="AG140" s="38"/>
      <c r="AH140" s="209"/>
      <c r="AI140" s="209"/>
      <c r="AJ140" s="209"/>
      <c r="AK140" s="200"/>
      <c r="AL140" s="209"/>
      <c r="AM140" s="200"/>
      <c r="AN140" s="200"/>
      <c r="AO140" s="209"/>
      <c r="AP140" s="200"/>
    </row>
    <row x14ac:dyDescent="0.25" r="141" customHeight="1" ht="18.75">
      <c r="A141" s="38"/>
      <c r="B141" s="257"/>
      <c r="C141" s="258"/>
      <c r="D141" s="209"/>
      <c r="E141" s="209"/>
      <c r="F141" s="38"/>
      <c r="G141" s="79"/>
      <c r="H141" s="209"/>
      <c r="I141" s="209"/>
      <c r="J141" s="209"/>
      <c r="K141" s="200"/>
      <c r="L141" s="209"/>
      <c r="M141" s="200"/>
      <c r="N141" s="208"/>
      <c r="O141" s="209"/>
      <c r="P141" s="209"/>
      <c r="Q141" s="209"/>
      <c r="R141" s="200"/>
      <c r="S141" s="209"/>
      <c r="T141" s="38"/>
      <c r="U141" s="208"/>
      <c r="V141" s="209"/>
      <c r="W141" s="209"/>
      <c r="X141" s="209"/>
      <c r="Y141" s="38"/>
      <c r="Z141" s="209"/>
      <c r="AA141" s="38"/>
      <c r="AB141" s="209"/>
      <c r="AC141" s="209"/>
      <c r="AD141" s="209"/>
      <c r="AE141" s="200"/>
      <c r="AF141" s="209"/>
      <c r="AG141" s="38"/>
      <c r="AH141" s="209"/>
      <c r="AI141" s="209"/>
      <c r="AJ141" s="209"/>
      <c r="AK141" s="200"/>
      <c r="AL141" s="209"/>
      <c r="AM141" s="200"/>
      <c r="AN141" s="200"/>
      <c r="AO141" s="209"/>
      <c r="AP141" s="200"/>
    </row>
    <row x14ac:dyDescent="0.25" r="142" customHeight="1" ht="18.75">
      <c r="A142" s="38"/>
      <c r="B142" s="257"/>
      <c r="C142" s="258"/>
      <c r="D142" s="209"/>
      <c r="E142" s="209"/>
      <c r="F142" s="38"/>
      <c r="G142" s="79"/>
      <c r="H142" s="209"/>
      <c r="I142" s="209"/>
      <c r="J142" s="209"/>
      <c r="K142" s="200"/>
      <c r="L142" s="209"/>
      <c r="M142" s="200"/>
      <c r="N142" s="208"/>
      <c r="O142" s="209"/>
      <c r="P142" s="209"/>
      <c r="Q142" s="209"/>
      <c r="R142" s="200"/>
      <c r="S142" s="209"/>
      <c r="T142" s="38"/>
      <c r="U142" s="208"/>
      <c r="V142" s="209"/>
      <c r="W142" s="209"/>
      <c r="X142" s="209"/>
      <c r="Y142" s="38"/>
      <c r="Z142" s="209"/>
      <c r="AA142" s="38"/>
      <c r="AB142" s="209"/>
      <c r="AC142" s="209"/>
      <c r="AD142" s="209"/>
      <c r="AE142" s="200"/>
      <c r="AF142" s="209"/>
      <c r="AG142" s="38"/>
      <c r="AH142" s="209"/>
      <c r="AI142" s="209"/>
      <c r="AJ142" s="209"/>
      <c r="AK142" s="200"/>
      <c r="AL142" s="209"/>
      <c r="AM142" s="200"/>
      <c r="AN142" s="200"/>
      <c r="AO142" s="209"/>
      <c r="AP142" s="200"/>
    </row>
    <row x14ac:dyDescent="0.25" r="143" customHeight="1" ht="18.75">
      <c r="A143" s="38"/>
      <c r="B143" s="257"/>
      <c r="C143" s="258"/>
      <c r="D143" s="209"/>
      <c r="E143" s="209"/>
      <c r="F143" s="38"/>
      <c r="G143" s="79"/>
      <c r="H143" s="209"/>
      <c r="I143" s="209"/>
      <c r="J143" s="209"/>
      <c r="K143" s="200"/>
      <c r="L143" s="209"/>
      <c r="M143" s="200"/>
      <c r="N143" s="208"/>
      <c r="O143" s="209"/>
      <c r="P143" s="209"/>
      <c r="Q143" s="209"/>
      <c r="R143" s="200"/>
      <c r="S143" s="209"/>
      <c r="T143" s="38"/>
      <c r="U143" s="208"/>
      <c r="V143" s="209"/>
      <c r="W143" s="209"/>
      <c r="X143" s="209"/>
      <c r="Y143" s="38"/>
      <c r="Z143" s="209"/>
      <c r="AA143" s="38"/>
      <c r="AB143" s="209"/>
      <c r="AC143" s="209"/>
      <c r="AD143" s="209"/>
      <c r="AE143" s="200"/>
      <c r="AF143" s="209"/>
      <c r="AG143" s="38"/>
      <c r="AH143" s="209"/>
      <c r="AI143" s="209"/>
      <c r="AJ143" s="209"/>
      <c r="AK143" s="200"/>
      <c r="AL143" s="209"/>
      <c r="AM143" s="200"/>
      <c r="AN143" s="200"/>
      <c r="AO143" s="209"/>
      <c r="AP143" s="200"/>
    </row>
    <row x14ac:dyDescent="0.25" r="144" customHeight="1" ht="18.75">
      <c r="A144" s="38"/>
      <c r="B144" s="257"/>
      <c r="C144" s="258"/>
      <c r="D144" s="209"/>
      <c r="E144" s="209"/>
      <c r="F144" s="38"/>
      <c r="G144" s="79"/>
      <c r="H144" s="209"/>
      <c r="I144" s="209"/>
      <c r="J144" s="209"/>
      <c r="K144" s="200"/>
      <c r="L144" s="209"/>
      <c r="M144" s="200"/>
      <c r="N144" s="208"/>
      <c r="O144" s="209"/>
      <c r="P144" s="209"/>
      <c r="Q144" s="209"/>
      <c r="R144" s="200"/>
      <c r="S144" s="209"/>
      <c r="T144" s="38"/>
      <c r="U144" s="208"/>
      <c r="V144" s="209"/>
      <c r="W144" s="209"/>
      <c r="X144" s="209"/>
      <c r="Y144" s="38"/>
      <c r="Z144" s="209"/>
      <c r="AA144" s="38"/>
      <c r="AB144" s="209"/>
      <c r="AC144" s="209"/>
      <c r="AD144" s="209"/>
      <c r="AE144" s="200"/>
      <c r="AF144" s="209"/>
      <c r="AG144" s="38"/>
      <c r="AH144" s="209"/>
      <c r="AI144" s="209"/>
      <c r="AJ144" s="209"/>
      <c r="AK144" s="200"/>
      <c r="AL144" s="209"/>
      <c r="AM144" s="200"/>
      <c r="AN144" s="200"/>
      <c r="AO144" s="209"/>
      <c r="AP144" s="200"/>
    </row>
    <row x14ac:dyDescent="0.25" r="145" customHeight="1" ht="18.75">
      <c r="A145" s="38"/>
      <c r="B145" s="257"/>
      <c r="C145" s="258"/>
      <c r="D145" s="209"/>
      <c r="E145" s="209"/>
      <c r="F145" s="38"/>
      <c r="G145" s="79"/>
      <c r="H145" s="209"/>
      <c r="I145" s="209"/>
      <c r="J145" s="209"/>
      <c r="K145" s="200"/>
      <c r="L145" s="209"/>
      <c r="M145" s="200"/>
      <c r="N145" s="208"/>
      <c r="O145" s="209"/>
      <c r="P145" s="209"/>
      <c r="Q145" s="209"/>
      <c r="R145" s="200"/>
      <c r="S145" s="209"/>
      <c r="T145" s="38"/>
      <c r="U145" s="208"/>
      <c r="V145" s="209"/>
      <c r="W145" s="209"/>
      <c r="X145" s="209"/>
      <c r="Y145" s="38"/>
      <c r="Z145" s="209"/>
      <c r="AA145" s="38"/>
      <c r="AB145" s="209"/>
      <c r="AC145" s="209"/>
      <c r="AD145" s="209"/>
      <c r="AE145" s="200"/>
      <c r="AF145" s="209"/>
      <c r="AG145" s="38"/>
      <c r="AH145" s="209"/>
      <c r="AI145" s="209"/>
      <c r="AJ145" s="209"/>
      <c r="AK145" s="200"/>
      <c r="AL145" s="209"/>
      <c r="AM145" s="200"/>
      <c r="AN145" s="200"/>
      <c r="AO145" s="209"/>
      <c r="AP145" s="200"/>
    </row>
    <row x14ac:dyDescent="0.25" r="146" customHeight="1" ht="18.75">
      <c r="A146" s="38"/>
      <c r="B146" s="257"/>
      <c r="C146" s="258"/>
      <c r="D146" s="209"/>
      <c r="E146" s="209"/>
      <c r="F146" s="38"/>
      <c r="G146" s="79"/>
      <c r="H146" s="209"/>
      <c r="I146" s="209"/>
      <c r="J146" s="209"/>
      <c r="K146" s="200"/>
      <c r="L146" s="209"/>
      <c r="M146" s="200"/>
      <c r="N146" s="208"/>
      <c r="O146" s="209"/>
      <c r="P146" s="209"/>
      <c r="Q146" s="209"/>
      <c r="R146" s="200"/>
      <c r="S146" s="209"/>
      <c r="T146" s="38"/>
      <c r="U146" s="208"/>
      <c r="V146" s="209"/>
      <c r="W146" s="209"/>
      <c r="X146" s="209"/>
      <c r="Y146" s="38"/>
      <c r="Z146" s="209"/>
      <c r="AA146" s="38"/>
      <c r="AB146" s="209"/>
      <c r="AC146" s="209"/>
      <c r="AD146" s="209"/>
      <c r="AE146" s="200"/>
      <c r="AF146" s="209"/>
      <c r="AG146" s="38"/>
      <c r="AH146" s="209"/>
      <c r="AI146" s="209"/>
      <c r="AJ146" s="209"/>
      <c r="AK146" s="200"/>
      <c r="AL146" s="209"/>
      <c r="AM146" s="200"/>
      <c r="AN146" s="200"/>
      <c r="AO146" s="209"/>
      <c r="AP146" s="200"/>
    </row>
    <row x14ac:dyDescent="0.25" r="147" customHeight="1" ht="18.75">
      <c r="A147" s="38"/>
      <c r="B147" s="257"/>
      <c r="C147" s="258"/>
      <c r="D147" s="209"/>
      <c r="E147" s="209"/>
      <c r="F147" s="38"/>
      <c r="G147" s="79"/>
      <c r="H147" s="209"/>
      <c r="I147" s="209"/>
      <c r="J147" s="209"/>
      <c r="K147" s="200"/>
      <c r="L147" s="209"/>
      <c r="M147" s="200"/>
      <c r="N147" s="208"/>
      <c r="O147" s="209"/>
      <c r="P147" s="209"/>
      <c r="Q147" s="209"/>
      <c r="R147" s="200"/>
      <c r="S147" s="209"/>
      <c r="T147" s="38"/>
      <c r="U147" s="208"/>
      <c r="V147" s="209"/>
      <c r="W147" s="209"/>
      <c r="X147" s="209"/>
      <c r="Y147" s="38"/>
      <c r="Z147" s="209"/>
      <c r="AA147" s="38"/>
      <c r="AB147" s="209"/>
      <c r="AC147" s="209"/>
      <c r="AD147" s="209"/>
      <c r="AE147" s="200"/>
      <c r="AF147" s="209"/>
      <c r="AG147" s="38"/>
      <c r="AH147" s="209"/>
      <c r="AI147" s="209"/>
      <c r="AJ147" s="209"/>
      <c r="AK147" s="200"/>
      <c r="AL147" s="209"/>
      <c r="AM147" s="200"/>
      <c r="AN147" s="200"/>
      <c r="AO147" s="209"/>
      <c r="AP147" s="200"/>
    </row>
    <row x14ac:dyDescent="0.25" r="148" customHeight="1" ht="18.75">
      <c r="A148" s="38"/>
      <c r="B148" s="257"/>
      <c r="C148" s="258"/>
      <c r="D148" s="209"/>
      <c r="E148" s="209"/>
      <c r="F148" s="38"/>
      <c r="G148" s="79"/>
      <c r="H148" s="209"/>
      <c r="I148" s="209"/>
      <c r="J148" s="209"/>
      <c r="K148" s="200"/>
      <c r="L148" s="209"/>
      <c r="M148" s="200"/>
      <c r="N148" s="208"/>
      <c r="O148" s="209"/>
      <c r="P148" s="209"/>
      <c r="Q148" s="209"/>
      <c r="R148" s="200"/>
      <c r="S148" s="209"/>
      <c r="T148" s="38"/>
      <c r="U148" s="208"/>
      <c r="V148" s="209"/>
      <c r="W148" s="209"/>
      <c r="X148" s="209"/>
      <c r="Y148" s="38"/>
      <c r="Z148" s="209"/>
      <c r="AA148" s="38"/>
      <c r="AB148" s="209"/>
      <c r="AC148" s="209"/>
      <c r="AD148" s="209"/>
      <c r="AE148" s="200"/>
      <c r="AF148" s="209"/>
      <c r="AG148" s="38"/>
      <c r="AH148" s="209"/>
      <c r="AI148" s="209"/>
      <c r="AJ148" s="209"/>
      <c r="AK148" s="200"/>
      <c r="AL148" s="209"/>
      <c r="AM148" s="200"/>
      <c r="AN148" s="200"/>
      <c r="AO148" s="209"/>
      <c r="AP148" s="200"/>
    </row>
    <row x14ac:dyDescent="0.25" r="149" customHeight="1" ht="18.75">
      <c r="A149" s="38"/>
      <c r="B149" s="257"/>
      <c r="C149" s="258"/>
      <c r="D149" s="209"/>
      <c r="E149" s="209"/>
      <c r="F149" s="38"/>
      <c r="G149" s="79"/>
      <c r="H149" s="209"/>
      <c r="I149" s="209"/>
      <c r="J149" s="209"/>
      <c r="K149" s="200"/>
      <c r="L149" s="209"/>
      <c r="M149" s="200"/>
      <c r="N149" s="208"/>
      <c r="O149" s="209"/>
      <c r="P149" s="209"/>
      <c r="Q149" s="209"/>
      <c r="R149" s="200"/>
      <c r="S149" s="209"/>
      <c r="T149" s="38"/>
      <c r="U149" s="208"/>
      <c r="V149" s="209"/>
      <c r="W149" s="209"/>
      <c r="X149" s="209"/>
      <c r="Y149" s="38"/>
      <c r="Z149" s="209"/>
      <c r="AA149" s="38"/>
      <c r="AB149" s="209"/>
      <c r="AC149" s="209"/>
      <c r="AD149" s="209"/>
      <c r="AE149" s="200"/>
      <c r="AF149" s="209"/>
      <c r="AG149" s="38"/>
      <c r="AH149" s="209"/>
      <c r="AI149" s="209"/>
      <c r="AJ149" s="209"/>
      <c r="AK149" s="200"/>
      <c r="AL149" s="209"/>
      <c r="AM149" s="200"/>
      <c r="AN149" s="200"/>
      <c r="AO149" s="209"/>
      <c r="AP149" s="200"/>
    </row>
    <row x14ac:dyDescent="0.25" r="150" customHeight="1" ht="18.75">
      <c r="A150" s="38"/>
      <c r="B150" s="257"/>
      <c r="C150" s="258"/>
      <c r="D150" s="209"/>
      <c r="E150" s="209"/>
      <c r="F150" s="38"/>
      <c r="G150" s="79"/>
      <c r="H150" s="209"/>
      <c r="I150" s="209"/>
      <c r="J150" s="209"/>
      <c r="K150" s="200"/>
      <c r="L150" s="209"/>
      <c r="M150" s="200"/>
      <c r="N150" s="208"/>
      <c r="O150" s="209"/>
      <c r="P150" s="209"/>
      <c r="Q150" s="209"/>
      <c r="R150" s="200"/>
      <c r="S150" s="209"/>
      <c r="T150" s="38"/>
      <c r="U150" s="208"/>
      <c r="V150" s="209"/>
      <c r="W150" s="209"/>
      <c r="X150" s="209"/>
      <c r="Y150" s="38"/>
      <c r="Z150" s="209"/>
      <c r="AA150" s="38"/>
      <c r="AB150" s="209"/>
      <c r="AC150" s="209"/>
      <c r="AD150" s="209"/>
      <c r="AE150" s="200"/>
      <c r="AF150" s="209"/>
      <c r="AG150" s="38"/>
      <c r="AH150" s="209"/>
      <c r="AI150" s="209"/>
      <c r="AJ150" s="209"/>
      <c r="AK150" s="200"/>
      <c r="AL150" s="209"/>
      <c r="AM150" s="200"/>
      <c r="AN150" s="200"/>
      <c r="AO150" s="209"/>
      <c r="AP150" s="200"/>
    </row>
    <row x14ac:dyDescent="0.25" r="151" customHeight="1" ht="18.75">
      <c r="A151" s="38"/>
      <c r="B151" s="257"/>
      <c r="C151" s="258"/>
      <c r="D151" s="209"/>
      <c r="E151" s="209"/>
      <c r="F151" s="38"/>
      <c r="G151" s="79"/>
      <c r="H151" s="209"/>
      <c r="I151" s="209"/>
      <c r="J151" s="209"/>
      <c r="K151" s="200"/>
      <c r="L151" s="209"/>
      <c r="M151" s="200"/>
      <c r="N151" s="208"/>
      <c r="O151" s="209"/>
      <c r="P151" s="209"/>
      <c r="Q151" s="209"/>
      <c r="R151" s="200"/>
      <c r="S151" s="209"/>
      <c r="T151" s="38"/>
      <c r="U151" s="208"/>
      <c r="V151" s="209"/>
      <c r="W151" s="209"/>
      <c r="X151" s="209"/>
      <c r="Y151" s="38"/>
      <c r="Z151" s="209"/>
      <c r="AA151" s="38"/>
      <c r="AB151" s="209"/>
      <c r="AC151" s="209"/>
      <c r="AD151" s="209"/>
      <c r="AE151" s="200"/>
      <c r="AF151" s="209"/>
      <c r="AG151" s="38"/>
      <c r="AH151" s="209"/>
      <c r="AI151" s="209"/>
      <c r="AJ151" s="209"/>
      <c r="AK151" s="200"/>
      <c r="AL151" s="209"/>
      <c r="AM151" s="200"/>
      <c r="AN151" s="200"/>
      <c r="AO151" s="209"/>
      <c r="AP151" s="200"/>
    </row>
    <row x14ac:dyDescent="0.25" r="152" customHeight="1" ht="18.75">
      <c r="A152" s="38"/>
      <c r="B152" s="257"/>
      <c r="C152" s="258"/>
      <c r="D152" s="209"/>
      <c r="E152" s="209"/>
      <c r="F152" s="38"/>
      <c r="G152" s="79"/>
      <c r="H152" s="209"/>
      <c r="I152" s="209"/>
      <c r="J152" s="209"/>
      <c r="K152" s="200"/>
      <c r="L152" s="209"/>
      <c r="M152" s="200"/>
      <c r="N152" s="208"/>
      <c r="O152" s="209"/>
      <c r="P152" s="209"/>
      <c r="Q152" s="209"/>
      <c r="R152" s="200"/>
      <c r="S152" s="209"/>
      <c r="T152" s="38"/>
      <c r="U152" s="208"/>
      <c r="V152" s="209"/>
      <c r="W152" s="209"/>
      <c r="X152" s="209"/>
      <c r="Y152" s="38"/>
      <c r="Z152" s="209"/>
      <c r="AA152" s="38"/>
      <c r="AB152" s="209"/>
      <c r="AC152" s="209"/>
      <c r="AD152" s="209"/>
      <c r="AE152" s="200"/>
      <c r="AF152" s="209"/>
      <c r="AG152" s="38"/>
      <c r="AH152" s="209"/>
      <c r="AI152" s="209"/>
      <c r="AJ152" s="209"/>
      <c r="AK152" s="200"/>
      <c r="AL152" s="209"/>
      <c r="AM152" s="200"/>
      <c r="AN152" s="200"/>
      <c r="AO152" s="209"/>
      <c r="AP152" s="200"/>
    </row>
    <row x14ac:dyDescent="0.25" r="153" customHeight="1" ht="18.75">
      <c r="A153" s="38"/>
      <c r="B153" s="257"/>
      <c r="C153" s="258"/>
      <c r="D153" s="209"/>
      <c r="E153" s="209"/>
      <c r="F153" s="38"/>
      <c r="G153" s="79"/>
      <c r="H153" s="209"/>
      <c r="I153" s="209"/>
      <c r="J153" s="209"/>
      <c r="K153" s="200"/>
      <c r="L153" s="209"/>
      <c r="M153" s="200"/>
      <c r="N153" s="208"/>
      <c r="O153" s="209"/>
      <c r="P153" s="209"/>
      <c r="Q153" s="209"/>
      <c r="R153" s="200"/>
      <c r="S153" s="209"/>
      <c r="T153" s="38"/>
      <c r="U153" s="208"/>
      <c r="V153" s="209"/>
      <c r="W153" s="209"/>
      <c r="X153" s="209"/>
      <c r="Y153" s="38"/>
      <c r="Z153" s="209"/>
      <c r="AA153" s="38"/>
      <c r="AB153" s="209"/>
      <c r="AC153" s="209"/>
      <c r="AD153" s="209"/>
      <c r="AE153" s="200"/>
      <c r="AF153" s="209"/>
      <c r="AG153" s="38"/>
      <c r="AH153" s="209"/>
      <c r="AI153" s="209"/>
      <c r="AJ153" s="209"/>
      <c r="AK153" s="200"/>
      <c r="AL153" s="209"/>
      <c r="AM153" s="200"/>
      <c r="AN153" s="200"/>
      <c r="AO153" s="209"/>
      <c r="AP153" s="200"/>
    </row>
    <row x14ac:dyDescent="0.25" r="154" customHeight="1" ht="18.75">
      <c r="A154" s="38"/>
      <c r="B154" s="257"/>
      <c r="C154" s="258"/>
      <c r="D154" s="209"/>
      <c r="E154" s="209"/>
      <c r="F154" s="38"/>
      <c r="G154" s="79"/>
      <c r="H154" s="209"/>
      <c r="I154" s="209"/>
      <c r="J154" s="209"/>
      <c r="K154" s="200"/>
      <c r="L154" s="209"/>
      <c r="M154" s="200"/>
      <c r="N154" s="208"/>
      <c r="O154" s="209"/>
      <c r="P154" s="209"/>
      <c r="Q154" s="209"/>
      <c r="R154" s="200"/>
      <c r="S154" s="209"/>
      <c r="T154" s="38"/>
      <c r="U154" s="208"/>
      <c r="V154" s="209"/>
      <c r="W154" s="209"/>
      <c r="X154" s="209"/>
      <c r="Y154" s="38"/>
      <c r="Z154" s="209"/>
      <c r="AA154" s="38"/>
      <c r="AB154" s="209"/>
      <c r="AC154" s="209"/>
      <c r="AD154" s="209"/>
      <c r="AE154" s="200"/>
      <c r="AF154" s="209"/>
      <c r="AG154" s="38"/>
      <c r="AH154" s="209"/>
      <c r="AI154" s="209"/>
      <c r="AJ154" s="209"/>
      <c r="AK154" s="200"/>
      <c r="AL154" s="209"/>
      <c r="AM154" s="200"/>
      <c r="AN154" s="200"/>
      <c r="AO154" s="209"/>
      <c r="AP154" s="200"/>
    </row>
    <row x14ac:dyDescent="0.25" r="155" customHeight="1" ht="18.75">
      <c r="A155" s="38"/>
      <c r="B155" s="257"/>
      <c r="C155" s="258"/>
      <c r="D155" s="209"/>
      <c r="E155" s="209"/>
      <c r="F155" s="38"/>
      <c r="G155" s="79"/>
      <c r="H155" s="209"/>
      <c r="I155" s="209"/>
      <c r="J155" s="209"/>
      <c r="K155" s="200"/>
      <c r="L155" s="209"/>
      <c r="M155" s="200"/>
      <c r="N155" s="208"/>
      <c r="O155" s="209"/>
      <c r="P155" s="209"/>
      <c r="Q155" s="209"/>
      <c r="R155" s="200"/>
      <c r="S155" s="209"/>
      <c r="T155" s="38"/>
      <c r="U155" s="208"/>
      <c r="V155" s="209"/>
      <c r="W155" s="209"/>
      <c r="X155" s="209"/>
      <c r="Y155" s="38"/>
      <c r="Z155" s="209"/>
      <c r="AA155" s="38"/>
      <c r="AB155" s="209"/>
      <c r="AC155" s="209"/>
      <c r="AD155" s="209"/>
      <c r="AE155" s="200"/>
      <c r="AF155" s="209"/>
      <c r="AG155" s="38"/>
      <c r="AH155" s="209"/>
      <c r="AI155" s="209"/>
      <c r="AJ155" s="209"/>
      <c r="AK155" s="200"/>
      <c r="AL155" s="209"/>
      <c r="AM155" s="200"/>
      <c r="AN155" s="200"/>
      <c r="AO155" s="209"/>
      <c r="AP155" s="200"/>
    </row>
    <row x14ac:dyDescent="0.25" r="156" customHeight="1" ht="18.75">
      <c r="A156" s="38"/>
      <c r="B156" s="257"/>
      <c r="C156" s="258"/>
      <c r="D156" s="209"/>
      <c r="E156" s="209"/>
      <c r="F156" s="38"/>
      <c r="G156" s="79"/>
      <c r="H156" s="209"/>
      <c r="I156" s="209"/>
      <c r="J156" s="209"/>
      <c r="K156" s="200"/>
      <c r="L156" s="209"/>
      <c r="M156" s="200"/>
      <c r="N156" s="208"/>
      <c r="O156" s="209"/>
      <c r="P156" s="209"/>
      <c r="Q156" s="209"/>
      <c r="R156" s="200"/>
      <c r="S156" s="209"/>
      <c r="T156" s="38"/>
      <c r="U156" s="208"/>
      <c r="V156" s="209"/>
      <c r="W156" s="209"/>
      <c r="X156" s="209"/>
      <c r="Y156" s="38"/>
      <c r="Z156" s="209"/>
      <c r="AA156" s="38"/>
      <c r="AB156" s="209"/>
      <c r="AC156" s="209"/>
      <c r="AD156" s="209"/>
      <c r="AE156" s="200"/>
      <c r="AF156" s="209"/>
      <c r="AG156" s="38"/>
      <c r="AH156" s="209"/>
      <c r="AI156" s="209"/>
      <c r="AJ156" s="209"/>
      <c r="AK156" s="200"/>
      <c r="AL156" s="209"/>
      <c r="AM156" s="200"/>
      <c r="AN156" s="200"/>
      <c r="AO156" s="209"/>
      <c r="AP156" s="200"/>
    </row>
    <row x14ac:dyDescent="0.25" r="157" customHeight="1" ht="18.75">
      <c r="A157" s="38"/>
      <c r="B157" s="257"/>
      <c r="C157" s="258"/>
      <c r="D157" s="209"/>
      <c r="E157" s="209"/>
      <c r="F157" s="38"/>
      <c r="G157" s="79"/>
      <c r="H157" s="209"/>
      <c r="I157" s="209"/>
      <c r="J157" s="209"/>
      <c r="K157" s="200"/>
      <c r="L157" s="209"/>
      <c r="M157" s="200"/>
      <c r="N157" s="208"/>
      <c r="O157" s="209"/>
      <c r="P157" s="209"/>
      <c r="Q157" s="209"/>
      <c r="R157" s="200"/>
      <c r="S157" s="209"/>
      <c r="T157" s="38"/>
      <c r="U157" s="208"/>
      <c r="V157" s="209"/>
      <c r="W157" s="209"/>
      <c r="X157" s="209"/>
      <c r="Y157" s="38"/>
      <c r="Z157" s="209"/>
      <c r="AA157" s="38"/>
      <c r="AB157" s="209"/>
      <c r="AC157" s="209"/>
      <c r="AD157" s="209"/>
      <c r="AE157" s="200"/>
      <c r="AF157" s="209"/>
      <c r="AG157" s="38"/>
      <c r="AH157" s="209"/>
      <c r="AI157" s="209"/>
      <c r="AJ157" s="209"/>
      <c r="AK157" s="200"/>
      <c r="AL157" s="209"/>
      <c r="AM157" s="200"/>
      <c r="AN157" s="200"/>
      <c r="AO157" s="209"/>
      <c r="AP157" s="200"/>
    </row>
    <row x14ac:dyDescent="0.25" r="158" customHeight="1" ht="18.75">
      <c r="A158" s="38"/>
      <c r="B158" s="257"/>
      <c r="C158" s="258"/>
      <c r="D158" s="209"/>
      <c r="E158" s="209"/>
      <c r="F158" s="38"/>
      <c r="G158" s="79"/>
      <c r="H158" s="209"/>
      <c r="I158" s="209"/>
      <c r="J158" s="209"/>
      <c r="K158" s="200"/>
      <c r="L158" s="209"/>
      <c r="M158" s="200"/>
      <c r="N158" s="208"/>
      <c r="O158" s="209"/>
      <c r="P158" s="209"/>
      <c r="Q158" s="209"/>
      <c r="R158" s="200"/>
      <c r="S158" s="209"/>
      <c r="T158" s="38"/>
      <c r="U158" s="208"/>
      <c r="V158" s="209"/>
      <c r="W158" s="209"/>
      <c r="X158" s="209"/>
      <c r="Y158" s="38"/>
      <c r="Z158" s="209"/>
      <c r="AA158" s="38"/>
      <c r="AB158" s="209"/>
      <c r="AC158" s="209"/>
      <c r="AD158" s="209"/>
      <c r="AE158" s="200"/>
      <c r="AF158" s="209"/>
      <c r="AG158" s="38"/>
      <c r="AH158" s="209"/>
      <c r="AI158" s="209"/>
      <c r="AJ158" s="209"/>
      <c r="AK158" s="200"/>
      <c r="AL158" s="209"/>
      <c r="AM158" s="200"/>
      <c r="AN158" s="200"/>
      <c r="AO158" s="209"/>
      <c r="AP158" s="200"/>
    </row>
    <row x14ac:dyDescent="0.25" r="159" customHeight="1" ht="18.75">
      <c r="A159" s="38"/>
      <c r="B159" s="257"/>
      <c r="C159" s="258"/>
      <c r="D159" s="209"/>
      <c r="E159" s="209"/>
      <c r="F159" s="38"/>
      <c r="G159" s="79"/>
      <c r="H159" s="209"/>
      <c r="I159" s="209"/>
      <c r="J159" s="209"/>
      <c r="K159" s="200"/>
      <c r="L159" s="209"/>
      <c r="M159" s="200"/>
      <c r="N159" s="208"/>
      <c r="O159" s="209"/>
      <c r="P159" s="209"/>
      <c r="Q159" s="209"/>
      <c r="R159" s="200"/>
      <c r="S159" s="209"/>
      <c r="T159" s="38"/>
      <c r="U159" s="208"/>
      <c r="V159" s="209"/>
      <c r="W159" s="209"/>
      <c r="X159" s="209"/>
      <c r="Y159" s="38"/>
      <c r="Z159" s="209"/>
      <c r="AA159" s="38"/>
      <c r="AB159" s="209"/>
      <c r="AC159" s="209"/>
      <c r="AD159" s="209"/>
      <c r="AE159" s="200"/>
      <c r="AF159" s="209"/>
      <c r="AG159" s="38"/>
      <c r="AH159" s="209"/>
      <c r="AI159" s="209"/>
      <c r="AJ159" s="209"/>
      <c r="AK159" s="200"/>
      <c r="AL159" s="209"/>
      <c r="AM159" s="200"/>
      <c r="AN159" s="200"/>
      <c r="AO159" s="209"/>
      <c r="AP159" s="200"/>
    </row>
    <row x14ac:dyDescent="0.25" r="160" customHeight="1" ht="18.75">
      <c r="A160" s="38"/>
      <c r="B160" s="257"/>
      <c r="C160" s="258"/>
      <c r="D160" s="209"/>
      <c r="E160" s="209"/>
      <c r="F160" s="38"/>
      <c r="G160" s="79"/>
      <c r="H160" s="209"/>
      <c r="I160" s="209"/>
      <c r="J160" s="209"/>
      <c r="K160" s="200"/>
      <c r="L160" s="209"/>
      <c r="M160" s="200"/>
      <c r="N160" s="208"/>
      <c r="O160" s="209"/>
      <c r="P160" s="209"/>
      <c r="Q160" s="209"/>
      <c r="R160" s="200"/>
      <c r="S160" s="209"/>
      <c r="T160" s="38"/>
      <c r="U160" s="208"/>
      <c r="V160" s="209"/>
      <c r="W160" s="209"/>
      <c r="X160" s="209"/>
      <c r="Y160" s="38"/>
      <c r="Z160" s="209"/>
      <c r="AA160" s="38"/>
      <c r="AB160" s="209"/>
      <c r="AC160" s="209"/>
      <c r="AD160" s="209"/>
      <c r="AE160" s="200"/>
      <c r="AF160" s="209"/>
      <c r="AG160" s="38"/>
      <c r="AH160" s="209"/>
      <c r="AI160" s="209"/>
      <c r="AJ160" s="209"/>
      <c r="AK160" s="200"/>
      <c r="AL160" s="209"/>
      <c r="AM160" s="200"/>
      <c r="AN160" s="200"/>
      <c r="AO160" s="209"/>
      <c r="AP160" s="200"/>
    </row>
    <row x14ac:dyDescent="0.25" r="161" customHeight="1" ht="18.75">
      <c r="A161" s="38"/>
      <c r="B161" s="257"/>
      <c r="C161" s="258"/>
      <c r="D161" s="209"/>
      <c r="E161" s="209"/>
      <c r="F161" s="38"/>
      <c r="G161" s="79"/>
      <c r="H161" s="209"/>
      <c r="I161" s="209"/>
      <c r="J161" s="209"/>
      <c r="K161" s="200"/>
      <c r="L161" s="209"/>
      <c r="M161" s="200"/>
      <c r="N161" s="208"/>
      <c r="O161" s="209"/>
      <c r="P161" s="209"/>
      <c r="Q161" s="209"/>
      <c r="R161" s="200"/>
      <c r="S161" s="209"/>
      <c r="T161" s="38"/>
      <c r="U161" s="208"/>
      <c r="V161" s="209"/>
      <c r="W161" s="209"/>
      <c r="X161" s="209"/>
      <c r="Y161" s="38"/>
      <c r="Z161" s="209"/>
      <c r="AA161" s="38"/>
      <c r="AB161" s="209"/>
      <c r="AC161" s="209"/>
      <c r="AD161" s="209"/>
      <c r="AE161" s="200"/>
      <c r="AF161" s="209"/>
      <c r="AG161" s="38"/>
      <c r="AH161" s="209"/>
      <c r="AI161" s="209"/>
      <c r="AJ161" s="209"/>
      <c r="AK161" s="200"/>
      <c r="AL161" s="209"/>
      <c r="AM161" s="200"/>
      <c r="AN161" s="200"/>
      <c r="AO161" s="209"/>
      <c r="AP161" s="200"/>
    </row>
    <row x14ac:dyDescent="0.25" r="162" customHeight="1" ht="18.75">
      <c r="A162" s="38"/>
      <c r="B162" s="257"/>
      <c r="C162" s="258"/>
      <c r="D162" s="209"/>
      <c r="E162" s="209"/>
      <c r="F162" s="38"/>
      <c r="G162" s="79"/>
      <c r="H162" s="209"/>
      <c r="I162" s="209"/>
      <c r="J162" s="209"/>
      <c r="K162" s="200"/>
      <c r="L162" s="209"/>
      <c r="M162" s="200"/>
      <c r="N162" s="208"/>
      <c r="O162" s="209"/>
      <c r="P162" s="209"/>
      <c r="Q162" s="209"/>
      <c r="R162" s="200"/>
      <c r="S162" s="209"/>
      <c r="T162" s="38"/>
      <c r="U162" s="208"/>
      <c r="V162" s="209"/>
      <c r="W162" s="209"/>
      <c r="X162" s="209"/>
      <c r="Y162" s="38"/>
      <c r="Z162" s="209"/>
      <c r="AA162" s="38"/>
      <c r="AB162" s="209"/>
      <c r="AC162" s="209"/>
      <c r="AD162" s="209"/>
      <c r="AE162" s="200"/>
      <c r="AF162" s="209"/>
      <c r="AG162" s="38"/>
      <c r="AH162" s="209"/>
      <c r="AI162" s="209"/>
      <c r="AJ162" s="209"/>
      <c r="AK162" s="200"/>
      <c r="AL162" s="209"/>
      <c r="AM162" s="200"/>
      <c r="AN162" s="200"/>
      <c r="AO162" s="209"/>
      <c r="AP162" s="200"/>
    </row>
    <row x14ac:dyDescent="0.25" r="163" customHeight="1" ht="18.75">
      <c r="A163" s="38"/>
      <c r="B163" s="257"/>
      <c r="C163" s="258"/>
      <c r="D163" s="209"/>
      <c r="E163" s="209"/>
      <c r="F163" s="38"/>
      <c r="G163" s="79"/>
      <c r="H163" s="209"/>
      <c r="I163" s="209"/>
      <c r="J163" s="209"/>
      <c r="K163" s="200"/>
      <c r="L163" s="209"/>
      <c r="M163" s="200"/>
      <c r="N163" s="208"/>
      <c r="O163" s="209"/>
      <c r="P163" s="209"/>
      <c r="Q163" s="209"/>
      <c r="R163" s="200"/>
      <c r="S163" s="209"/>
      <c r="T163" s="38"/>
      <c r="U163" s="208"/>
      <c r="V163" s="209"/>
      <c r="W163" s="209"/>
      <c r="X163" s="209"/>
      <c r="Y163" s="38"/>
      <c r="Z163" s="209"/>
      <c r="AA163" s="38"/>
      <c r="AB163" s="209"/>
      <c r="AC163" s="209"/>
      <c r="AD163" s="209"/>
      <c r="AE163" s="200"/>
      <c r="AF163" s="209"/>
      <c r="AG163" s="38"/>
      <c r="AH163" s="209"/>
      <c r="AI163" s="209"/>
      <c r="AJ163" s="209"/>
      <c r="AK163" s="200"/>
      <c r="AL163" s="209"/>
      <c r="AM163" s="200"/>
      <c r="AN163" s="200"/>
      <c r="AO163" s="209"/>
      <c r="AP163" s="200"/>
    </row>
    <row x14ac:dyDescent="0.25" r="164" customHeight="1" ht="18.75">
      <c r="A164" s="38"/>
      <c r="B164" s="257"/>
      <c r="C164" s="258"/>
      <c r="D164" s="209"/>
      <c r="E164" s="209"/>
      <c r="F164" s="38"/>
      <c r="G164" s="79"/>
      <c r="H164" s="209"/>
      <c r="I164" s="209"/>
      <c r="J164" s="209"/>
      <c r="K164" s="200"/>
      <c r="L164" s="209"/>
      <c r="M164" s="200"/>
      <c r="N164" s="208"/>
      <c r="O164" s="209"/>
      <c r="P164" s="209"/>
      <c r="Q164" s="209"/>
      <c r="R164" s="200"/>
      <c r="S164" s="209"/>
      <c r="T164" s="38"/>
      <c r="U164" s="208"/>
      <c r="V164" s="209"/>
      <c r="W164" s="209"/>
      <c r="X164" s="209"/>
      <c r="Y164" s="38"/>
      <c r="Z164" s="209"/>
      <c r="AA164" s="38"/>
      <c r="AB164" s="209"/>
      <c r="AC164" s="209"/>
      <c r="AD164" s="209"/>
      <c r="AE164" s="200"/>
      <c r="AF164" s="209"/>
      <c r="AG164" s="38"/>
      <c r="AH164" s="209"/>
      <c r="AI164" s="209"/>
      <c r="AJ164" s="209"/>
      <c r="AK164" s="200"/>
      <c r="AL164" s="209"/>
      <c r="AM164" s="200"/>
      <c r="AN164" s="200"/>
      <c r="AO164" s="209"/>
      <c r="AP164" s="200"/>
    </row>
    <row x14ac:dyDescent="0.25" r="165" customHeight="1" ht="18.75">
      <c r="A165" s="38"/>
      <c r="B165" s="257"/>
      <c r="C165" s="258"/>
      <c r="D165" s="209"/>
      <c r="E165" s="209"/>
      <c r="F165" s="38"/>
      <c r="G165" s="79"/>
      <c r="H165" s="209"/>
      <c r="I165" s="209"/>
      <c r="J165" s="209"/>
      <c r="K165" s="200"/>
      <c r="L165" s="209"/>
      <c r="M165" s="200"/>
      <c r="N165" s="208"/>
      <c r="O165" s="209"/>
      <c r="P165" s="209"/>
      <c r="Q165" s="209"/>
      <c r="R165" s="200"/>
      <c r="S165" s="209"/>
      <c r="T165" s="38"/>
      <c r="U165" s="208"/>
      <c r="V165" s="209"/>
      <c r="W165" s="209"/>
      <c r="X165" s="209"/>
      <c r="Y165" s="38"/>
      <c r="Z165" s="209"/>
      <c r="AA165" s="38"/>
      <c r="AB165" s="209"/>
      <c r="AC165" s="209"/>
      <c r="AD165" s="209"/>
      <c r="AE165" s="200"/>
      <c r="AF165" s="209"/>
      <c r="AG165" s="38"/>
      <c r="AH165" s="209"/>
      <c r="AI165" s="209"/>
      <c r="AJ165" s="209"/>
      <c r="AK165" s="200"/>
      <c r="AL165" s="209"/>
      <c r="AM165" s="200"/>
      <c r="AN165" s="200"/>
      <c r="AO165" s="209"/>
      <c r="AP165" s="200"/>
    </row>
    <row x14ac:dyDescent="0.25" r="166" customHeight="1" ht="18.75">
      <c r="A166" s="38"/>
      <c r="B166" s="257"/>
      <c r="C166" s="258"/>
      <c r="D166" s="209"/>
      <c r="E166" s="209"/>
      <c r="F166" s="38"/>
      <c r="G166" s="79"/>
      <c r="H166" s="209"/>
      <c r="I166" s="209"/>
      <c r="J166" s="209"/>
      <c r="K166" s="200"/>
      <c r="L166" s="209"/>
      <c r="M166" s="200"/>
      <c r="N166" s="208"/>
      <c r="O166" s="209"/>
      <c r="P166" s="209"/>
      <c r="Q166" s="209"/>
      <c r="R166" s="200"/>
      <c r="S166" s="209"/>
      <c r="T166" s="38"/>
      <c r="U166" s="208"/>
      <c r="V166" s="209"/>
      <c r="W166" s="209"/>
      <c r="X166" s="209"/>
      <c r="Y166" s="38"/>
      <c r="Z166" s="209"/>
      <c r="AA166" s="38"/>
      <c r="AB166" s="209"/>
      <c r="AC166" s="209"/>
      <c r="AD166" s="209"/>
      <c r="AE166" s="200"/>
      <c r="AF166" s="209"/>
      <c r="AG166" s="38"/>
      <c r="AH166" s="209"/>
      <c r="AI166" s="209"/>
      <c r="AJ166" s="209"/>
      <c r="AK166" s="200"/>
      <c r="AL166" s="209"/>
      <c r="AM166" s="200"/>
      <c r="AN166" s="200"/>
      <c r="AO166" s="209"/>
      <c r="AP166" s="200"/>
    </row>
    <row x14ac:dyDescent="0.25" r="167" customHeight="1" ht="18.75">
      <c r="A167" s="38"/>
      <c r="B167" s="257"/>
      <c r="C167" s="258"/>
      <c r="D167" s="209"/>
      <c r="E167" s="209"/>
      <c r="F167" s="38"/>
      <c r="G167" s="79"/>
      <c r="H167" s="209"/>
      <c r="I167" s="209"/>
      <c r="J167" s="209"/>
      <c r="K167" s="200"/>
      <c r="L167" s="209"/>
      <c r="M167" s="200"/>
      <c r="N167" s="208"/>
      <c r="O167" s="209"/>
      <c r="P167" s="209"/>
      <c r="Q167" s="209"/>
      <c r="R167" s="200"/>
      <c r="S167" s="209"/>
      <c r="T167" s="38"/>
      <c r="U167" s="208"/>
      <c r="V167" s="209"/>
      <c r="W167" s="209"/>
      <c r="X167" s="209"/>
      <c r="Y167" s="38"/>
      <c r="Z167" s="209"/>
      <c r="AA167" s="38"/>
      <c r="AB167" s="209"/>
      <c r="AC167" s="209"/>
      <c r="AD167" s="209"/>
      <c r="AE167" s="200"/>
      <c r="AF167" s="209"/>
      <c r="AG167" s="38"/>
      <c r="AH167" s="209"/>
      <c r="AI167" s="209"/>
      <c r="AJ167" s="209"/>
      <c r="AK167" s="200"/>
      <c r="AL167" s="209"/>
      <c r="AM167" s="200"/>
      <c r="AN167" s="200"/>
      <c r="AO167" s="209"/>
      <c r="AP167" s="200"/>
    </row>
  </sheetData>
  <mergeCells count="16">
    <mergeCell ref="A3:A4"/>
    <mergeCell ref="B3:B4"/>
    <mergeCell ref="C3:C4"/>
    <mergeCell ref="D3:G3"/>
    <mergeCell ref="H3:J3"/>
    <mergeCell ref="K3:N3"/>
    <mergeCell ref="O3:Q3"/>
    <mergeCell ref="R3:U3"/>
    <mergeCell ref="V3:X3"/>
    <mergeCell ref="Y3:AA3"/>
    <mergeCell ref="AB3:AD3"/>
    <mergeCell ref="AE3:AG3"/>
    <mergeCell ref="AH3:AJ3"/>
    <mergeCell ref="AK3:AM3"/>
    <mergeCell ref="AN3:AP3"/>
    <mergeCell ref="A62:C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8"/>
  <sheetViews>
    <sheetView workbookViewId="0"/>
  </sheetViews>
  <sheetFormatPr defaultRowHeight="15" x14ac:dyDescent="0.25"/>
  <cols>
    <col min="1" max="1" style="45" width="7.147857142857143" customWidth="1" bestFit="1"/>
    <col min="2" max="2" style="46" width="9.719285714285713" customWidth="1" bestFit="1"/>
    <col min="3" max="3" style="47" width="40.71928571428572" customWidth="1" bestFit="1"/>
    <col min="4" max="4" style="201" width="10.147857142857141" customWidth="1" bestFit="1"/>
    <col min="5" max="5" style="45" width="11.719285714285713" customWidth="1" bestFit="1"/>
    <col min="6" max="6" style="45" width="16.719285714285714" customWidth="1" bestFit="1"/>
    <col min="7" max="7" style="45" width="10.147857142857141" customWidth="1" bestFit="1"/>
    <col min="8" max="8" style="45" width="11.719285714285713" customWidth="1" bestFit="1"/>
    <col min="9" max="9" style="45" width="16.719285714285714" customWidth="1" bestFit="1"/>
  </cols>
  <sheetData>
    <row x14ac:dyDescent="0.25" r="1" customHeight="1" ht="27.75">
      <c r="A1" s="4" t="s">
        <v>241</v>
      </c>
      <c r="B1" s="61"/>
      <c r="C1" s="62"/>
      <c r="D1" s="199"/>
      <c r="E1" s="4"/>
      <c r="F1" s="4"/>
      <c r="G1" s="4"/>
      <c r="H1" s="4"/>
      <c r="I1" s="4"/>
    </row>
    <row x14ac:dyDescent="0.25" r="2" customHeight="1" ht="27.75">
      <c r="A2" s="38"/>
      <c r="B2" s="39"/>
      <c r="C2" s="5"/>
      <c r="D2" s="200"/>
      <c r="E2" s="110"/>
      <c r="F2" s="66" t="s">
        <v>199</v>
      </c>
      <c r="G2" s="66"/>
      <c r="H2" s="66"/>
      <c r="I2" s="66"/>
    </row>
    <row x14ac:dyDescent="0.25" r="3" customHeight="1" ht="42">
      <c r="A3" s="50" t="s">
        <v>1</v>
      </c>
      <c r="B3" s="51" t="s">
        <v>2</v>
      </c>
      <c r="C3" s="52" t="s">
        <v>3</v>
      </c>
      <c r="D3" s="13" t="s">
        <v>235</v>
      </c>
      <c r="E3" s="14"/>
      <c r="F3" s="14"/>
      <c r="G3" s="13" t="s">
        <v>236</v>
      </c>
      <c r="H3" s="14"/>
      <c r="I3" s="15"/>
    </row>
    <row x14ac:dyDescent="0.25" r="4" customHeight="1" ht="27.75">
      <c r="A4" s="9"/>
      <c r="B4" s="13"/>
      <c r="C4" s="53"/>
      <c r="D4" s="13" t="s">
        <v>9</v>
      </c>
      <c r="E4" s="54" t="s">
        <v>10</v>
      </c>
      <c r="F4" s="13" t="s">
        <v>11</v>
      </c>
      <c r="G4" s="13" t="s">
        <v>9</v>
      </c>
      <c r="H4" s="19" t="s">
        <v>10</v>
      </c>
      <c r="I4" s="13" t="s">
        <v>11</v>
      </c>
    </row>
    <row x14ac:dyDescent="0.25" r="5" customHeight="1" ht="42">
      <c r="A5" s="21">
        <v>1</v>
      </c>
      <c r="B5" s="22" t="s">
        <v>12</v>
      </c>
      <c r="C5" s="23" t="s">
        <v>13</v>
      </c>
      <c r="D5" s="24">
        <v>510</v>
      </c>
      <c r="E5" s="56">
        <v>15000</v>
      </c>
      <c r="F5" s="24">
        <v>7575000</v>
      </c>
      <c r="G5" s="24">
        <v>1000</v>
      </c>
      <c r="H5" s="25">
        <v>20000</v>
      </c>
      <c r="I5" s="24">
        <v>20000000</v>
      </c>
    </row>
    <row x14ac:dyDescent="0.25" r="6" customHeight="1" ht="42">
      <c r="A6" s="21">
        <v>2</v>
      </c>
      <c r="B6" s="22" t="s">
        <v>14</v>
      </c>
      <c r="C6" s="23" t="s">
        <v>15</v>
      </c>
      <c r="D6" s="24">
        <v>450</v>
      </c>
      <c r="E6" s="56">
        <v>14000</v>
      </c>
      <c r="F6" s="24">
        <v>6258000</v>
      </c>
      <c r="G6" s="24">
        <v>500</v>
      </c>
      <c r="H6" s="25">
        <v>20000</v>
      </c>
      <c r="I6" s="24">
        <v>10000000</v>
      </c>
    </row>
    <row x14ac:dyDescent="0.25" r="7" customHeight="1" ht="42">
      <c r="A7" s="21">
        <v>3</v>
      </c>
      <c r="B7" s="22" t="s">
        <v>17</v>
      </c>
      <c r="C7" s="23" t="s">
        <v>18</v>
      </c>
      <c r="D7" s="24">
        <v>220</v>
      </c>
      <c r="E7" s="56" t="s">
        <v>149</v>
      </c>
      <c r="F7" s="24">
        <v>7958000</v>
      </c>
      <c r="G7" s="24">
        <v>150</v>
      </c>
      <c r="H7" s="25">
        <v>52500</v>
      </c>
      <c r="I7" s="24">
        <v>7875000</v>
      </c>
    </row>
    <row x14ac:dyDescent="0.25" r="8" customHeight="1" ht="42">
      <c r="A8" s="21">
        <v>4</v>
      </c>
      <c r="B8" s="22" t="s">
        <v>19</v>
      </c>
      <c r="C8" s="23" t="s">
        <v>20</v>
      </c>
      <c r="D8" s="24">
        <v>2885</v>
      </c>
      <c r="E8" s="56" t="s">
        <v>150</v>
      </c>
      <c r="F8" s="24">
        <v>110094980</v>
      </c>
      <c r="G8" s="24">
        <v>2983</v>
      </c>
      <c r="H8" s="25">
        <v>53000</v>
      </c>
      <c r="I8" s="24">
        <v>158099000</v>
      </c>
    </row>
    <row x14ac:dyDescent="0.25" r="9" customHeight="1" ht="42">
      <c r="A9" s="21">
        <v>5</v>
      </c>
      <c r="B9" s="22" t="s">
        <v>21</v>
      </c>
      <c r="C9" s="23" t="s">
        <v>22</v>
      </c>
      <c r="D9" s="24">
        <v>1745</v>
      </c>
      <c r="E9" s="56" t="s">
        <v>151</v>
      </c>
      <c r="F9" s="24">
        <v>75502250</v>
      </c>
      <c r="G9" s="24">
        <v>1178</v>
      </c>
      <c r="H9" s="25">
        <v>62500</v>
      </c>
      <c r="I9" s="24">
        <v>73625000</v>
      </c>
    </row>
    <row x14ac:dyDescent="0.25" r="10" customHeight="1" ht="42">
      <c r="A10" s="21">
        <v>6</v>
      </c>
      <c r="B10" s="22" t="s">
        <v>23</v>
      </c>
      <c r="C10" s="23" t="s">
        <v>24</v>
      </c>
      <c r="D10" s="24">
        <v>75</v>
      </c>
      <c r="E10" s="56" t="s">
        <v>152</v>
      </c>
      <c r="F10" s="24">
        <v>4680000</v>
      </c>
      <c r="G10" s="24">
        <v>90</v>
      </c>
      <c r="H10" s="25">
        <v>90500</v>
      </c>
      <c r="I10" s="24">
        <v>8145000</v>
      </c>
    </row>
    <row x14ac:dyDescent="0.25" r="11" customHeight="1" ht="42">
      <c r="A11" s="21">
        <v>7</v>
      </c>
      <c r="B11" s="22" t="s">
        <v>25</v>
      </c>
      <c r="C11" s="23" t="s">
        <v>26</v>
      </c>
      <c r="D11" s="24">
        <v>20</v>
      </c>
      <c r="E11" s="56" t="s">
        <v>153</v>
      </c>
      <c r="F11" s="24">
        <v>958000</v>
      </c>
      <c r="G11" s="24">
        <v>171</v>
      </c>
      <c r="H11" s="25">
        <v>64000</v>
      </c>
      <c r="I11" s="24">
        <v>10944000</v>
      </c>
    </row>
    <row x14ac:dyDescent="0.25" r="12" customHeight="1" ht="42">
      <c r="A12" s="21">
        <v>8</v>
      </c>
      <c r="B12" s="22" t="s">
        <v>27</v>
      </c>
      <c r="C12" s="23" t="s">
        <v>28</v>
      </c>
      <c r="D12" s="24">
        <v>610</v>
      </c>
      <c r="E12" s="56" t="s">
        <v>154</v>
      </c>
      <c r="F12" s="24">
        <v>28327200</v>
      </c>
      <c r="G12" s="24">
        <v>511</v>
      </c>
      <c r="H12" s="25">
        <v>64500</v>
      </c>
      <c r="I12" s="24">
        <v>32959500</v>
      </c>
    </row>
    <row x14ac:dyDescent="0.25" r="13" customHeight="1" ht="42">
      <c r="A13" s="21">
        <v>9</v>
      </c>
      <c r="B13" s="22" t="s">
        <v>29</v>
      </c>
      <c r="C13" s="23" t="s">
        <v>30</v>
      </c>
      <c r="D13" s="24">
        <v>20</v>
      </c>
      <c r="E13" s="56">
        <v>49000</v>
      </c>
      <c r="F13" s="24">
        <v>960400</v>
      </c>
      <c r="G13" s="24">
        <v>24</v>
      </c>
      <c r="H13" s="25">
        <v>68500</v>
      </c>
      <c r="I13" s="24">
        <v>1644000</v>
      </c>
    </row>
    <row x14ac:dyDescent="0.25" r="14" customHeight="1" ht="42">
      <c r="A14" s="21">
        <v>10</v>
      </c>
      <c r="B14" s="22" t="s">
        <v>32</v>
      </c>
      <c r="C14" s="23" t="s">
        <v>33</v>
      </c>
      <c r="D14" s="24">
        <v>150</v>
      </c>
      <c r="E14" s="56">
        <v>56700</v>
      </c>
      <c r="F14" s="24">
        <v>8505000</v>
      </c>
      <c r="G14" s="24">
        <v>221</v>
      </c>
      <c r="H14" s="25">
        <v>72500</v>
      </c>
      <c r="I14" s="24">
        <v>16022500</v>
      </c>
    </row>
    <row x14ac:dyDescent="0.25" r="15" customHeight="1" ht="42">
      <c r="A15" s="21">
        <v>11</v>
      </c>
      <c r="B15" s="22" t="s">
        <v>34</v>
      </c>
      <c r="C15" s="23" t="s">
        <v>35</v>
      </c>
      <c r="D15" s="24">
        <v>140</v>
      </c>
      <c r="E15" s="56" t="s">
        <v>155</v>
      </c>
      <c r="F15" s="24">
        <v>8400000</v>
      </c>
      <c r="G15" s="24">
        <v>360</v>
      </c>
      <c r="H15" s="25">
        <v>76500</v>
      </c>
      <c r="I15" s="24">
        <v>27540000</v>
      </c>
    </row>
    <row x14ac:dyDescent="0.25" r="16" customHeight="1" ht="42">
      <c r="A16" s="21">
        <v>12</v>
      </c>
      <c r="B16" s="22" t="s">
        <v>37</v>
      </c>
      <c r="C16" s="23" t="s">
        <v>38</v>
      </c>
      <c r="D16" s="24">
        <v>265</v>
      </c>
      <c r="E16" s="56" t="s">
        <v>156</v>
      </c>
      <c r="F16" s="24">
        <v>14799750</v>
      </c>
      <c r="G16" s="24">
        <v>250</v>
      </c>
      <c r="H16" s="25">
        <v>79000</v>
      </c>
      <c r="I16" s="24">
        <v>19750000</v>
      </c>
    </row>
    <row x14ac:dyDescent="0.25" r="17" customHeight="1" ht="42">
      <c r="A17" s="21">
        <v>13</v>
      </c>
      <c r="B17" s="22" t="s">
        <v>39</v>
      </c>
      <c r="C17" s="23" t="s">
        <v>40</v>
      </c>
      <c r="D17" s="24">
        <v>1585</v>
      </c>
      <c r="E17" s="56" t="s">
        <v>157</v>
      </c>
      <c r="F17" s="24">
        <v>87578280</v>
      </c>
      <c r="G17" s="24">
        <v>1000</v>
      </c>
      <c r="H17" s="25">
        <v>79500</v>
      </c>
      <c r="I17" s="24">
        <v>79500000</v>
      </c>
    </row>
    <row x14ac:dyDescent="0.25" r="18" customHeight="1" ht="42">
      <c r="A18" s="21">
        <v>14</v>
      </c>
      <c r="B18" s="22" t="s">
        <v>42</v>
      </c>
      <c r="C18" s="23" t="s">
        <v>43</v>
      </c>
      <c r="D18" s="24">
        <v>220</v>
      </c>
      <c r="E18" s="56" t="s">
        <v>158</v>
      </c>
      <c r="F18" s="24">
        <v>15761000</v>
      </c>
      <c r="G18" s="24">
        <v>100</v>
      </c>
      <c r="H18" s="25">
        <v>100000</v>
      </c>
      <c r="I18" s="24">
        <v>10000000</v>
      </c>
    </row>
    <row x14ac:dyDescent="0.25" r="19" customHeight="1" ht="42">
      <c r="A19" s="21">
        <v>15</v>
      </c>
      <c r="B19" s="22" t="s">
        <v>44</v>
      </c>
      <c r="C19" s="23" t="s">
        <v>45</v>
      </c>
      <c r="D19" s="24">
        <v>1435</v>
      </c>
      <c r="E19" s="56" t="s">
        <v>159</v>
      </c>
      <c r="F19" s="24">
        <v>87759500</v>
      </c>
      <c r="G19" s="24">
        <v>1072</v>
      </c>
      <c r="H19" s="25">
        <v>84500</v>
      </c>
      <c r="I19" s="24">
        <v>90584000</v>
      </c>
    </row>
    <row x14ac:dyDescent="0.25" r="20" customHeight="1" ht="42">
      <c r="A20" s="21">
        <v>16</v>
      </c>
      <c r="B20" s="22" t="s">
        <v>46</v>
      </c>
      <c r="C20" s="23" t="s">
        <v>47</v>
      </c>
      <c r="D20" s="24">
        <v>1865</v>
      </c>
      <c r="E20" s="56" t="s">
        <v>160</v>
      </c>
      <c r="F20" s="24">
        <v>119917650</v>
      </c>
      <c r="G20" s="24">
        <v>1180</v>
      </c>
      <c r="H20" s="25">
        <v>90000</v>
      </c>
      <c r="I20" s="24">
        <v>106200000</v>
      </c>
    </row>
    <row x14ac:dyDescent="0.25" r="21" customHeight="1" ht="42">
      <c r="A21" s="21">
        <v>17</v>
      </c>
      <c r="B21" s="22" t="s">
        <v>48</v>
      </c>
      <c r="C21" s="23" t="s">
        <v>49</v>
      </c>
      <c r="D21" s="24">
        <v>20</v>
      </c>
      <c r="E21" s="56">
        <v>65500</v>
      </c>
      <c r="F21" s="24">
        <v>1283800</v>
      </c>
      <c r="G21" s="24">
        <v>38</v>
      </c>
      <c r="H21" s="25">
        <v>101000</v>
      </c>
      <c r="I21" s="24">
        <v>3838000</v>
      </c>
    </row>
    <row x14ac:dyDescent="0.25" r="22" customHeight="1" ht="42">
      <c r="A22" s="21">
        <v>18</v>
      </c>
      <c r="B22" s="22" t="s">
        <v>50</v>
      </c>
      <c r="C22" s="23" t="s">
        <v>51</v>
      </c>
      <c r="D22" s="24">
        <v>20</v>
      </c>
      <c r="E22" s="56">
        <v>66500</v>
      </c>
      <c r="F22" s="24">
        <v>1303400</v>
      </c>
      <c r="G22" s="24">
        <v>30</v>
      </c>
      <c r="H22" s="30">
        <v>102000</v>
      </c>
      <c r="I22" s="24">
        <v>3060000</v>
      </c>
    </row>
    <row x14ac:dyDescent="0.25" r="23" customHeight="1" ht="42">
      <c r="A23" s="21">
        <v>19</v>
      </c>
      <c r="B23" s="22" t="s">
        <v>52</v>
      </c>
      <c r="C23" s="23" t="s">
        <v>53</v>
      </c>
      <c r="D23" s="24">
        <v>310</v>
      </c>
      <c r="E23" s="56" t="s">
        <v>161</v>
      </c>
      <c r="F23" s="24">
        <v>30334600</v>
      </c>
      <c r="G23" s="24">
        <v>100</v>
      </c>
      <c r="H23" s="25">
        <v>134000</v>
      </c>
      <c r="I23" s="24">
        <v>13400000</v>
      </c>
    </row>
    <row x14ac:dyDescent="0.25" r="24" customHeight="1" ht="42">
      <c r="A24" s="21">
        <v>20</v>
      </c>
      <c r="B24" s="22" t="s">
        <v>54</v>
      </c>
      <c r="C24" s="23" t="s">
        <v>55</v>
      </c>
      <c r="D24" s="24">
        <v>135</v>
      </c>
      <c r="E24" s="56" t="s">
        <v>162</v>
      </c>
      <c r="F24" s="24">
        <v>13810500</v>
      </c>
      <c r="G24" s="24">
        <v>100</v>
      </c>
      <c r="H24" s="25">
        <v>136000</v>
      </c>
      <c r="I24" s="24">
        <v>13600000</v>
      </c>
    </row>
    <row x14ac:dyDescent="0.25" r="25" customHeight="1" ht="42">
      <c r="A25" s="21">
        <v>21</v>
      </c>
      <c r="B25" s="22" t="s">
        <v>56</v>
      </c>
      <c r="C25" s="23" t="s">
        <v>57</v>
      </c>
      <c r="D25" s="24">
        <v>130</v>
      </c>
      <c r="E25" s="56" t="s">
        <v>163</v>
      </c>
      <c r="F25" s="24">
        <v>14622400</v>
      </c>
      <c r="G25" s="24">
        <v>100</v>
      </c>
      <c r="H25" s="25">
        <v>159000</v>
      </c>
      <c r="I25" s="24">
        <v>15900000</v>
      </c>
    </row>
    <row x14ac:dyDescent="0.25" r="26" customHeight="1" ht="42">
      <c r="A26" s="21">
        <v>22</v>
      </c>
      <c r="B26" s="22" t="s">
        <v>58</v>
      </c>
      <c r="C26" s="23" t="s">
        <v>59</v>
      </c>
      <c r="D26" s="24">
        <v>502</v>
      </c>
      <c r="E26" s="56" t="s">
        <v>164</v>
      </c>
      <c r="F26" s="24">
        <v>40276080</v>
      </c>
      <c r="G26" s="24">
        <v>690</v>
      </c>
      <c r="H26" s="25">
        <v>118000</v>
      </c>
      <c r="I26" s="24">
        <v>81420000</v>
      </c>
    </row>
    <row x14ac:dyDescent="0.25" r="27" customHeight="1" ht="42">
      <c r="A27" s="21">
        <v>23</v>
      </c>
      <c r="B27" s="22" t="s">
        <v>61</v>
      </c>
      <c r="C27" s="23" t="s">
        <v>62</v>
      </c>
      <c r="D27" s="24">
        <v>1676</v>
      </c>
      <c r="E27" s="56" t="s">
        <v>165</v>
      </c>
      <c r="F27" s="24">
        <v>135001520</v>
      </c>
      <c r="G27" s="24">
        <v>993</v>
      </c>
      <c r="H27" s="25">
        <v>119000</v>
      </c>
      <c r="I27" s="24">
        <v>118167000</v>
      </c>
    </row>
    <row x14ac:dyDescent="0.25" r="28" customHeight="1" ht="42">
      <c r="A28" s="21">
        <v>24</v>
      </c>
      <c r="B28" s="22" t="s">
        <v>64</v>
      </c>
      <c r="C28" s="23" t="s">
        <v>65</v>
      </c>
      <c r="D28" s="24">
        <v>427</v>
      </c>
      <c r="E28" s="56" t="s">
        <v>166</v>
      </c>
      <c r="F28" s="24">
        <v>37918750</v>
      </c>
      <c r="G28" s="24">
        <v>250</v>
      </c>
      <c r="H28" s="25">
        <v>128000</v>
      </c>
      <c r="I28" s="24">
        <v>32000000</v>
      </c>
    </row>
    <row x14ac:dyDescent="0.25" r="29" customHeight="1" ht="42">
      <c r="A29" s="21">
        <v>25</v>
      </c>
      <c r="B29" s="22" t="s">
        <v>67</v>
      </c>
      <c r="C29" s="23" t="s">
        <v>68</v>
      </c>
      <c r="D29" s="24"/>
      <c r="E29" s="56"/>
      <c r="F29" s="24"/>
      <c r="G29" s="24"/>
      <c r="H29" s="25"/>
      <c r="I29" s="24"/>
    </row>
    <row x14ac:dyDescent="0.25" r="30" customHeight="1" ht="42">
      <c r="A30" s="21">
        <v>26</v>
      </c>
      <c r="B30" s="22" t="s">
        <v>69</v>
      </c>
      <c r="C30" s="23" t="s">
        <v>70</v>
      </c>
      <c r="D30" s="24"/>
      <c r="E30" s="56"/>
      <c r="F30" s="24"/>
      <c r="G30" s="24"/>
      <c r="H30" s="25"/>
      <c r="I30" s="24"/>
    </row>
    <row x14ac:dyDescent="0.25" r="31" customHeight="1" ht="42">
      <c r="A31" s="21">
        <v>27</v>
      </c>
      <c r="B31" s="22" t="s">
        <v>72</v>
      </c>
      <c r="C31" s="23" t="s">
        <v>73</v>
      </c>
      <c r="D31" s="24">
        <v>668</v>
      </c>
      <c r="E31" s="56" t="s">
        <v>167</v>
      </c>
      <c r="F31" s="24">
        <v>65472240</v>
      </c>
      <c r="G31" s="24">
        <v>762</v>
      </c>
      <c r="H31" s="25">
        <v>134500</v>
      </c>
      <c r="I31" s="24">
        <v>102489000</v>
      </c>
    </row>
    <row x14ac:dyDescent="0.25" r="32" customHeight="1" ht="42">
      <c r="A32" s="21">
        <v>28</v>
      </c>
      <c r="B32" s="22" t="s">
        <v>74</v>
      </c>
      <c r="C32" s="23" t="s">
        <v>75</v>
      </c>
      <c r="D32" s="24">
        <v>2577</v>
      </c>
      <c r="E32" s="56" t="s">
        <v>168</v>
      </c>
      <c r="F32" s="24">
        <v>256473820</v>
      </c>
      <c r="G32" s="24">
        <v>1907</v>
      </c>
      <c r="H32" s="25">
        <v>139000</v>
      </c>
      <c r="I32" s="24">
        <v>265073000</v>
      </c>
    </row>
    <row x14ac:dyDescent="0.25" r="33" customHeight="1" ht="42">
      <c r="A33" s="21">
        <v>29</v>
      </c>
      <c r="B33" s="22" t="s">
        <v>76</v>
      </c>
      <c r="C33" s="23" t="s">
        <v>77</v>
      </c>
      <c r="D33" s="24">
        <v>464</v>
      </c>
      <c r="E33" s="56" t="s">
        <v>169</v>
      </c>
      <c r="F33" s="24">
        <v>54880640</v>
      </c>
      <c r="G33" s="24">
        <v>632</v>
      </c>
      <c r="H33" s="25">
        <v>168000</v>
      </c>
      <c r="I33" s="24">
        <v>106176000</v>
      </c>
    </row>
    <row x14ac:dyDescent="0.25" r="34" customHeight="1" ht="42">
      <c r="A34" s="21">
        <v>30</v>
      </c>
      <c r="B34" s="22" t="s">
        <v>78</v>
      </c>
      <c r="C34" s="23" t="s">
        <v>79</v>
      </c>
      <c r="D34" s="24">
        <v>1458</v>
      </c>
      <c r="E34" s="56" t="s">
        <v>170</v>
      </c>
      <c r="F34" s="24">
        <v>182077680</v>
      </c>
      <c r="G34" s="24">
        <v>1070</v>
      </c>
      <c r="H34" s="25">
        <v>171000</v>
      </c>
      <c r="I34" s="24">
        <v>182970000</v>
      </c>
    </row>
    <row x14ac:dyDescent="0.25" r="35" customHeight="1" ht="42">
      <c r="A35" s="21">
        <v>31</v>
      </c>
      <c r="B35" s="22" t="s">
        <v>80</v>
      </c>
      <c r="C35" s="23" t="s">
        <v>81</v>
      </c>
      <c r="D35" s="24">
        <v>282</v>
      </c>
      <c r="E35" s="56" t="s">
        <v>171</v>
      </c>
      <c r="F35" s="24">
        <v>37817000</v>
      </c>
      <c r="G35" s="24">
        <v>175</v>
      </c>
      <c r="H35" s="25">
        <v>190500</v>
      </c>
      <c r="I35" s="24">
        <v>33337500</v>
      </c>
    </row>
    <row x14ac:dyDescent="0.25" r="36" customHeight="1" ht="42">
      <c r="A36" s="21">
        <v>32</v>
      </c>
      <c r="B36" s="22" t="s">
        <v>82</v>
      </c>
      <c r="C36" s="23" t="s">
        <v>83</v>
      </c>
      <c r="D36" s="24">
        <v>428</v>
      </c>
      <c r="E36" s="56" t="s">
        <v>172</v>
      </c>
      <c r="F36" s="24">
        <v>63738780</v>
      </c>
      <c r="G36" s="24">
        <v>400</v>
      </c>
      <c r="H36" s="25">
        <v>206000</v>
      </c>
      <c r="I36" s="24">
        <v>82400000</v>
      </c>
    </row>
    <row x14ac:dyDescent="0.25" r="37" customHeight="1" ht="42">
      <c r="A37" s="21">
        <v>33</v>
      </c>
      <c r="B37" s="22" t="s">
        <v>84</v>
      </c>
      <c r="C37" s="23" t="s">
        <v>85</v>
      </c>
      <c r="D37" s="24">
        <v>453</v>
      </c>
      <c r="E37" s="56" t="s">
        <v>172</v>
      </c>
      <c r="F37" s="24">
        <v>66684830</v>
      </c>
      <c r="G37" s="24">
        <v>200</v>
      </c>
      <c r="H37" s="25">
        <v>206000</v>
      </c>
      <c r="I37" s="24">
        <v>41200000</v>
      </c>
    </row>
    <row x14ac:dyDescent="0.25" r="38" customHeight="1" ht="42">
      <c r="A38" s="21">
        <v>34</v>
      </c>
      <c r="B38" s="22" t="s">
        <v>86</v>
      </c>
      <c r="C38" s="23" t="s">
        <v>87</v>
      </c>
      <c r="D38" s="24">
        <v>2042</v>
      </c>
      <c r="E38" s="56" t="s">
        <v>173</v>
      </c>
      <c r="F38" s="24">
        <v>321829380</v>
      </c>
      <c r="G38" s="24">
        <v>1565</v>
      </c>
      <c r="H38" s="25">
        <v>213500</v>
      </c>
      <c r="I38" s="24">
        <v>334127500</v>
      </c>
    </row>
    <row x14ac:dyDescent="0.25" r="39" customHeight="1" ht="42">
      <c r="A39" s="21">
        <v>35</v>
      </c>
      <c r="B39" s="31" t="s">
        <v>88</v>
      </c>
      <c r="C39" s="32" t="s">
        <v>89</v>
      </c>
      <c r="D39" s="24">
        <v>175</v>
      </c>
      <c r="E39" s="56" t="s">
        <v>174</v>
      </c>
      <c r="F39" s="24">
        <v>29744000</v>
      </c>
      <c r="G39" s="24">
        <v>200</v>
      </c>
      <c r="H39" s="25" t="s">
        <v>90</v>
      </c>
      <c r="I39" s="24">
        <v>43780000</v>
      </c>
    </row>
    <row x14ac:dyDescent="0.25" r="40" customHeight="1" ht="42">
      <c r="A40" s="21">
        <v>36</v>
      </c>
      <c r="B40" s="22" t="s">
        <v>92</v>
      </c>
      <c r="C40" s="23" t="s">
        <v>93</v>
      </c>
      <c r="D40" s="24">
        <v>65</v>
      </c>
      <c r="E40" s="56" t="s">
        <v>175</v>
      </c>
      <c r="F40" s="24">
        <v>5973500</v>
      </c>
      <c r="G40" s="24">
        <v>30</v>
      </c>
      <c r="H40" s="25">
        <v>128500</v>
      </c>
      <c r="I40" s="24">
        <v>3855000</v>
      </c>
    </row>
    <row x14ac:dyDescent="0.25" r="41" customHeight="1" ht="42">
      <c r="A41" s="21">
        <v>37</v>
      </c>
      <c r="B41" s="22" t="s">
        <v>94</v>
      </c>
      <c r="C41" s="23" t="s">
        <v>95</v>
      </c>
      <c r="D41" s="24">
        <v>35</v>
      </c>
      <c r="E41" s="56">
        <v>191200</v>
      </c>
      <c r="F41" s="24">
        <v>6692000</v>
      </c>
      <c r="G41" s="24">
        <v>150</v>
      </c>
      <c r="H41" s="25">
        <v>247000</v>
      </c>
      <c r="I41" s="24">
        <v>37050000</v>
      </c>
    </row>
    <row x14ac:dyDescent="0.25" r="42" customHeight="1" ht="42">
      <c r="A42" s="21">
        <v>38</v>
      </c>
      <c r="B42" s="22" t="s">
        <v>97</v>
      </c>
      <c r="C42" s="23" t="s">
        <v>98</v>
      </c>
      <c r="D42" s="24">
        <v>619</v>
      </c>
      <c r="E42" s="56" t="s">
        <v>176</v>
      </c>
      <c r="F42" s="24">
        <v>117565560</v>
      </c>
      <c r="G42" s="24">
        <v>650</v>
      </c>
      <c r="H42" s="25">
        <v>256000</v>
      </c>
      <c r="I42" s="24">
        <v>166400000</v>
      </c>
    </row>
    <row x14ac:dyDescent="0.25" r="43" customHeight="1" ht="42">
      <c r="A43" s="21">
        <v>39</v>
      </c>
      <c r="B43" s="22" t="s">
        <v>99</v>
      </c>
      <c r="C43" s="23" t="s">
        <v>100</v>
      </c>
      <c r="D43" s="24">
        <v>30</v>
      </c>
      <c r="E43" s="56">
        <v>198800</v>
      </c>
      <c r="F43" s="24">
        <v>5964000</v>
      </c>
      <c r="G43" s="24">
        <v>0</v>
      </c>
      <c r="H43" s="25">
        <v>257500</v>
      </c>
      <c r="I43" s="24">
        <v>0</v>
      </c>
    </row>
    <row x14ac:dyDescent="0.25" r="44" customHeight="1" ht="42">
      <c r="A44" s="21">
        <v>40</v>
      </c>
      <c r="B44" s="22" t="s">
        <v>101</v>
      </c>
      <c r="C44" s="23" t="s">
        <v>102</v>
      </c>
      <c r="D44" s="24">
        <v>20</v>
      </c>
      <c r="E44" s="56" t="s">
        <v>178</v>
      </c>
      <c r="F44" s="24">
        <v>3812200</v>
      </c>
      <c r="G44" s="24">
        <v>50</v>
      </c>
      <c r="H44" s="25">
        <v>279000</v>
      </c>
      <c r="I44" s="24">
        <v>13950000</v>
      </c>
    </row>
    <row x14ac:dyDescent="0.25" r="45" customHeight="1" ht="42">
      <c r="A45" s="21">
        <v>41</v>
      </c>
      <c r="B45" s="22" t="s">
        <v>104</v>
      </c>
      <c r="C45" s="23" t="s">
        <v>105</v>
      </c>
      <c r="D45" s="24">
        <v>27</v>
      </c>
      <c r="E45" s="56">
        <v>186000</v>
      </c>
      <c r="F45" s="24">
        <v>4921560</v>
      </c>
      <c r="G45" s="24">
        <v>0</v>
      </c>
      <c r="H45" s="25">
        <v>259500</v>
      </c>
      <c r="I45" s="24">
        <v>0</v>
      </c>
    </row>
    <row x14ac:dyDescent="0.25" r="46" customHeight="1" ht="42">
      <c r="A46" s="21">
        <v>42</v>
      </c>
      <c r="B46" s="22" t="s">
        <v>107</v>
      </c>
      <c r="C46" s="23" t="s">
        <v>108</v>
      </c>
      <c r="D46" s="24">
        <v>315</v>
      </c>
      <c r="E46" s="56" t="s">
        <v>179</v>
      </c>
      <c r="F46" s="24">
        <v>63323100</v>
      </c>
      <c r="G46" s="24">
        <v>250</v>
      </c>
      <c r="H46" s="25">
        <v>274500</v>
      </c>
      <c r="I46" s="24">
        <v>68625000</v>
      </c>
    </row>
    <row x14ac:dyDescent="0.25" r="47" customHeight="1" ht="42">
      <c r="A47" s="21">
        <v>43</v>
      </c>
      <c r="B47" s="22" t="s">
        <v>109</v>
      </c>
      <c r="C47" s="23" t="s">
        <v>110</v>
      </c>
      <c r="D47" s="24">
        <v>0</v>
      </c>
      <c r="E47" s="56" t="s">
        <v>180</v>
      </c>
      <c r="F47" s="24">
        <v>0</v>
      </c>
      <c r="G47" s="24">
        <v>100</v>
      </c>
      <c r="H47" s="25">
        <v>282000</v>
      </c>
      <c r="I47" s="24">
        <v>28200000</v>
      </c>
    </row>
    <row x14ac:dyDescent="0.25" r="48" customHeight="1" ht="42">
      <c r="A48" s="21">
        <v>44</v>
      </c>
      <c r="B48" s="22" t="s">
        <v>112</v>
      </c>
      <c r="C48" s="23" t="s">
        <v>113</v>
      </c>
      <c r="D48" s="24">
        <v>355</v>
      </c>
      <c r="E48" s="56" t="s">
        <v>181</v>
      </c>
      <c r="F48" s="24">
        <v>29938100</v>
      </c>
      <c r="G48" s="24">
        <v>50</v>
      </c>
      <c r="H48" s="25">
        <v>122000</v>
      </c>
      <c r="I48" s="24">
        <v>6100000</v>
      </c>
    </row>
    <row x14ac:dyDescent="0.25" r="49" customHeight="1" ht="42">
      <c r="A49" s="21">
        <v>45</v>
      </c>
      <c r="B49" s="22" t="s">
        <v>114</v>
      </c>
      <c r="C49" s="23" t="s">
        <v>115</v>
      </c>
      <c r="D49" s="24">
        <v>95</v>
      </c>
      <c r="E49" s="56" t="s">
        <v>182</v>
      </c>
      <c r="F49" s="24">
        <v>23416220</v>
      </c>
      <c r="G49" s="24">
        <v>140</v>
      </c>
      <c r="H49" s="25">
        <v>340500</v>
      </c>
      <c r="I49" s="24">
        <v>47670000</v>
      </c>
    </row>
    <row x14ac:dyDescent="0.25" r="50" customHeight="1" ht="42">
      <c r="A50" s="21">
        <v>46</v>
      </c>
      <c r="B50" s="22" t="s">
        <v>116</v>
      </c>
      <c r="C50" s="23" t="s">
        <v>117</v>
      </c>
      <c r="D50" s="24">
        <v>57</v>
      </c>
      <c r="E50" s="56" t="s">
        <v>183</v>
      </c>
      <c r="F50" s="24">
        <v>13081500</v>
      </c>
      <c r="G50" s="24"/>
      <c r="H50" s="30"/>
      <c r="I50" s="24"/>
    </row>
    <row x14ac:dyDescent="0.25" r="51" customHeight="1" ht="42">
      <c r="A51" s="21">
        <v>47</v>
      </c>
      <c r="B51" s="22" t="s">
        <v>118</v>
      </c>
      <c r="C51" s="23" t="s">
        <v>119</v>
      </c>
      <c r="D51" s="24">
        <v>165</v>
      </c>
      <c r="E51" s="56" t="s">
        <v>183</v>
      </c>
      <c r="F51" s="24">
        <v>43533500</v>
      </c>
      <c r="G51" s="24">
        <v>140</v>
      </c>
      <c r="H51" s="25">
        <v>363500</v>
      </c>
      <c r="I51" s="24">
        <v>50890000</v>
      </c>
    </row>
    <row x14ac:dyDescent="0.25" r="52" customHeight="1" ht="42">
      <c r="A52" s="21">
        <v>48</v>
      </c>
      <c r="B52" s="22" t="s">
        <v>121</v>
      </c>
      <c r="C52" s="23" t="s">
        <v>122</v>
      </c>
      <c r="D52" s="24">
        <v>16</v>
      </c>
      <c r="E52" s="56" t="s">
        <v>184</v>
      </c>
      <c r="F52" s="24">
        <v>2679070</v>
      </c>
      <c r="G52" s="24">
        <v>70</v>
      </c>
      <c r="H52" s="25">
        <v>222000</v>
      </c>
      <c r="I52" s="24">
        <v>15540000</v>
      </c>
    </row>
    <row x14ac:dyDescent="0.25" r="53" customHeight="1" ht="42">
      <c r="A53" s="21">
        <v>49</v>
      </c>
      <c r="B53" s="22" t="s">
        <v>124</v>
      </c>
      <c r="C53" s="23" t="s">
        <v>125</v>
      </c>
      <c r="D53" s="24"/>
      <c r="E53" s="56"/>
      <c r="F53" s="24"/>
      <c r="G53" s="24">
        <v>10</v>
      </c>
      <c r="H53" s="25">
        <v>234500</v>
      </c>
      <c r="I53" s="24">
        <v>2345000</v>
      </c>
    </row>
    <row x14ac:dyDescent="0.25" r="54" customHeight="1" ht="42">
      <c r="A54" s="21">
        <v>50</v>
      </c>
      <c r="B54" s="22" t="s">
        <v>126</v>
      </c>
      <c r="C54" s="23" t="s">
        <v>127</v>
      </c>
      <c r="D54" s="24"/>
      <c r="E54" s="56"/>
      <c r="F54" s="24"/>
      <c r="G54" s="24">
        <v>10</v>
      </c>
      <c r="H54" s="25">
        <v>312500</v>
      </c>
      <c r="I54" s="24">
        <v>3125000</v>
      </c>
    </row>
    <row x14ac:dyDescent="0.25" r="55" customHeight="1" ht="42">
      <c r="A55" s="21">
        <v>51</v>
      </c>
      <c r="B55" s="22" t="s">
        <v>128</v>
      </c>
      <c r="C55" s="23" t="s">
        <v>129</v>
      </c>
      <c r="D55" s="24">
        <v>36</v>
      </c>
      <c r="E55" s="56" t="s">
        <v>186</v>
      </c>
      <c r="F55" s="24">
        <v>8869980</v>
      </c>
      <c r="G55" s="24">
        <v>40</v>
      </c>
      <c r="H55" s="25">
        <v>339000</v>
      </c>
      <c r="I55" s="24">
        <v>13560000</v>
      </c>
    </row>
    <row x14ac:dyDescent="0.25" r="56" customHeight="1" ht="42">
      <c r="A56" s="21">
        <v>52</v>
      </c>
      <c r="B56" s="22" t="s">
        <v>131</v>
      </c>
      <c r="C56" s="23" t="s">
        <v>132</v>
      </c>
      <c r="D56" s="24"/>
      <c r="E56" s="56"/>
      <c r="F56" s="24"/>
      <c r="G56" s="24">
        <v>14</v>
      </c>
      <c r="H56" s="25">
        <v>176500</v>
      </c>
      <c r="I56" s="24">
        <v>2471000</v>
      </c>
    </row>
    <row x14ac:dyDescent="0.25" r="57" customHeight="1" ht="42">
      <c r="A57" s="21">
        <v>53</v>
      </c>
      <c r="B57" s="22" t="s">
        <v>134</v>
      </c>
      <c r="C57" s="23" t="s">
        <v>135</v>
      </c>
      <c r="D57" s="24">
        <v>8</v>
      </c>
      <c r="E57" s="56" t="s">
        <v>187</v>
      </c>
      <c r="F57" s="24">
        <v>1512000</v>
      </c>
      <c r="G57" s="24">
        <v>10</v>
      </c>
      <c r="H57" s="25">
        <v>245000</v>
      </c>
      <c r="I57" s="24">
        <v>2450000</v>
      </c>
    </row>
    <row x14ac:dyDescent="0.25" r="58" customHeight="1" ht="42">
      <c r="A58" s="21">
        <v>54</v>
      </c>
      <c r="B58" s="22" t="s">
        <v>137</v>
      </c>
      <c r="C58" s="23" t="s">
        <v>138</v>
      </c>
      <c r="D58" s="24"/>
      <c r="E58" s="56"/>
      <c r="F58" s="24"/>
      <c r="G58" s="24"/>
      <c r="H58" s="25">
        <v>271500</v>
      </c>
      <c r="I58" s="24"/>
    </row>
    <row x14ac:dyDescent="0.25" r="59" customHeight="1" ht="42">
      <c r="A59" s="21">
        <v>55</v>
      </c>
      <c r="B59" s="22" t="s">
        <v>139</v>
      </c>
      <c r="C59" s="23" t="s">
        <v>140</v>
      </c>
      <c r="D59" s="24">
        <v>1310</v>
      </c>
      <c r="E59" s="56" t="s">
        <v>188</v>
      </c>
      <c r="F59" s="24">
        <v>53379400</v>
      </c>
      <c r="G59" s="24">
        <v>1451</v>
      </c>
      <c r="H59" s="25">
        <v>55500</v>
      </c>
      <c r="I59" s="24">
        <v>80530500</v>
      </c>
    </row>
    <row x14ac:dyDescent="0.25" r="60" customHeight="1" ht="42">
      <c r="A60" s="21">
        <v>56</v>
      </c>
      <c r="B60" s="22" t="s">
        <v>141</v>
      </c>
      <c r="C60" s="23" t="s">
        <v>142</v>
      </c>
      <c r="D60" s="24">
        <v>6</v>
      </c>
      <c r="E60" s="56">
        <v>105000</v>
      </c>
      <c r="F60" s="24">
        <v>630000</v>
      </c>
      <c r="G60" s="24">
        <v>20</v>
      </c>
      <c r="H60" s="25">
        <v>139500</v>
      </c>
      <c r="I60" s="24">
        <v>2790000</v>
      </c>
    </row>
    <row x14ac:dyDescent="0.25" r="61" customHeight="1" ht="42">
      <c r="A61" s="21">
        <v>57</v>
      </c>
      <c r="B61" s="22" t="s">
        <v>144</v>
      </c>
      <c r="C61" s="23" t="s">
        <v>145</v>
      </c>
      <c r="D61" s="24"/>
      <c r="E61" s="59"/>
      <c r="F61" s="24"/>
      <c r="G61" s="24">
        <v>10</v>
      </c>
      <c r="H61" s="25">
        <v>165000</v>
      </c>
      <c r="I61" s="24">
        <v>1650000</v>
      </c>
    </row>
    <row x14ac:dyDescent="0.25" r="62" customHeight="1" ht="42">
      <c r="A62" s="21" t="s">
        <v>146</v>
      </c>
      <c r="B62" s="33"/>
      <c r="C62" s="34"/>
      <c r="D62" s="24">
        <f>SUM(D7:D60)</f>
      </c>
      <c r="E62" s="59"/>
      <c r="F62" s="24">
        <f>SUM(F7:F60)</f>
      </c>
      <c r="G62" s="21">
        <f>SUM(G7:G61)</f>
      </c>
      <c r="H62" s="30"/>
      <c r="I62" s="21">
        <f>SUM(I7:I61)</f>
      </c>
    </row>
    <row x14ac:dyDescent="0.25" r="63" customHeight="1" ht="42">
      <c r="A63" s="38"/>
      <c r="B63" s="39"/>
      <c r="C63" s="5"/>
      <c r="D63" s="200"/>
      <c r="E63" s="38"/>
      <c r="F63" s="38"/>
      <c r="G63" s="40"/>
      <c r="H63" s="41"/>
      <c r="I63" s="38"/>
    </row>
    <row x14ac:dyDescent="0.25" r="64" customHeight="1" ht="42">
      <c r="A64" s="38"/>
      <c r="B64" s="39"/>
      <c r="C64" s="5"/>
      <c r="D64" s="200"/>
      <c r="E64" s="38"/>
      <c r="F64" s="38"/>
      <c r="G64" s="40"/>
      <c r="H64" s="41"/>
      <c r="I64" s="38"/>
    </row>
    <row x14ac:dyDescent="0.25" r="65" customHeight="1" ht="42">
      <c r="A65" s="38"/>
      <c r="B65" s="44"/>
      <c r="C65" s="5"/>
      <c r="D65" s="200"/>
      <c r="E65" s="38"/>
      <c r="F65" s="42"/>
      <c r="G65" s="40"/>
      <c r="H65" s="41"/>
      <c r="I65" s="42"/>
    </row>
    <row x14ac:dyDescent="0.25" r="66" customHeight="1" ht="42">
      <c r="A66" s="38"/>
      <c r="B66" s="44"/>
      <c r="C66" s="5"/>
      <c r="D66" s="200"/>
      <c r="E66" s="38"/>
      <c r="F66" s="42"/>
      <c r="G66" s="40"/>
      <c r="H66" s="41"/>
      <c r="I66" s="42"/>
    </row>
    <row x14ac:dyDescent="0.25" r="67" customHeight="1" ht="42">
      <c r="A67" s="38"/>
      <c r="B67" s="44"/>
      <c r="C67" s="5"/>
      <c r="D67" s="200"/>
      <c r="E67" s="38"/>
      <c r="F67" s="42"/>
      <c r="G67" s="40"/>
      <c r="H67" s="41"/>
      <c r="I67" s="42"/>
    </row>
    <row x14ac:dyDescent="0.25" r="68" customHeight="1" ht="42">
      <c r="A68" s="38"/>
      <c r="B68" s="44"/>
      <c r="C68" s="5"/>
      <c r="D68" s="200"/>
      <c r="E68" s="38"/>
      <c r="F68" s="42"/>
      <c r="G68" s="40"/>
      <c r="H68" s="41"/>
      <c r="I68" s="42"/>
    </row>
    <row x14ac:dyDescent="0.25" r="69" customHeight="1" ht="42">
      <c r="A69" s="38"/>
      <c r="B69" s="44"/>
      <c r="C69" s="5"/>
      <c r="D69" s="200"/>
      <c r="E69" s="38"/>
      <c r="F69" s="42"/>
      <c r="G69" s="40"/>
      <c r="H69" s="41"/>
      <c r="I69" s="42"/>
    </row>
    <row x14ac:dyDescent="0.25" r="70" customHeight="1" ht="42">
      <c r="A70" s="38"/>
      <c r="B70" s="44"/>
      <c r="C70" s="5"/>
      <c r="D70" s="200"/>
      <c r="E70" s="38"/>
      <c r="F70" s="42"/>
      <c r="G70" s="40"/>
      <c r="H70" s="41"/>
      <c r="I70" s="42"/>
    </row>
    <row x14ac:dyDescent="0.25" r="71" customHeight="1" ht="42">
      <c r="A71" s="38"/>
      <c r="B71" s="44"/>
      <c r="C71" s="5"/>
      <c r="D71" s="200"/>
      <c r="E71" s="38"/>
      <c r="F71" s="42"/>
      <c r="G71" s="40"/>
      <c r="H71" s="41"/>
      <c r="I71" s="42"/>
    </row>
    <row x14ac:dyDescent="0.25" r="72" customHeight="1" ht="42">
      <c r="A72" s="38"/>
      <c r="B72" s="44"/>
      <c r="C72" s="5"/>
      <c r="D72" s="200"/>
      <c r="E72" s="38"/>
      <c r="F72" s="42"/>
      <c r="G72" s="40"/>
      <c r="H72" s="41"/>
      <c r="I72" s="42"/>
    </row>
    <row x14ac:dyDescent="0.25" r="73" customHeight="1" ht="42">
      <c r="A73" s="38"/>
      <c r="B73" s="44"/>
      <c r="C73" s="5"/>
      <c r="D73" s="200"/>
      <c r="E73" s="38"/>
      <c r="F73" s="42"/>
      <c r="G73" s="40"/>
      <c r="H73" s="41"/>
      <c r="I73" s="42"/>
    </row>
    <row x14ac:dyDescent="0.25" r="74" customHeight="1" ht="42">
      <c r="A74" s="38"/>
      <c r="B74" s="44"/>
      <c r="C74" s="5"/>
      <c r="D74" s="200"/>
      <c r="E74" s="38"/>
      <c r="F74" s="42"/>
      <c r="G74" s="40"/>
      <c r="H74" s="41"/>
      <c r="I74" s="42"/>
    </row>
    <row x14ac:dyDescent="0.25" r="75" customHeight="1" ht="42">
      <c r="A75" s="38"/>
      <c r="B75" s="44"/>
      <c r="C75" s="5"/>
      <c r="D75" s="200"/>
      <c r="E75" s="38"/>
      <c r="F75" s="42"/>
      <c r="G75" s="40"/>
      <c r="H75" s="41"/>
      <c r="I75" s="42"/>
    </row>
    <row x14ac:dyDescent="0.25" r="76" customHeight="1" ht="42">
      <c r="A76" s="38"/>
      <c r="B76" s="44"/>
      <c r="C76" s="5"/>
      <c r="D76" s="200"/>
      <c r="E76" s="38"/>
      <c r="F76" s="42"/>
      <c r="G76" s="40"/>
      <c r="H76" s="41"/>
      <c r="I76" s="42"/>
    </row>
    <row x14ac:dyDescent="0.25" r="77" customHeight="1" ht="42">
      <c r="A77" s="38"/>
      <c r="B77" s="44"/>
      <c r="C77" s="5"/>
      <c r="D77" s="200"/>
      <c r="E77" s="38"/>
      <c r="F77" s="42"/>
      <c r="G77" s="40"/>
      <c r="H77" s="41"/>
      <c r="I77" s="42"/>
    </row>
    <row x14ac:dyDescent="0.25" r="78" customHeight="1" ht="42">
      <c r="A78" s="38"/>
      <c r="B78" s="44"/>
      <c r="C78" s="5"/>
      <c r="D78" s="200"/>
      <c r="E78" s="38"/>
      <c r="F78" s="42"/>
      <c r="G78" s="40"/>
      <c r="H78" s="41"/>
      <c r="I78" s="42"/>
    </row>
    <row x14ac:dyDescent="0.25" r="79" customHeight="1" ht="42">
      <c r="A79" s="38"/>
      <c r="B79" s="44"/>
      <c r="C79" s="5"/>
      <c r="D79" s="200"/>
      <c r="E79" s="38"/>
      <c r="F79" s="42"/>
      <c r="G79" s="40"/>
      <c r="H79" s="41"/>
      <c r="I79" s="42"/>
    </row>
    <row x14ac:dyDescent="0.25" r="80" customHeight="1" ht="42">
      <c r="A80" s="38"/>
      <c r="B80" s="44"/>
      <c r="C80" s="5"/>
      <c r="D80" s="200"/>
      <c r="E80" s="38"/>
      <c r="F80" s="42"/>
      <c r="G80" s="40"/>
      <c r="H80" s="41"/>
      <c r="I80" s="42"/>
    </row>
    <row x14ac:dyDescent="0.25" r="81" customHeight="1" ht="42">
      <c r="A81" s="38"/>
      <c r="B81" s="44"/>
      <c r="C81" s="5"/>
      <c r="D81" s="200"/>
      <c r="E81" s="38"/>
      <c r="F81" s="42"/>
      <c r="G81" s="40"/>
      <c r="H81" s="41"/>
      <c r="I81" s="42"/>
    </row>
    <row x14ac:dyDescent="0.25" r="82" customHeight="1" ht="42">
      <c r="A82" s="38"/>
      <c r="B82" s="44"/>
      <c r="C82" s="5"/>
      <c r="D82" s="200"/>
      <c r="E82" s="38"/>
      <c r="F82" s="42"/>
      <c r="G82" s="40"/>
      <c r="H82" s="41"/>
      <c r="I82" s="42"/>
    </row>
    <row x14ac:dyDescent="0.25" r="83" customHeight="1" ht="42">
      <c r="A83" s="38"/>
      <c r="B83" s="44"/>
      <c r="C83" s="5"/>
      <c r="D83" s="200"/>
      <c r="E83" s="38"/>
      <c r="F83" s="42"/>
      <c r="G83" s="40"/>
      <c r="H83" s="41"/>
      <c r="I83" s="42"/>
    </row>
    <row x14ac:dyDescent="0.25" r="84" customHeight="1" ht="42">
      <c r="A84" s="38"/>
      <c r="B84" s="44"/>
      <c r="C84" s="5"/>
      <c r="D84" s="200"/>
      <c r="E84" s="38"/>
      <c r="F84" s="42"/>
      <c r="G84" s="40"/>
      <c r="H84" s="41"/>
      <c r="I84" s="42"/>
    </row>
    <row x14ac:dyDescent="0.25" r="85" customHeight="1" ht="42">
      <c r="A85" s="38"/>
      <c r="B85" s="44"/>
      <c r="C85" s="5"/>
      <c r="D85" s="200"/>
      <c r="E85" s="38"/>
      <c r="F85" s="42"/>
      <c r="G85" s="40"/>
      <c r="H85" s="41"/>
      <c r="I85" s="42"/>
    </row>
    <row x14ac:dyDescent="0.25" r="86" customHeight="1" ht="42">
      <c r="A86" s="38"/>
      <c r="B86" s="44"/>
      <c r="C86" s="5"/>
      <c r="D86" s="200"/>
      <c r="E86" s="38"/>
      <c r="F86" s="42"/>
      <c r="G86" s="40"/>
      <c r="H86" s="41"/>
      <c r="I86" s="42"/>
    </row>
    <row x14ac:dyDescent="0.25" r="87" customHeight="1" ht="42">
      <c r="A87" s="38"/>
      <c r="B87" s="44"/>
      <c r="C87" s="5"/>
      <c r="D87" s="200"/>
      <c r="E87" s="38"/>
      <c r="F87" s="42"/>
      <c r="G87" s="40"/>
      <c r="H87" s="41"/>
      <c r="I87" s="42"/>
    </row>
    <row x14ac:dyDescent="0.25" r="88" customHeight="1" ht="42">
      <c r="A88" s="38"/>
      <c r="B88" s="44"/>
      <c r="C88" s="5"/>
      <c r="D88" s="200"/>
      <c r="E88" s="38"/>
      <c r="F88" s="42"/>
      <c r="G88" s="40"/>
      <c r="H88" s="41"/>
      <c r="I88" s="42"/>
    </row>
    <row x14ac:dyDescent="0.25" r="89" customHeight="1" ht="42">
      <c r="A89" s="38"/>
      <c r="B89" s="44"/>
      <c r="C89" s="5"/>
      <c r="D89" s="200"/>
      <c r="E89" s="38"/>
      <c r="F89" s="42"/>
      <c r="G89" s="40"/>
      <c r="H89" s="41"/>
      <c r="I89" s="42"/>
    </row>
    <row x14ac:dyDescent="0.25" r="90" customHeight="1" ht="42">
      <c r="A90" s="38"/>
      <c r="B90" s="44"/>
      <c r="C90" s="5"/>
      <c r="D90" s="200"/>
      <c r="E90" s="38"/>
      <c r="F90" s="42"/>
      <c r="G90" s="40"/>
      <c r="H90" s="41"/>
      <c r="I90" s="42"/>
    </row>
    <row x14ac:dyDescent="0.25" r="91" customHeight="1" ht="42">
      <c r="A91" s="38"/>
      <c r="B91" s="44"/>
      <c r="C91" s="5"/>
      <c r="D91" s="200"/>
      <c r="E91" s="38"/>
      <c r="F91" s="42"/>
      <c r="G91" s="40"/>
      <c r="H91" s="41"/>
      <c r="I91" s="42"/>
    </row>
    <row x14ac:dyDescent="0.25" r="92" customHeight="1" ht="42">
      <c r="A92" s="38"/>
      <c r="B92" s="44"/>
      <c r="C92" s="5"/>
      <c r="D92" s="200"/>
      <c r="E92" s="38"/>
      <c r="F92" s="42"/>
      <c r="G92" s="40"/>
      <c r="H92" s="38"/>
      <c r="I92" s="42"/>
    </row>
    <row x14ac:dyDescent="0.25" r="93" customHeight="1" ht="42">
      <c r="A93" s="38"/>
      <c r="B93" s="44"/>
      <c r="C93" s="5"/>
      <c r="D93" s="200"/>
      <c r="E93" s="38"/>
      <c r="F93" s="42"/>
      <c r="G93" s="40"/>
      <c r="H93" s="38"/>
      <c r="I93" s="42"/>
    </row>
    <row x14ac:dyDescent="0.25" r="94" customHeight="1" ht="42">
      <c r="A94" s="38"/>
      <c r="B94" s="44"/>
      <c r="C94" s="5"/>
      <c r="D94" s="200"/>
      <c r="E94" s="38"/>
      <c r="F94" s="42"/>
      <c r="G94" s="40"/>
      <c r="H94" s="38"/>
      <c r="I94" s="42"/>
    </row>
    <row x14ac:dyDescent="0.25" r="95" customHeight="1" ht="42">
      <c r="A95" s="38"/>
      <c r="B95" s="44"/>
      <c r="C95" s="5"/>
      <c r="D95" s="200"/>
      <c r="E95" s="38"/>
      <c r="F95" s="42"/>
      <c r="G95" s="40"/>
      <c r="H95" s="38"/>
      <c r="I95" s="42"/>
    </row>
    <row x14ac:dyDescent="0.25" r="96" customHeight="1" ht="42">
      <c r="A96" s="38"/>
      <c r="B96" s="44"/>
      <c r="C96" s="5"/>
      <c r="D96" s="200"/>
      <c r="E96" s="38"/>
      <c r="F96" s="42"/>
      <c r="G96" s="40"/>
      <c r="H96" s="38"/>
      <c r="I96" s="42"/>
    </row>
    <row x14ac:dyDescent="0.25" r="97" customHeight="1" ht="42">
      <c r="A97" s="38"/>
      <c r="B97" s="44"/>
      <c r="C97" s="5"/>
      <c r="D97" s="200"/>
      <c r="E97" s="38"/>
      <c r="F97" s="42"/>
      <c r="G97" s="40"/>
      <c r="H97" s="38"/>
      <c r="I97" s="38"/>
    </row>
    <row x14ac:dyDescent="0.25" r="98" customHeight="1" ht="42">
      <c r="A98" s="38"/>
      <c r="B98" s="44"/>
      <c r="C98" s="5"/>
      <c r="D98" s="200"/>
      <c r="E98" s="38"/>
      <c r="F98" s="42"/>
      <c r="G98" s="40"/>
      <c r="H98" s="38"/>
      <c r="I98" s="38"/>
    </row>
    <row x14ac:dyDescent="0.25" r="99" customHeight="1" ht="42">
      <c r="A99" s="38"/>
      <c r="B99" s="44"/>
      <c r="C99" s="5"/>
      <c r="D99" s="200"/>
      <c r="E99" s="38"/>
      <c r="F99" s="42"/>
      <c r="G99" s="40"/>
      <c r="H99" s="38"/>
      <c r="I99" s="38"/>
    </row>
    <row x14ac:dyDescent="0.25" r="100" customHeight="1" ht="42">
      <c r="A100" s="38"/>
      <c r="B100" s="44"/>
      <c r="C100" s="5"/>
      <c r="D100" s="200"/>
      <c r="E100" s="38"/>
      <c r="F100" s="42"/>
      <c r="G100" s="40"/>
      <c r="H100" s="38"/>
      <c r="I100" s="38"/>
    </row>
    <row x14ac:dyDescent="0.25" r="101" customHeight="1" ht="42">
      <c r="A101" s="38"/>
      <c r="B101" s="44"/>
      <c r="C101" s="5"/>
      <c r="D101" s="200"/>
      <c r="E101" s="38"/>
      <c r="F101" s="42"/>
      <c r="G101" s="40"/>
      <c r="H101" s="38"/>
      <c r="I101" s="38"/>
    </row>
    <row x14ac:dyDescent="0.25" r="102" customHeight="1" ht="42">
      <c r="A102" s="38"/>
      <c r="B102" s="44"/>
      <c r="C102" s="5"/>
      <c r="D102" s="200"/>
      <c r="E102" s="38"/>
      <c r="F102" s="42"/>
      <c r="G102" s="40"/>
      <c r="H102" s="38"/>
      <c r="I102" s="38"/>
    </row>
    <row x14ac:dyDescent="0.25" r="103" customHeight="1" ht="42">
      <c r="A103" s="38"/>
      <c r="B103" s="44"/>
      <c r="C103" s="5"/>
      <c r="D103" s="200"/>
      <c r="E103" s="38"/>
      <c r="F103" s="42"/>
      <c r="G103" s="40"/>
      <c r="H103" s="38"/>
      <c r="I103" s="38"/>
    </row>
    <row x14ac:dyDescent="0.25" r="104" customHeight="1" ht="42">
      <c r="A104" s="38"/>
      <c r="B104" s="44"/>
      <c r="C104" s="5"/>
      <c r="D104" s="200"/>
      <c r="E104" s="38"/>
      <c r="F104" s="42"/>
      <c r="G104" s="40"/>
      <c r="H104" s="38"/>
      <c r="I104" s="38"/>
    </row>
    <row x14ac:dyDescent="0.25" r="105" customHeight="1" ht="42">
      <c r="A105" s="38"/>
      <c r="B105" s="44"/>
      <c r="C105" s="5"/>
      <c r="D105" s="200"/>
      <c r="E105" s="38"/>
      <c r="F105" s="42"/>
      <c r="G105" s="42"/>
      <c r="H105" s="38"/>
      <c r="I105" s="40"/>
    </row>
    <row x14ac:dyDescent="0.25" r="106" customHeight="1" ht="42">
      <c r="A106" s="38"/>
      <c r="B106" s="44"/>
      <c r="C106" s="5"/>
      <c r="D106" s="200"/>
      <c r="E106" s="38"/>
      <c r="F106" s="42"/>
      <c r="G106" s="42"/>
      <c r="H106" s="38"/>
      <c r="I106" s="40"/>
    </row>
    <row x14ac:dyDescent="0.25" r="107" customHeight="1" ht="42">
      <c r="A107" s="38"/>
      <c r="B107" s="44"/>
      <c r="C107" s="5"/>
      <c r="D107" s="200"/>
      <c r="E107" s="38"/>
      <c r="F107" s="42"/>
      <c r="G107" s="42"/>
      <c r="H107" s="38"/>
      <c r="I107" s="40"/>
    </row>
    <row x14ac:dyDescent="0.25" r="108" customHeight="1" ht="42">
      <c r="A108" s="38"/>
      <c r="B108" s="44"/>
      <c r="C108" s="5"/>
      <c r="D108" s="200"/>
      <c r="E108" s="38"/>
      <c r="F108" s="42"/>
      <c r="G108" s="42"/>
      <c r="H108" s="38"/>
      <c r="I108" s="40"/>
    </row>
    <row x14ac:dyDescent="0.25" r="109" customHeight="1" ht="42">
      <c r="A109" s="38"/>
      <c r="B109" s="44"/>
      <c r="C109" s="5"/>
      <c r="D109" s="200"/>
      <c r="E109" s="38"/>
      <c r="F109" s="42"/>
      <c r="G109" s="42"/>
      <c r="H109" s="38"/>
      <c r="I109" s="40"/>
    </row>
    <row x14ac:dyDescent="0.25" r="110" customHeight="1" ht="42">
      <c r="A110" s="38"/>
      <c r="B110" s="44"/>
      <c r="C110" s="5"/>
      <c r="D110" s="200"/>
      <c r="E110" s="38"/>
      <c r="F110" s="42"/>
      <c r="G110" s="42"/>
      <c r="H110" s="38"/>
      <c r="I110" s="40"/>
    </row>
    <row x14ac:dyDescent="0.25" r="111" customHeight="1" ht="42">
      <c r="A111" s="38"/>
      <c r="B111" s="44"/>
      <c r="C111" s="5"/>
      <c r="D111" s="200"/>
      <c r="E111" s="38"/>
      <c r="F111" s="42"/>
      <c r="G111" s="42"/>
      <c r="H111" s="38"/>
      <c r="I111" s="40"/>
    </row>
    <row x14ac:dyDescent="0.25" r="112" customHeight="1" ht="42">
      <c r="A112" s="38"/>
      <c r="B112" s="44"/>
      <c r="C112" s="5"/>
      <c r="D112" s="200"/>
      <c r="E112" s="38"/>
      <c r="F112" s="42"/>
      <c r="G112" s="42"/>
      <c r="H112" s="38"/>
      <c r="I112" s="40"/>
    </row>
    <row x14ac:dyDescent="0.25" r="113" customHeight="1" ht="42">
      <c r="A113" s="38"/>
      <c r="B113" s="44"/>
      <c r="C113" s="5"/>
      <c r="D113" s="200"/>
      <c r="E113" s="38"/>
      <c r="F113" s="42"/>
      <c r="G113" s="42"/>
      <c r="H113" s="38"/>
      <c r="I113" s="40"/>
    </row>
    <row x14ac:dyDescent="0.25" r="114" customHeight="1" ht="42">
      <c r="A114" s="38"/>
      <c r="B114" s="44"/>
      <c r="C114" s="5"/>
      <c r="D114" s="200"/>
      <c r="E114" s="38"/>
      <c r="F114" s="42"/>
      <c r="G114" s="42"/>
      <c r="H114" s="38"/>
      <c r="I114" s="40"/>
    </row>
    <row x14ac:dyDescent="0.25" r="115" customHeight="1" ht="42">
      <c r="A115" s="38"/>
      <c r="B115" s="44"/>
      <c r="C115" s="5"/>
      <c r="D115" s="200"/>
      <c r="E115" s="38"/>
      <c r="F115" s="42"/>
      <c r="G115" s="42"/>
      <c r="H115" s="38"/>
      <c r="I115" s="40"/>
    </row>
    <row x14ac:dyDescent="0.25" r="116" customHeight="1" ht="42">
      <c r="A116" s="38"/>
      <c r="B116" s="44"/>
      <c r="C116" s="5"/>
      <c r="D116" s="200"/>
      <c r="E116" s="38"/>
      <c r="F116" s="42"/>
      <c r="G116" s="42"/>
      <c r="H116" s="38"/>
      <c r="I116" s="40"/>
    </row>
    <row x14ac:dyDescent="0.25" r="117" customHeight="1" ht="42">
      <c r="A117" s="38"/>
      <c r="B117" s="44"/>
      <c r="C117" s="5"/>
      <c r="D117" s="200"/>
      <c r="E117" s="38"/>
      <c r="F117" s="42"/>
      <c r="G117" s="42"/>
      <c r="H117" s="38"/>
      <c r="I117" s="40"/>
    </row>
    <row x14ac:dyDescent="0.25" r="118" customHeight="1" ht="42">
      <c r="A118" s="38"/>
      <c r="B118" s="44"/>
      <c r="C118" s="5"/>
      <c r="D118" s="200"/>
      <c r="E118" s="38"/>
      <c r="F118" s="42"/>
      <c r="G118" s="42"/>
      <c r="H118" s="38"/>
      <c r="I118" s="40"/>
    </row>
    <row x14ac:dyDescent="0.25" r="119" customHeight="1" ht="42">
      <c r="A119" s="38"/>
      <c r="B119" s="44"/>
      <c r="C119" s="5"/>
      <c r="D119" s="200"/>
      <c r="E119" s="38"/>
      <c r="F119" s="42"/>
      <c r="G119" s="42"/>
      <c r="H119" s="38"/>
      <c r="I119" s="40"/>
    </row>
    <row x14ac:dyDescent="0.25" r="120" customHeight="1" ht="42">
      <c r="A120" s="38"/>
      <c r="B120" s="44"/>
      <c r="C120" s="5"/>
      <c r="D120" s="200"/>
      <c r="E120" s="38"/>
      <c r="F120" s="42"/>
      <c r="G120" s="42"/>
      <c r="H120" s="38"/>
      <c r="I120" s="40"/>
    </row>
    <row x14ac:dyDescent="0.25" r="121" customHeight="1" ht="42">
      <c r="A121" s="38"/>
      <c r="B121" s="44"/>
      <c r="C121" s="5"/>
      <c r="D121" s="200"/>
      <c r="E121" s="38"/>
      <c r="F121" s="42"/>
      <c r="G121" s="42"/>
      <c r="H121" s="38"/>
      <c r="I121" s="40"/>
    </row>
    <row x14ac:dyDescent="0.25" r="122" customHeight="1" ht="42">
      <c r="A122" s="38"/>
      <c r="B122" s="44"/>
      <c r="C122" s="5"/>
      <c r="D122" s="200"/>
      <c r="E122" s="38"/>
      <c r="F122" s="42"/>
      <c r="G122" s="42"/>
      <c r="H122" s="38"/>
      <c r="I122" s="40"/>
    </row>
    <row x14ac:dyDescent="0.25" r="123" customHeight="1" ht="18.75">
      <c r="A123" s="38"/>
      <c r="B123" s="39"/>
      <c r="C123" s="5"/>
      <c r="D123" s="200"/>
      <c r="E123" s="38"/>
      <c r="F123" s="38"/>
      <c r="G123" s="38"/>
      <c r="H123" s="38"/>
      <c r="I123" s="38"/>
    </row>
    <row x14ac:dyDescent="0.25" r="124" customHeight="1" ht="18.75">
      <c r="A124" s="38"/>
      <c r="B124" s="39"/>
      <c r="C124" s="5"/>
      <c r="D124" s="200"/>
      <c r="E124" s="38"/>
      <c r="F124" s="38"/>
      <c r="G124" s="38"/>
      <c r="H124" s="38"/>
      <c r="I124" s="38"/>
    </row>
    <row x14ac:dyDescent="0.25" r="125" customHeight="1" ht="18.75">
      <c r="A125" s="38"/>
      <c r="B125" s="39"/>
      <c r="C125" s="5"/>
      <c r="D125" s="200"/>
      <c r="E125" s="38"/>
      <c r="F125" s="38"/>
      <c r="G125" s="38"/>
      <c r="H125" s="38"/>
      <c r="I125" s="38"/>
    </row>
    <row x14ac:dyDescent="0.25" r="126" customHeight="1" ht="18.75">
      <c r="A126" s="38"/>
      <c r="B126" s="39"/>
      <c r="C126" s="5"/>
      <c r="D126" s="200"/>
      <c r="E126" s="38"/>
      <c r="F126" s="38"/>
      <c r="G126" s="38"/>
      <c r="H126" s="38"/>
      <c r="I126" s="38"/>
    </row>
    <row x14ac:dyDescent="0.25" r="127" customHeight="1" ht="18.75">
      <c r="A127" s="38"/>
      <c r="B127" s="39"/>
      <c r="C127" s="5"/>
      <c r="D127" s="200"/>
      <c r="E127" s="38"/>
      <c r="F127" s="38"/>
      <c r="G127" s="38"/>
      <c r="H127" s="38"/>
      <c r="I127" s="38"/>
    </row>
    <row x14ac:dyDescent="0.25" r="128" customHeight="1" ht="18.75">
      <c r="A128" s="38"/>
      <c r="B128" s="39"/>
      <c r="C128" s="5"/>
      <c r="D128" s="200"/>
      <c r="E128" s="38"/>
      <c r="F128" s="38"/>
      <c r="G128" s="38"/>
      <c r="H128" s="38"/>
      <c r="I128" s="38"/>
    </row>
    <row x14ac:dyDescent="0.25" r="129" customHeight="1" ht="42">
      <c r="A129" s="38"/>
      <c r="B129" s="44"/>
      <c r="C129" s="5"/>
      <c r="D129" s="200"/>
      <c r="E129" s="38"/>
      <c r="F129" s="42"/>
      <c r="G129" s="42"/>
      <c r="H129" s="38"/>
      <c r="I129" s="42"/>
    </row>
    <row x14ac:dyDescent="0.25" r="130" customHeight="1" ht="42">
      <c r="A130" s="38"/>
      <c r="B130" s="44"/>
      <c r="C130" s="5"/>
      <c r="D130" s="200"/>
      <c r="E130" s="38"/>
      <c r="F130" s="42"/>
      <c r="G130" s="42"/>
      <c r="H130" s="38"/>
      <c r="I130" s="42"/>
    </row>
    <row x14ac:dyDescent="0.25" r="131" customHeight="1" ht="42">
      <c r="A131" s="38"/>
      <c r="B131" s="44"/>
      <c r="C131" s="5"/>
      <c r="D131" s="200"/>
      <c r="E131" s="38"/>
      <c r="F131" s="42"/>
      <c r="G131" s="42"/>
      <c r="H131" s="38"/>
      <c r="I131" s="42"/>
    </row>
    <row x14ac:dyDescent="0.25" r="132" customHeight="1" ht="42">
      <c r="A132" s="38"/>
      <c r="B132" s="44"/>
      <c r="C132" s="5"/>
      <c r="D132" s="200"/>
      <c r="E132" s="38"/>
      <c r="F132" s="42"/>
      <c r="G132" s="42"/>
      <c r="H132" s="38"/>
      <c r="I132" s="42"/>
    </row>
    <row x14ac:dyDescent="0.25" r="133" customHeight="1" ht="42">
      <c r="A133" s="38"/>
      <c r="B133" s="44"/>
      <c r="C133" s="5"/>
      <c r="D133" s="200"/>
      <c r="E133" s="38"/>
      <c r="F133" s="42"/>
      <c r="G133" s="42"/>
      <c r="H133" s="38"/>
      <c r="I133" s="42"/>
    </row>
    <row x14ac:dyDescent="0.25" r="134" customHeight="1" ht="42">
      <c r="A134" s="38"/>
      <c r="B134" s="44"/>
      <c r="C134" s="5"/>
      <c r="D134" s="200"/>
      <c r="E134" s="38"/>
      <c r="F134" s="42"/>
      <c r="G134" s="42"/>
      <c r="H134" s="38"/>
      <c r="I134" s="42"/>
    </row>
    <row x14ac:dyDescent="0.25" r="135" customHeight="1" ht="42">
      <c r="A135" s="38"/>
      <c r="B135" s="44"/>
      <c r="C135" s="5"/>
      <c r="D135" s="200"/>
      <c r="E135" s="38"/>
      <c r="F135" s="42"/>
      <c r="G135" s="42"/>
      <c r="H135" s="38"/>
      <c r="I135" s="42"/>
    </row>
    <row x14ac:dyDescent="0.25" r="136" customHeight="1" ht="42">
      <c r="A136" s="38"/>
      <c r="B136" s="44"/>
      <c r="C136" s="5"/>
      <c r="D136" s="200"/>
      <c r="E136" s="38"/>
      <c r="F136" s="42"/>
      <c r="G136" s="42"/>
      <c r="H136" s="38"/>
      <c r="I136" s="42"/>
    </row>
    <row x14ac:dyDescent="0.25" r="137" customHeight="1" ht="42">
      <c r="A137" s="38"/>
      <c r="B137" s="44"/>
      <c r="C137" s="5"/>
      <c r="D137" s="200"/>
      <c r="E137" s="38"/>
      <c r="F137" s="42"/>
      <c r="G137" s="42"/>
      <c r="H137" s="38"/>
      <c r="I137" s="42"/>
    </row>
    <row x14ac:dyDescent="0.25" r="138" customHeight="1" ht="42">
      <c r="A138" s="38"/>
      <c r="B138" s="44"/>
      <c r="C138" s="5"/>
      <c r="D138" s="200"/>
      <c r="E138" s="38"/>
      <c r="F138" s="42"/>
      <c r="G138" s="42"/>
      <c r="H138" s="38"/>
      <c r="I138" s="42"/>
    </row>
  </sheetData>
  <mergeCells count="8">
    <mergeCell ref="A1:I1"/>
    <mergeCell ref="F2:I2"/>
    <mergeCell ref="A3:A4"/>
    <mergeCell ref="B3:B4"/>
    <mergeCell ref="C3:C4"/>
    <mergeCell ref="D3:F3"/>
    <mergeCell ref="G3:I3"/>
    <mergeCell ref="A62:C6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P91"/>
  <sheetViews>
    <sheetView workbookViewId="0"/>
  </sheetViews>
  <sheetFormatPr defaultRowHeight="15" x14ac:dyDescent="0.25"/>
  <cols>
    <col min="1" max="1" style="45" width="4.576428571428571" customWidth="1" bestFit="1"/>
    <col min="2" max="2" style="46" width="7.576428571428571" customWidth="1" bestFit="1"/>
    <col min="3" max="3" style="47" width="43.005" customWidth="1" bestFit="1"/>
    <col min="4" max="4" style="45" width="8.005" customWidth="1" bestFit="1"/>
    <col min="5" max="5" style="45" width="8.43357142857143" customWidth="1" bestFit="1"/>
    <col min="6" max="6" style="45" width="13.43357142857143" customWidth="1" bestFit="1"/>
    <col min="7" max="7" style="109" width="7.433571428571429" customWidth="1" bestFit="1"/>
    <col min="8" max="8" style="73" width="7.576428571428571" customWidth="1" bestFit="1"/>
    <col min="9" max="9" style="73" width="8.719285714285713" customWidth="1" bestFit="1"/>
    <col min="10" max="10" style="198" width="13.576428571428572" customWidth="1" bestFit="1"/>
    <col min="11" max="11" style="45" width="8.005" customWidth="1" bestFit="1"/>
    <col min="12" max="12" style="45" width="8.43357142857143" customWidth="1" bestFit="1"/>
    <col min="13" max="13" style="45" width="13.43357142857143" customWidth="1" bestFit="1"/>
    <col min="14" max="14" style="109" width="7.433571428571429" customWidth="1" bestFit="1"/>
    <col min="15" max="15" style="73" width="7.576428571428571" customWidth="1" bestFit="1"/>
    <col min="16" max="16" style="198" width="8.719285714285713" customWidth="1" bestFit="1"/>
    <col min="17" max="17" style="198" width="13.576428571428572" customWidth="1" bestFit="1"/>
    <col min="18" max="18" style="45" width="8.005" customWidth="1" bestFit="1"/>
    <col min="19" max="19" style="45" width="8.43357142857143" customWidth="1" bestFit="1"/>
    <col min="20" max="20" style="45" width="13.43357142857143" customWidth="1" bestFit="1"/>
    <col min="21" max="21" style="109" width="9.147857142857141" customWidth="1" bestFit="1"/>
    <col min="22" max="22" style="73" width="7.576428571428571" customWidth="1" bestFit="1"/>
    <col min="23" max="23" style="45" width="8.719285714285713" customWidth="1" bestFit="1"/>
    <col min="24" max="24" style="45" width="14.147857142857141" customWidth="1" bestFit="1"/>
    <col min="25" max="25" style="45" width="8.005" customWidth="1" bestFit="1"/>
    <col min="26" max="26" style="45" width="8.43357142857143" customWidth="1" bestFit="1"/>
    <col min="27" max="27" style="45" width="13.43357142857143" customWidth="1" bestFit="1"/>
    <col min="28" max="28" style="73" width="7.576428571428571" customWidth="1" bestFit="1"/>
    <col min="29" max="29" style="45" width="8.719285714285713" customWidth="1" bestFit="1"/>
    <col min="30" max="30" style="45" width="13.576428571428572" customWidth="1" bestFit="1"/>
    <col min="31" max="31" style="45" width="9.147857142857141" customWidth="1" bestFit="1"/>
    <col min="32" max="32" style="45" width="8.43357142857143" customWidth="1" bestFit="1"/>
    <col min="33" max="33" style="45" width="14.290714285714287" customWidth="1" bestFit="1"/>
    <col min="34" max="34" style="73" width="7.576428571428571" customWidth="1" bestFit="1"/>
    <col min="35" max="35" style="45" width="8.719285714285713" customWidth="1" bestFit="1"/>
    <col min="36" max="36" style="45" width="13.576428571428572" customWidth="1" bestFit="1"/>
    <col min="37" max="37" style="45" width="8.005" customWidth="1" bestFit="1"/>
    <col min="38" max="38" style="45" width="8.43357142857143" customWidth="1" bestFit="1"/>
    <col min="39" max="39" style="45" width="13.43357142857143" customWidth="1" bestFit="1"/>
    <col min="40" max="40" style="73" width="7.576428571428571" customWidth="1" bestFit="1"/>
    <col min="41" max="41" style="73" width="8.862142857142858" customWidth="1" bestFit="1"/>
    <col min="42" max="42" style="45" width="13.576428571428572" customWidth="1" bestFit="1"/>
  </cols>
  <sheetData>
    <row x14ac:dyDescent="0.25" r="1" customHeight="1" ht="27">
      <c r="A1" s="63" t="s">
        <v>238</v>
      </c>
      <c r="B1" s="64"/>
      <c r="C1" s="65"/>
      <c r="D1" s="63"/>
      <c r="E1" s="63"/>
      <c r="F1" s="63"/>
      <c r="G1" s="158"/>
      <c r="H1" s="4"/>
      <c r="I1" s="4"/>
      <c r="J1" s="4"/>
      <c r="K1" s="38"/>
      <c r="L1" s="121"/>
      <c r="M1" s="42"/>
      <c r="N1" s="77"/>
      <c r="O1" s="159"/>
      <c r="P1" s="110"/>
      <c r="Q1" s="159"/>
      <c r="R1" s="38"/>
      <c r="S1" s="121"/>
      <c r="T1" s="38"/>
      <c r="U1" s="79"/>
      <c r="V1" s="159"/>
      <c r="W1" s="121"/>
      <c r="X1" s="160"/>
      <c r="Y1" s="38"/>
      <c r="Z1" s="121"/>
      <c r="AA1" s="38"/>
      <c r="AB1" s="159"/>
      <c r="AC1" s="121"/>
      <c r="AD1" s="160"/>
      <c r="AE1" s="38"/>
      <c r="AF1" s="121"/>
      <c r="AG1" s="38"/>
      <c r="AH1" s="159"/>
      <c r="AI1" s="121"/>
      <c r="AJ1" s="160"/>
      <c r="AK1" s="38"/>
      <c r="AL1" s="121"/>
      <c r="AM1" s="38"/>
      <c r="AN1" s="159"/>
      <c r="AO1" s="110"/>
      <c r="AP1" s="160"/>
    </row>
    <row x14ac:dyDescent="0.25" r="2" customHeight="1" ht="39.75">
      <c r="A2" s="150" t="s">
        <v>191</v>
      </c>
      <c r="B2" s="151" t="s">
        <v>2</v>
      </c>
      <c r="C2" s="8" t="s">
        <v>3</v>
      </c>
      <c r="D2" s="113" t="s">
        <v>239</v>
      </c>
      <c r="E2" s="161"/>
      <c r="F2" s="161"/>
      <c r="G2" s="162"/>
      <c r="H2" s="163">
        <v>44562</v>
      </c>
      <c r="I2" s="163"/>
      <c r="J2" s="163"/>
      <c r="K2" s="113" t="s">
        <v>240</v>
      </c>
      <c r="L2" s="161"/>
      <c r="M2" s="161"/>
      <c r="N2" s="162"/>
      <c r="O2" s="163">
        <v>44593</v>
      </c>
      <c r="P2" s="163"/>
      <c r="Q2" s="163"/>
      <c r="R2" s="164">
        <v>44256</v>
      </c>
      <c r="S2" s="165"/>
      <c r="T2" s="165"/>
      <c r="U2" s="166"/>
      <c r="V2" s="163">
        <v>44621</v>
      </c>
      <c r="W2" s="163"/>
      <c r="X2" s="163"/>
      <c r="Y2" s="164">
        <v>44287</v>
      </c>
      <c r="Z2" s="165"/>
      <c r="AA2" s="166"/>
      <c r="AB2" s="163">
        <v>44652</v>
      </c>
      <c r="AC2" s="163"/>
      <c r="AD2" s="163"/>
      <c r="AE2" s="164">
        <v>44317</v>
      </c>
      <c r="AF2" s="165"/>
      <c r="AG2" s="166"/>
      <c r="AH2" s="163">
        <v>44682</v>
      </c>
      <c r="AI2" s="163"/>
      <c r="AJ2" s="163"/>
      <c r="AK2" s="164">
        <v>44348</v>
      </c>
      <c r="AL2" s="165"/>
      <c r="AM2" s="166"/>
      <c r="AN2" s="167">
        <v>44713</v>
      </c>
      <c r="AO2" s="167"/>
      <c r="AP2" s="167"/>
    </row>
    <row x14ac:dyDescent="0.25" r="3" customHeight="1" ht="39.75">
      <c r="A3" s="17"/>
      <c r="B3" s="16"/>
      <c r="C3" s="18"/>
      <c r="D3" s="17" t="s">
        <v>9</v>
      </c>
      <c r="E3" s="168" t="s">
        <v>10</v>
      </c>
      <c r="F3" s="17" t="s">
        <v>11</v>
      </c>
      <c r="G3" s="87" t="s">
        <v>197</v>
      </c>
      <c r="H3" s="169" t="s">
        <v>9</v>
      </c>
      <c r="I3" s="130" t="s">
        <v>10</v>
      </c>
      <c r="J3" s="169" t="s">
        <v>11</v>
      </c>
      <c r="K3" s="170" t="s">
        <v>9</v>
      </c>
      <c r="L3" s="55" t="s">
        <v>10</v>
      </c>
      <c r="M3" s="152" t="s">
        <v>11</v>
      </c>
      <c r="N3" s="171" t="s">
        <v>197</v>
      </c>
      <c r="O3" s="169" t="s">
        <v>9</v>
      </c>
      <c r="P3" s="130" t="s">
        <v>10</v>
      </c>
      <c r="Q3" s="169" t="s">
        <v>11</v>
      </c>
      <c r="R3" s="13" t="s">
        <v>9</v>
      </c>
      <c r="S3" s="55" t="s">
        <v>10</v>
      </c>
      <c r="T3" s="13" t="s">
        <v>11</v>
      </c>
      <c r="U3" s="172" t="s">
        <v>197</v>
      </c>
      <c r="V3" s="169" t="s">
        <v>9</v>
      </c>
      <c r="W3" s="130" t="s">
        <v>10</v>
      </c>
      <c r="X3" s="169" t="s">
        <v>11</v>
      </c>
      <c r="Y3" s="13" t="s">
        <v>9</v>
      </c>
      <c r="Z3" s="55" t="s">
        <v>10</v>
      </c>
      <c r="AA3" s="13" t="s">
        <v>11</v>
      </c>
      <c r="AB3" s="169" t="s">
        <v>9</v>
      </c>
      <c r="AC3" s="130" t="s">
        <v>10</v>
      </c>
      <c r="AD3" s="169" t="s">
        <v>11</v>
      </c>
      <c r="AE3" s="13" t="s">
        <v>9</v>
      </c>
      <c r="AF3" s="55" t="s">
        <v>10</v>
      </c>
      <c r="AG3" s="13" t="s">
        <v>11</v>
      </c>
      <c r="AH3" s="169" t="s">
        <v>9</v>
      </c>
      <c r="AI3" s="130" t="s">
        <v>10</v>
      </c>
      <c r="AJ3" s="169" t="s">
        <v>11</v>
      </c>
      <c r="AK3" s="13" t="s">
        <v>9</v>
      </c>
      <c r="AL3" s="55" t="s">
        <v>10</v>
      </c>
      <c r="AM3" s="13" t="s">
        <v>11</v>
      </c>
      <c r="AN3" s="173" t="s">
        <v>9</v>
      </c>
      <c r="AO3" s="20" t="s">
        <v>10</v>
      </c>
      <c r="AP3" s="173" t="s">
        <v>11</v>
      </c>
    </row>
    <row x14ac:dyDescent="0.25" r="4" customHeight="1" ht="31.5">
      <c r="A4" s="24">
        <v>1</v>
      </c>
      <c r="B4" s="22" t="s">
        <v>12</v>
      </c>
      <c r="C4" s="23" t="s">
        <v>13</v>
      </c>
      <c r="D4" s="24">
        <v>500</v>
      </c>
      <c r="E4" s="57">
        <v>15000</v>
      </c>
      <c r="F4" s="26">
        <f>D4*E4*98%</f>
      </c>
      <c r="G4" s="90">
        <v>0.02</v>
      </c>
      <c r="H4" s="174">
        <v>550</v>
      </c>
      <c r="I4" s="135">
        <v>20000</v>
      </c>
      <c r="J4" s="175">
        <v>11000000</v>
      </c>
      <c r="K4" s="24">
        <v>150</v>
      </c>
      <c r="L4" s="57">
        <v>15000</v>
      </c>
      <c r="M4" s="26">
        <f>K4*L4*98%</f>
      </c>
      <c r="N4" s="90">
        <v>0.02</v>
      </c>
      <c r="O4" s="174">
        <v>477</v>
      </c>
      <c r="P4" s="135">
        <v>20000</v>
      </c>
      <c r="Q4" s="175">
        <v>9540000</v>
      </c>
      <c r="R4" s="21">
        <v>200</v>
      </c>
      <c r="S4" s="57">
        <v>15000</v>
      </c>
      <c r="T4" s="21">
        <f>R4*S4*98%</f>
      </c>
      <c r="U4" s="90">
        <v>0.02</v>
      </c>
      <c r="V4" s="174">
        <v>675</v>
      </c>
      <c r="W4" s="135">
        <v>20000</v>
      </c>
      <c r="X4" s="175">
        <v>13500000</v>
      </c>
      <c r="Y4" s="21">
        <v>402</v>
      </c>
      <c r="Z4" s="57">
        <v>15000</v>
      </c>
      <c r="AA4" s="21">
        <f>Y4*Z4</f>
      </c>
      <c r="AB4" s="174">
        <v>859</v>
      </c>
      <c r="AC4" s="135">
        <v>20000</v>
      </c>
      <c r="AD4" s="175">
        <v>17180000</v>
      </c>
      <c r="AE4" s="21">
        <v>700</v>
      </c>
      <c r="AF4" s="57">
        <v>15000</v>
      </c>
      <c r="AG4" s="21">
        <f>AE4*AF4</f>
      </c>
      <c r="AH4" s="174">
        <v>639</v>
      </c>
      <c r="AI4" s="135">
        <v>20000</v>
      </c>
      <c r="AJ4" s="175">
        <v>12780000</v>
      </c>
      <c r="AK4" s="24">
        <v>348</v>
      </c>
      <c r="AL4" s="57">
        <v>15000</v>
      </c>
      <c r="AM4" s="26">
        <f>AK4*AL4</f>
      </c>
      <c r="AN4" s="176">
        <v>700</v>
      </c>
      <c r="AO4" s="27">
        <v>20000</v>
      </c>
      <c r="AP4" s="177">
        <f>AN4*AO4</f>
      </c>
    </row>
    <row x14ac:dyDescent="0.25" r="5" customHeight="1" ht="31.5">
      <c r="A5" s="155">
        <v>2</v>
      </c>
      <c r="B5" s="31" t="s">
        <v>14</v>
      </c>
      <c r="C5" s="32" t="s">
        <v>15</v>
      </c>
      <c r="D5" s="24">
        <v>380</v>
      </c>
      <c r="E5" s="57">
        <v>14000</v>
      </c>
      <c r="F5" s="26">
        <f>D5*E5*98%</f>
      </c>
      <c r="G5" s="90">
        <v>0.02</v>
      </c>
      <c r="H5" s="174">
        <v>250</v>
      </c>
      <c r="I5" s="135">
        <v>20000</v>
      </c>
      <c r="J5" s="175">
        <v>5000000</v>
      </c>
      <c r="K5" s="24">
        <v>100</v>
      </c>
      <c r="L5" s="57">
        <v>14000</v>
      </c>
      <c r="M5" s="26">
        <f>K5*L5*98%</f>
      </c>
      <c r="N5" s="90">
        <v>0.02</v>
      </c>
      <c r="O5" s="174">
        <f>4+150</f>
      </c>
      <c r="P5" s="135" t="s">
        <v>16</v>
      </c>
      <c r="Q5" s="175">
        <f>56000+3000000</f>
      </c>
      <c r="R5" s="21">
        <v>805</v>
      </c>
      <c r="S5" s="57">
        <v>14000</v>
      </c>
      <c r="T5" s="21">
        <f>R5*S5*98%</f>
      </c>
      <c r="U5" s="90">
        <v>0.02</v>
      </c>
      <c r="V5" s="174">
        <v>441</v>
      </c>
      <c r="W5" s="135">
        <v>20000</v>
      </c>
      <c r="X5" s="175">
        <v>8820000</v>
      </c>
      <c r="Y5" s="21">
        <v>654</v>
      </c>
      <c r="Z5" s="57">
        <v>14000</v>
      </c>
      <c r="AA5" s="21">
        <f>Y5*Z5</f>
      </c>
      <c r="AB5" s="174">
        <v>745</v>
      </c>
      <c r="AC5" s="135">
        <v>20000</v>
      </c>
      <c r="AD5" s="175">
        <v>14900000</v>
      </c>
      <c r="AE5" s="21">
        <v>1145</v>
      </c>
      <c r="AF5" s="57">
        <v>14000</v>
      </c>
      <c r="AG5" s="21">
        <f>AE5*AF5</f>
      </c>
      <c r="AH5" s="174">
        <v>914</v>
      </c>
      <c r="AI5" s="135">
        <v>20000</v>
      </c>
      <c r="AJ5" s="175">
        <v>18280000</v>
      </c>
      <c r="AK5" s="24">
        <v>586</v>
      </c>
      <c r="AL5" s="57">
        <v>14000</v>
      </c>
      <c r="AM5" s="26">
        <f>AK5*AL5</f>
      </c>
      <c r="AN5" s="178">
        <v>500</v>
      </c>
      <c r="AO5" s="29">
        <v>20000</v>
      </c>
      <c r="AP5" s="177">
        <f>AN5*AO5</f>
      </c>
    </row>
    <row x14ac:dyDescent="0.25" r="6" customHeight="1" ht="27">
      <c r="A6" s="24">
        <v>3</v>
      </c>
      <c r="B6" s="22" t="s">
        <v>17</v>
      </c>
      <c r="C6" s="23" t="s">
        <v>18</v>
      </c>
      <c r="D6" s="13"/>
      <c r="E6" s="55"/>
      <c r="F6" s="13"/>
      <c r="G6" s="179"/>
      <c r="H6" s="174">
        <v>148</v>
      </c>
      <c r="I6" s="135">
        <v>52500</v>
      </c>
      <c r="J6" s="175">
        <v>7770000</v>
      </c>
      <c r="K6" s="24">
        <v>299</v>
      </c>
      <c r="L6" s="57">
        <v>36500</v>
      </c>
      <c r="M6" s="26">
        <f>K6*L6*98%</f>
      </c>
      <c r="N6" s="90">
        <v>0.02</v>
      </c>
      <c r="O6" s="174">
        <v>94</v>
      </c>
      <c r="P6" s="135">
        <v>52500</v>
      </c>
      <c r="Q6" s="175">
        <v>4935000</v>
      </c>
      <c r="R6" s="21">
        <v>276</v>
      </c>
      <c r="S6" s="57">
        <v>36500</v>
      </c>
      <c r="T6" s="21">
        <f>R6*S6*98%</f>
      </c>
      <c r="U6" s="90">
        <v>0.02</v>
      </c>
      <c r="V6" s="169"/>
      <c r="W6" s="130"/>
      <c r="X6" s="169"/>
      <c r="Y6" s="21">
        <v>218</v>
      </c>
      <c r="Z6" s="57">
        <v>36500</v>
      </c>
      <c r="AA6" s="21">
        <f>Y6*Z6</f>
      </c>
      <c r="AB6" s="174">
        <v>158</v>
      </c>
      <c r="AC6" s="135">
        <v>52500</v>
      </c>
      <c r="AD6" s="175">
        <v>8295000</v>
      </c>
      <c r="AE6" s="13"/>
      <c r="AF6" s="55"/>
      <c r="AG6" s="13"/>
      <c r="AH6" s="174">
        <v>200</v>
      </c>
      <c r="AI6" s="135">
        <v>52500</v>
      </c>
      <c r="AJ6" s="175">
        <v>10500000</v>
      </c>
      <c r="AK6" s="24">
        <v>50</v>
      </c>
      <c r="AL6" s="57">
        <v>40200</v>
      </c>
      <c r="AM6" s="26">
        <f>AK6*AL6</f>
      </c>
      <c r="AN6" s="176">
        <v>100</v>
      </c>
      <c r="AO6" s="27">
        <v>52500</v>
      </c>
      <c r="AP6" s="177">
        <f>AN6*AO6</f>
      </c>
    </row>
    <row x14ac:dyDescent="0.25" r="7" customHeight="1" ht="27">
      <c r="A7" s="155">
        <v>4</v>
      </c>
      <c r="B7" s="22" t="s">
        <v>19</v>
      </c>
      <c r="C7" s="23" t="s">
        <v>20</v>
      </c>
      <c r="D7" s="24">
        <v>1969</v>
      </c>
      <c r="E7" s="57">
        <v>37000</v>
      </c>
      <c r="F7" s="26">
        <f>D7*E7*98%</f>
      </c>
      <c r="G7" s="90">
        <v>0.02</v>
      </c>
      <c r="H7" s="174">
        <v>1169</v>
      </c>
      <c r="I7" s="135">
        <v>53000</v>
      </c>
      <c r="J7" s="175">
        <v>61957000</v>
      </c>
      <c r="K7" s="24">
        <v>1200</v>
      </c>
      <c r="L7" s="57">
        <v>37000</v>
      </c>
      <c r="M7" s="26">
        <f>K7*L7*98%</f>
      </c>
      <c r="N7" s="90">
        <v>0.02</v>
      </c>
      <c r="O7" s="174">
        <v>1478</v>
      </c>
      <c r="P7" s="135">
        <v>53000</v>
      </c>
      <c r="Q7" s="175">
        <v>78334000</v>
      </c>
      <c r="R7" s="21">
        <v>915</v>
      </c>
      <c r="S7" s="57">
        <v>37000</v>
      </c>
      <c r="T7" s="21">
        <f>R7*S7*98%</f>
      </c>
      <c r="U7" s="90">
        <v>0.02</v>
      </c>
      <c r="V7" s="174">
        <v>1206</v>
      </c>
      <c r="W7" s="135">
        <v>53000</v>
      </c>
      <c r="X7" s="175">
        <v>63918000</v>
      </c>
      <c r="Y7" s="21">
        <v>319</v>
      </c>
      <c r="Z7" s="57">
        <v>37000</v>
      </c>
      <c r="AA7" s="21">
        <f>Y7*Z7</f>
      </c>
      <c r="AB7" s="174">
        <v>1293</v>
      </c>
      <c r="AC7" s="135">
        <v>53000</v>
      </c>
      <c r="AD7" s="175">
        <v>68529000</v>
      </c>
      <c r="AE7" s="21">
        <v>885</v>
      </c>
      <c r="AF7" s="57">
        <v>40700</v>
      </c>
      <c r="AG7" s="21">
        <f>AE7*AF7</f>
      </c>
      <c r="AH7" s="174">
        <v>1183</v>
      </c>
      <c r="AI7" s="135">
        <v>53000</v>
      </c>
      <c r="AJ7" s="175">
        <v>62699000</v>
      </c>
      <c r="AK7" s="24">
        <v>1007</v>
      </c>
      <c r="AL7" s="57">
        <v>40700</v>
      </c>
      <c r="AM7" s="26">
        <f>AK7*AL7</f>
      </c>
      <c r="AN7" s="176">
        <v>1328</v>
      </c>
      <c r="AO7" s="27">
        <v>53000</v>
      </c>
      <c r="AP7" s="177">
        <f>AN7*AO7</f>
      </c>
    </row>
    <row x14ac:dyDescent="0.25" r="8" customHeight="1" ht="24">
      <c r="A8" s="24">
        <v>5</v>
      </c>
      <c r="B8" s="22" t="s">
        <v>21</v>
      </c>
      <c r="C8" s="23" t="s">
        <v>22</v>
      </c>
      <c r="D8" s="24">
        <v>1285</v>
      </c>
      <c r="E8" s="57">
        <v>42500</v>
      </c>
      <c r="F8" s="26">
        <f>D8*E8*98%</f>
      </c>
      <c r="G8" s="90">
        <v>0.02</v>
      </c>
      <c r="H8" s="174">
        <v>1192</v>
      </c>
      <c r="I8" s="135">
        <v>62500</v>
      </c>
      <c r="J8" s="175">
        <v>74500000</v>
      </c>
      <c r="K8" s="24">
        <v>689</v>
      </c>
      <c r="L8" s="57">
        <v>42500</v>
      </c>
      <c r="M8" s="26">
        <f>K8*L8*98%</f>
      </c>
      <c r="N8" s="90">
        <v>0.02</v>
      </c>
      <c r="O8" s="174">
        <v>511</v>
      </c>
      <c r="P8" s="135">
        <v>62500</v>
      </c>
      <c r="Q8" s="175">
        <v>31937500</v>
      </c>
      <c r="R8" s="21">
        <v>296</v>
      </c>
      <c r="S8" s="57">
        <v>42500</v>
      </c>
      <c r="T8" s="21">
        <f>R8*S8*98%</f>
      </c>
      <c r="U8" s="90">
        <v>0.02</v>
      </c>
      <c r="V8" s="174">
        <v>1139</v>
      </c>
      <c r="W8" s="135">
        <v>62500</v>
      </c>
      <c r="X8" s="175">
        <v>71187500</v>
      </c>
      <c r="Y8" s="21">
        <v>333</v>
      </c>
      <c r="Z8" s="57">
        <v>42500</v>
      </c>
      <c r="AA8" s="21">
        <f>Y8*Z8</f>
      </c>
      <c r="AB8" s="174">
        <v>760</v>
      </c>
      <c r="AC8" s="135">
        <v>62500</v>
      </c>
      <c r="AD8" s="175">
        <v>47500000</v>
      </c>
      <c r="AE8" s="21">
        <v>735</v>
      </c>
      <c r="AF8" s="57">
        <v>46800</v>
      </c>
      <c r="AG8" s="21">
        <f>AE8*AF8</f>
      </c>
      <c r="AH8" s="174">
        <v>1190</v>
      </c>
      <c r="AI8" s="135">
        <v>62500</v>
      </c>
      <c r="AJ8" s="175">
        <v>74375000</v>
      </c>
      <c r="AK8" s="24">
        <v>880</v>
      </c>
      <c r="AL8" s="57">
        <v>46800</v>
      </c>
      <c r="AM8" s="26">
        <f>AK8*AL8</f>
      </c>
      <c r="AN8" s="176">
        <v>510</v>
      </c>
      <c r="AO8" s="27">
        <v>62500</v>
      </c>
      <c r="AP8" s="177">
        <f>AN8*AO8</f>
      </c>
    </row>
    <row x14ac:dyDescent="0.25" r="9" customHeight="1" ht="27">
      <c r="A9" s="155">
        <v>6</v>
      </c>
      <c r="B9" s="22" t="s">
        <v>23</v>
      </c>
      <c r="C9" s="23" t="s">
        <v>24</v>
      </c>
      <c r="D9" s="24">
        <v>170</v>
      </c>
      <c r="E9" s="57">
        <v>52000</v>
      </c>
      <c r="F9" s="26">
        <f>D9*E9*98%</f>
      </c>
      <c r="G9" s="90">
        <v>0.02</v>
      </c>
      <c r="H9" s="174">
        <v>100</v>
      </c>
      <c r="I9" s="135">
        <v>90500</v>
      </c>
      <c r="J9" s="175">
        <v>9050000</v>
      </c>
      <c r="K9" s="24"/>
      <c r="L9" s="57"/>
      <c r="M9" s="26"/>
      <c r="N9" s="90"/>
      <c r="O9" s="174"/>
      <c r="P9" s="135"/>
      <c r="Q9" s="175"/>
      <c r="R9" s="21"/>
      <c r="S9" s="57"/>
      <c r="T9" s="21"/>
      <c r="U9" s="90"/>
      <c r="V9" s="174">
        <v>100</v>
      </c>
      <c r="W9" s="135">
        <v>90500</v>
      </c>
      <c r="X9" s="175">
        <v>9050000</v>
      </c>
      <c r="Y9" s="21">
        <v>1</v>
      </c>
      <c r="Z9" s="57">
        <v>52000</v>
      </c>
      <c r="AA9" s="21">
        <f>Y9*Z9</f>
      </c>
      <c r="AB9" s="174">
        <v>56</v>
      </c>
      <c r="AC9" s="135">
        <v>90500</v>
      </c>
      <c r="AD9" s="175">
        <v>5068000</v>
      </c>
      <c r="AE9" s="21"/>
      <c r="AF9" s="57"/>
      <c r="AG9" s="21"/>
      <c r="AH9" s="174">
        <v>54</v>
      </c>
      <c r="AI9" s="135">
        <v>90500</v>
      </c>
      <c r="AJ9" s="175">
        <v>4887000</v>
      </c>
      <c r="AK9" s="24">
        <v>91</v>
      </c>
      <c r="AL9" s="57">
        <v>62400</v>
      </c>
      <c r="AM9" s="26">
        <f>AK9*AL9</f>
      </c>
      <c r="AN9" s="176">
        <v>100</v>
      </c>
      <c r="AO9" s="27">
        <v>90500</v>
      </c>
      <c r="AP9" s="177">
        <f>AN9*AO9</f>
      </c>
    </row>
    <row x14ac:dyDescent="0.25" r="10" customHeight="1" ht="27">
      <c r="A10" s="24">
        <v>7</v>
      </c>
      <c r="B10" s="22" t="s">
        <v>25</v>
      </c>
      <c r="C10" s="23" t="s">
        <v>26</v>
      </c>
      <c r="D10" s="24"/>
      <c r="E10" s="57"/>
      <c r="F10" s="26"/>
      <c r="G10" s="90"/>
      <c r="H10" s="174">
        <v>100</v>
      </c>
      <c r="I10" s="135">
        <v>64000</v>
      </c>
      <c r="J10" s="175">
        <v>6400000</v>
      </c>
      <c r="K10" s="24"/>
      <c r="L10" s="57"/>
      <c r="M10" s="26"/>
      <c r="N10" s="90"/>
      <c r="O10" s="174">
        <v>50</v>
      </c>
      <c r="P10" s="135">
        <v>64000</v>
      </c>
      <c r="Q10" s="175">
        <v>3200000</v>
      </c>
      <c r="R10" s="21"/>
      <c r="S10" s="57"/>
      <c r="T10" s="21"/>
      <c r="U10" s="90"/>
      <c r="V10" s="174">
        <v>100</v>
      </c>
      <c r="W10" s="135">
        <v>64000</v>
      </c>
      <c r="X10" s="175">
        <v>6400000</v>
      </c>
      <c r="Y10" s="21">
        <v>2</v>
      </c>
      <c r="Z10" s="57">
        <v>43500</v>
      </c>
      <c r="AA10" s="21">
        <f>Y10*Z10</f>
      </c>
      <c r="AB10" s="174">
        <v>78</v>
      </c>
      <c r="AC10" s="135">
        <v>64000</v>
      </c>
      <c r="AD10" s="175">
        <v>4992000</v>
      </c>
      <c r="AE10" s="21"/>
      <c r="AF10" s="57"/>
      <c r="AG10" s="21"/>
      <c r="AH10" s="174">
        <v>72</v>
      </c>
      <c r="AI10" s="135">
        <v>64000</v>
      </c>
      <c r="AJ10" s="175">
        <v>4608000</v>
      </c>
      <c r="AK10" s="24">
        <v>50</v>
      </c>
      <c r="AL10" s="57">
        <v>47900</v>
      </c>
      <c r="AM10" s="26">
        <f>AK10*AL10</f>
      </c>
      <c r="AN10" s="176">
        <v>100</v>
      </c>
      <c r="AO10" s="27">
        <v>64000</v>
      </c>
      <c r="AP10" s="177">
        <f>AN10*AO10</f>
      </c>
    </row>
    <row x14ac:dyDescent="0.25" r="11" customHeight="1" ht="27">
      <c r="A11" s="155">
        <v>8</v>
      </c>
      <c r="B11" s="22" t="s">
        <v>27</v>
      </c>
      <c r="C11" s="23" t="s">
        <v>28</v>
      </c>
      <c r="D11" s="24">
        <v>95</v>
      </c>
      <c r="E11" s="57">
        <v>44000</v>
      </c>
      <c r="F11" s="26">
        <f>D11*E11*98%</f>
      </c>
      <c r="G11" s="90">
        <v>0.02</v>
      </c>
      <c r="H11" s="174">
        <v>150</v>
      </c>
      <c r="I11" s="135">
        <v>64500</v>
      </c>
      <c r="J11" s="175">
        <v>9675000</v>
      </c>
      <c r="K11" s="24"/>
      <c r="L11" s="57"/>
      <c r="M11" s="26"/>
      <c r="N11" s="90"/>
      <c r="O11" s="174">
        <v>320</v>
      </c>
      <c r="P11" s="135">
        <v>64500</v>
      </c>
      <c r="Q11" s="175">
        <v>20640000</v>
      </c>
      <c r="R11" s="21">
        <v>135</v>
      </c>
      <c r="S11" s="57">
        <v>44000</v>
      </c>
      <c r="T11" s="21">
        <f>R11*S11*98%</f>
      </c>
      <c r="U11" s="90">
        <v>0.02</v>
      </c>
      <c r="V11" s="174">
        <v>398</v>
      </c>
      <c r="W11" s="135">
        <v>64500</v>
      </c>
      <c r="X11" s="175">
        <v>25671000</v>
      </c>
      <c r="Y11" s="21">
        <v>101</v>
      </c>
      <c r="Z11" s="57">
        <v>44000</v>
      </c>
      <c r="AA11" s="21">
        <f>Y11*Z11</f>
      </c>
      <c r="AB11" s="174">
        <v>290</v>
      </c>
      <c r="AC11" s="135">
        <v>64500</v>
      </c>
      <c r="AD11" s="175">
        <v>18705000</v>
      </c>
      <c r="AE11" s="21">
        <v>474</v>
      </c>
      <c r="AF11" s="57">
        <v>48400</v>
      </c>
      <c r="AG11" s="21">
        <f>AE11*AF11</f>
      </c>
      <c r="AH11" s="174">
        <v>342</v>
      </c>
      <c r="AI11" s="135">
        <v>64500</v>
      </c>
      <c r="AJ11" s="175">
        <v>22059000</v>
      </c>
      <c r="AK11" s="24">
        <v>163</v>
      </c>
      <c r="AL11" s="57">
        <v>48400</v>
      </c>
      <c r="AM11" s="26">
        <f>AK11*AL11</f>
      </c>
      <c r="AN11" s="176">
        <v>350</v>
      </c>
      <c r="AO11" s="27">
        <v>64500</v>
      </c>
      <c r="AP11" s="177">
        <f>AN11*AO11</f>
      </c>
    </row>
    <row x14ac:dyDescent="0.25" r="12" customHeight="1" ht="27">
      <c r="A12" s="24">
        <v>9</v>
      </c>
      <c r="B12" s="22" t="s">
        <v>29</v>
      </c>
      <c r="C12" s="23" t="s">
        <v>30</v>
      </c>
      <c r="D12" s="24">
        <v>150</v>
      </c>
      <c r="E12" s="57">
        <v>49000</v>
      </c>
      <c r="F12" s="26">
        <f>D12*E12*98%</f>
      </c>
      <c r="G12" s="90">
        <v>0.02</v>
      </c>
      <c r="H12" s="174">
        <v>50</v>
      </c>
      <c r="I12" s="135">
        <v>68500</v>
      </c>
      <c r="J12" s="175">
        <v>3425000</v>
      </c>
      <c r="K12" s="24"/>
      <c r="L12" s="57"/>
      <c r="M12" s="26"/>
      <c r="N12" s="90"/>
      <c r="O12" s="174">
        <v>2</v>
      </c>
      <c r="P12" s="135">
        <v>48000</v>
      </c>
      <c r="Q12" s="175">
        <v>96000</v>
      </c>
      <c r="R12" s="21"/>
      <c r="S12" s="57"/>
      <c r="T12" s="21"/>
      <c r="U12" s="90"/>
      <c r="V12" s="174">
        <v>100</v>
      </c>
      <c r="W12" s="135">
        <v>68500</v>
      </c>
      <c r="X12" s="175">
        <v>6850000</v>
      </c>
      <c r="Y12" s="21">
        <v>2</v>
      </c>
      <c r="Z12" s="57">
        <v>49000</v>
      </c>
      <c r="AA12" s="21">
        <f>Y12*Z12</f>
      </c>
      <c r="AB12" s="174">
        <v>26</v>
      </c>
      <c r="AC12" s="135">
        <v>68500</v>
      </c>
      <c r="AD12" s="175">
        <v>1781000</v>
      </c>
      <c r="AE12" s="21"/>
      <c r="AF12" s="57"/>
      <c r="AG12" s="21"/>
      <c r="AH12" s="174">
        <v>74</v>
      </c>
      <c r="AI12" s="135">
        <v>68500</v>
      </c>
      <c r="AJ12" s="175">
        <v>5069000</v>
      </c>
      <c r="AK12" s="24"/>
      <c r="AL12" s="57"/>
      <c r="AM12" s="26"/>
      <c r="AN12" s="176"/>
      <c r="AO12" s="27"/>
      <c r="AP12" s="177">
        <f>AN12*AO12</f>
      </c>
    </row>
    <row x14ac:dyDescent="0.25" r="13" customHeight="1" ht="27">
      <c r="A13" s="155">
        <v>10</v>
      </c>
      <c r="B13" s="22" t="s">
        <v>32</v>
      </c>
      <c r="C13" s="23" t="s">
        <v>33</v>
      </c>
      <c r="D13" s="24"/>
      <c r="E13" s="57"/>
      <c r="F13" s="26"/>
      <c r="G13" s="90"/>
      <c r="H13" s="174">
        <v>50</v>
      </c>
      <c r="I13" s="135">
        <v>72500</v>
      </c>
      <c r="J13" s="175">
        <v>3625000</v>
      </c>
      <c r="K13" s="24"/>
      <c r="L13" s="57"/>
      <c r="M13" s="26"/>
      <c r="N13" s="90"/>
      <c r="O13" s="174">
        <v>81</v>
      </c>
      <c r="P13" s="135">
        <v>72500</v>
      </c>
      <c r="Q13" s="175">
        <v>5872500</v>
      </c>
      <c r="R13" s="21"/>
      <c r="S13" s="57"/>
      <c r="T13" s="21"/>
      <c r="U13" s="90"/>
      <c r="V13" s="174">
        <v>50</v>
      </c>
      <c r="W13" s="135">
        <v>72500</v>
      </c>
      <c r="X13" s="175">
        <v>3625000</v>
      </c>
      <c r="Y13" s="21"/>
      <c r="Z13" s="57"/>
      <c r="AA13" s="21"/>
      <c r="AB13" s="174">
        <v>74</v>
      </c>
      <c r="AC13" s="135">
        <v>72500</v>
      </c>
      <c r="AD13" s="175">
        <v>5365000</v>
      </c>
      <c r="AE13" s="21"/>
      <c r="AF13" s="57"/>
      <c r="AG13" s="21"/>
      <c r="AH13" s="174">
        <v>45</v>
      </c>
      <c r="AI13" s="135">
        <v>72500</v>
      </c>
      <c r="AJ13" s="175">
        <v>3262500</v>
      </c>
      <c r="AK13" s="24">
        <v>130</v>
      </c>
      <c r="AL13" s="57">
        <v>56700</v>
      </c>
      <c r="AM13" s="26">
        <f>AK13*AL13</f>
      </c>
      <c r="AN13" s="176">
        <v>100</v>
      </c>
      <c r="AO13" s="27">
        <v>72500</v>
      </c>
      <c r="AP13" s="177">
        <f>AN13*AO13</f>
      </c>
    </row>
    <row x14ac:dyDescent="0.25" r="14" customHeight="1" ht="27">
      <c r="A14" s="24">
        <v>11</v>
      </c>
      <c r="B14" s="31" t="s">
        <v>34</v>
      </c>
      <c r="C14" s="32" t="s">
        <v>35</v>
      </c>
      <c r="D14" s="24"/>
      <c r="E14" s="57"/>
      <c r="F14" s="26"/>
      <c r="G14" s="90"/>
      <c r="H14" s="174">
        <v>150</v>
      </c>
      <c r="I14" s="135">
        <v>76500</v>
      </c>
      <c r="J14" s="175">
        <v>11475000</v>
      </c>
      <c r="K14" s="24">
        <v>275</v>
      </c>
      <c r="L14" s="57">
        <v>54500</v>
      </c>
      <c r="M14" s="26">
        <f>K14*L14*98%</f>
      </c>
      <c r="N14" s="90">
        <v>0.02</v>
      </c>
      <c r="O14" s="174">
        <f>3+100</f>
      </c>
      <c r="P14" s="135" t="s">
        <v>36</v>
      </c>
      <c r="Q14" s="175">
        <f>153000+7650000</f>
      </c>
      <c r="R14" s="21"/>
      <c r="S14" s="57"/>
      <c r="T14" s="21"/>
      <c r="U14" s="90"/>
      <c r="V14" s="174">
        <v>200</v>
      </c>
      <c r="W14" s="135">
        <v>76500</v>
      </c>
      <c r="X14" s="175">
        <v>15300000</v>
      </c>
      <c r="Y14" s="21"/>
      <c r="Z14" s="57"/>
      <c r="AA14" s="21"/>
      <c r="AB14" s="174">
        <v>183</v>
      </c>
      <c r="AC14" s="135">
        <v>76500</v>
      </c>
      <c r="AD14" s="175">
        <v>13999500</v>
      </c>
      <c r="AE14" s="21">
        <v>170</v>
      </c>
      <c r="AF14" s="57">
        <v>60000</v>
      </c>
      <c r="AG14" s="21">
        <f>AE14*AF14</f>
      </c>
      <c r="AH14" s="174">
        <v>170</v>
      </c>
      <c r="AI14" s="135">
        <v>76500</v>
      </c>
      <c r="AJ14" s="175">
        <v>13005000</v>
      </c>
      <c r="AK14" s="24">
        <v>55</v>
      </c>
      <c r="AL14" s="57">
        <v>60000</v>
      </c>
      <c r="AM14" s="26">
        <f>AK14*AL14</f>
      </c>
      <c r="AN14" s="178">
        <v>97</v>
      </c>
      <c r="AO14" s="29">
        <v>76500</v>
      </c>
      <c r="AP14" s="177">
        <f>AN14*AO14</f>
      </c>
    </row>
    <row x14ac:dyDescent="0.25" r="15" customHeight="1" ht="27">
      <c r="A15" s="155">
        <v>12</v>
      </c>
      <c r="B15" s="22" t="s">
        <v>37</v>
      </c>
      <c r="C15" s="23" t="s">
        <v>38</v>
      </c>
      <c r="D15" s="24"/>
      <c r="E15" s="57"/>
      <c r="F15" s="26"/>
      <c r="G15" s="90"/>
      <c r="H15" s="174">
        <v>100</v>
      </c>
      <c r="I15" s="135">
        <v>79000</v>
      </c>
      <c r="J15" s="175">
        <v>7900000</v>
      </c>
      <c r="K15" s="24"/>
      <c r="L15" s="57"/>
      <c r="M15" s="26"/>
      <c r="N15" s="90"/>
      <c r="O15" s="174">
        <v>107</v>
      </c>
      <c r="P15" s="135">
        <v>79000</v>
      </c>
      <c r="Q15" s="175">
        <v>8453000</v>
      </c>
      <c r="R15" s="21">
        <v>199</v>
      </c>
      <c r="S15" s="57">
        <v>53500</v>
      </c>
      <c r="T15" s="21">
        <f>R15*S15*98%</f>
      </c>
      <c r="U15" s="90">
        <v>0.02</v>
      </c>
      <c r="V15" s="174">
        <v>243</v>
      </c>
      <c r="W15" s="135">
        <v>79000</v>
      </c>
      <c r="X15" s="175">
        <v>19197000</v>
      </c>
      <c r="Y15" s="21">
        <v>3</v>
      </c>
      <c r="Z15" s="57">
        <v>53500</v>
      </c>
      <c r="AA15" s="21">
        <f>Y15*Z15</f>
      </c>
      <c r="AB15" s="174">
        <v>206</v>
      </c>
      <c r="AC15" s="135">
        <v>79000</v>
      </c>
      <c r="AD15" s="175">
        <v>16274000</v>
      </c>
      <c r="AE15" s="21"/>
      <c r="AF15" s="57"/>
      <c r="AG15" s="21"/>
      <c r="AH15" s="174">
        <v>94</v>
      </c>
      <c r="AI15" s="135">
        <v>79000</v>
      </c>
      <c r="AJ15" s="175">
        <v>7426000</v>
      </c>
      <c r="AK15" s="24">
        <v>235</v>
      </c>
      <c r="AL15" s="57">
        <v>58900</v>
      </c>
      <c r="AM15" s="26">
        <f>AK15*AL15</f>
      </c>
      <c r="AN15" s="176">
        <v>100</v>
      </c>
      <c r="AO15" s="27">
        <v>79000</v>
      </c>
      <c r="AP15" s="177">
        <f>AN15*AO15</f>
      </c>
    </row>
    <row x14ac:dyDescent="0.25" r="16" customHeight="1" ht="31.5">
      <c r="A16" s="24">
        <v>13</v>
      </c>
      <c r="B16" s="31" t="s">
        <v>39</v>
      </c>
      <c r="C16" s="32" t="s">
        <v>40</v>
      </c>
      <c r="D16" s="24">
        <v>1028</v>
      </c>
      <c r="E16" s="57">
        <v>54000</v>
      </c>
      <c r="F16" s="26">
        <f>D16*E16*98%</f>
      </c>
      <c r="G16" s="90">
        <v>0.02</v>
      </c>
      <c r="H16" s="174">
        <v>550</v>
      </c>
      <c r="I16" s="135">
        <v>79500</v>
      </c>
      <c r="J16" s="175">
        <v>43725000</v>
      </c>
      <c r="K16" s="24">
        <v>310</v>
      </c>
      <c r="L16" s="57">
        <v>54000</v>
      </c>
      <c r="M16" s="26">
        <f>K16*L16*98%</f>
      </c>
      <c r="N16" s="90">
        <v>0.02</v>
      </c>
      <c r="O16" s="174">
        <f>3+530</f>
      </c>
      <c r="P16" s="135" t="s">
        <v>41</v>
      </c>
      <c r="Q16" s="175">
        <f>162000+42135000</f>
      </c>
      <c r="R16" s="21">
        <v>395</v>
      </c>
      <c r="S16" s="57">
        <v>54000</v>
      </c>
      <c r="T16" s="21">
        <f>R16*S16*98%</f>
      </c>
      <c r="U16" s="90">
        <v>0.02</v>
      </c>
      <c r="V16" s="174">
        <v>572</v>
      </c>
      <c r="W16" s="135">
        <v>79500</v>
      </c>
      <c r="X16" s="175">
        <v>45474000</v>
      </c>
      <c r="Y16" s="21">
        <v>443</v>
      </c>
      <c r="Z16" s="57">
        <v>54000</v>
      </c>
      <c r="AA16" s="21">
        <f>Y16*Z16</f>
      </c>
      <c r="AB16" s="174">
        <v>472</v>
      </c>
      <c r="AC16" s="135">
        <v>79500</v>
      </c>
      <c r="AD16" s="175">
        <v>37524000</v>
      </c>
      <c r="AE16" s="21">
        <v>715</v>
      </c>
      <c r="AF16" s="57">
        <v>59400</v>
      </c>
      <c r="AG16" s="21">
        <f>AE16*AF16</f>
      </c>
      <c r="AH16" s="174">
        <v>426</v>
      </c>
      <c r="AI16" s="135">
        <v>79500</v>
      </c>
      <c r="AJ16" s="175">
        <v>33867000</v>
      </c>
      <c r="AK16" s="24">
        <v>494</v>
      </c>
      <c r="AL16" s="57">
        <v>59400</v>
      </c>
      <c r="AM16" s="26">
        <f>AK16*AL16</f>
      </c>
      <c r="AN16" s="178">
        <v>200</v>
      </c>
      <c r="AO16" s="29">
        <v>79500</v>
      </c>
      <c r="AP16" s="177">
        <f>AN16*AO16</f>
      </c>
    </row>
    <row x14ac:dyDescent="0.25" r="17" customHeight="1" ht="31.5">
      <c r="A17" s="155">
        <v>14</v>
      </c>
      <c r="B17" s="22" t="s">
        <v>42</v>
      </c>
      <c r="C17" s="23" t="s">
        <v>43</v>
      </c>
      <c r="D17" s="24">
        <v>4</v>
      </c>
      <c r="E17" s="57">
        <v>68500</v>
      </c>
      <c r="F17" s="26">
        <f>D17*E17*98%</f>
      </c>
      <c r="G17" s="90">
        <v>0.02</v>
      </c>
      <c r="H17" s="174">
        <v>82</v>
      </c>
      <c r="I17" s="135">
        <v>100000</v>
      </c>
      <c r="J17" s="175">
        <v>8200000</v>
      </c>
      <c r="K17" s="24"/>
      <c r="L17" s="57"/>
      <c r="M17" s="26"/>
      <c r="N17" s="90"/>
      <c r="O17" s="174">
        <v>218</v>
      </c>
      <c r="P17" s="135">
        <v>100000</v>
      </c>
      <c r="Q17" s="175">
        <v>21800000</v>
      </c>
      <c r="R17" s="21">
        <v>190</v>
      </c>
      <c r="S17" s="57">
        <v>68500</v>
      </c>
      <c r="T17" s="21">
        <f>R17*S17*98%</f>
      </c>
      <c r="U17" s="90">
        <v>0.02</v>
      </c>
      <c r="V17" s="174">
        <v>104</v>
      </c>
      <c r="W17" s="135">
        <v>100000</v>
      </c>
      <c r="X17" s="175">
        <v>10400000</v>
      </c>
      <c r="Y17" s="21"/>
      <c r="Z17" s="57"/>
      <c r="AA17" s="21"/>
      <c r="AB17" s="174">
        <v>110</v>
      </c>
      <c r="AC17" s="135">
        <v>100000</v>
      </c>
      <c r="AD17" s="175">
        <v>11000000</v>
      </c>
      <c r="AE17" s="21"/>
      <c r="AF17" s="57"/>
      <c r="AG17" s="21"/>
      <c r="AH17" s="174">
        <v>86</v>
      </c>
      <c r="AI17" s="135">
        <v>100000</v>
      </c>
      <c r="AJ17" s="175">
        <v>8600000</v>
      </c>
      <c r="AK17" s="24">
        <v>179</v>
      </c>
      <c r="AL17" s="57">
        <v>75400</v>
      </c>
      <c r="AM17" s="26">
        <f>AK17*AL17</f>
      </c>
      <c r="AN17" s="176">
        <v>100</v>
      </c>
      <c r="AO17" s="27">
        <v>100000</v>
      </c>
      <c r="AP17" s="177">
        <f>AN17*AO17</f>
      </c>
    </row>
    <row x14ac:dyDescent="0.25" r="18" customHeight="1" ht="31.5">
      <c r="A18" s="24">
        <v>15</v>
      </c>
      <c r="B18" s="22" t="s">
        <v>44</v>
      </c>
      <c r="C18" s="23" t="s">
        <v>45</v>
      </c>
      <c r="D18" s="24">
        <v>377</v>
      </c>
      <c r="E18" s="57">
        <v>59500</v>
      </c>
      <c r="F18" s="26">
        <f>D18*E18*98%</f>
      </c>
      <c r="G18" s="90">
        <v>0.02</v>
      </c>
      <c r="H18" s="174">
        <v>685</v>
      </c>
      <c r="I18" s="135">
        <v>84500</v>
      </c>
      <c r="J18" s="175">
        <v>57882500</v>
      </c>
      <c r="K18" s="24">
        <v>575</v>
      </c>
      <c r="L18" s="57">
        <v>59500</v>
      </c>
      <c r="M18" s="26">
        <f>K18*L18*98%</f>
      </c>
      <c r="N18" s="90">
        <v>0.02</v>
      </c>
      <c r="O18" s="174">
        <v>386</v>
      </c>
      <c r="P18" s="135">
        <v>84500</v>
      </c>
      <c r="Q18" s="175">
        <v>32617000</v>
      </c>
      <c r="R18" s="21">
        <v>344</v>
      </c>
      <c r="S18" s="57">
        <v>59500</v>
      </c>
      <c r="T18" s="21">
        <f>R18*S18*98%</f>
      </c>
      <c r="U18" s="90">
        <v>0.02</v>
      </c>
      <c r="V18" s="174">
        <v>699</v>
      </c>
      <c r="W18" s="135">
        <v>84500</v>
      </c>
      <c r="X18" s="175">
        <v>59065500</v>
      </c>
      <c r="Y18" s="21">
        <v>355</v>
      </c>
      <c r="Z18" s="57">
        <v>59500</v>
      </c>
      <c r="AA18" s="21">
        <f>Y18*Z18</f>
      </c>
      <c r="AB18" s="174">
        <v>619</v>
      </c>
      <c r="AC18" s="135">
        <v>84500</v>
      </c>
      <c r="AD18" s="175">
        <v>52305500</v>
      </c>
      <c r="AE18" s="21">
        <v>370</v>
      </c>
      <c r="AF18" s="57">
        <v>65500</v>
      </c>
      <c r="AG18" s="21">
        <f>AE18*AF18</f>
      </c>
      <c r="AH18" s="174">
        <v>322</v>
      </c>
      <c r="AI18" s="135">
        <v>84500</v>
      </c>
      <c r="AJ18" s="175">
        <v>27209000</v>
      </c>
      <c r="AK18" s="24">
        <v>510</v>
      </c>
      <c r="AL18" s="57">
        <v>65500</v>
      </c>
      <c r="AM18" s="26">
        <f>AK18*AL18</f>
      </c>
      <c r="AN18" s="176">
        <v>309</v>
      </c>
      <c r="AO18" s="27">
        <v>84500</v>
      </c>
      <c r="AP18" s="177">
        <f>AN18*AO18</f>
      </c>
    </row>
    <row x14ac:dyDescent="0.25" r="19" customHeight="1" ht="31.5">
      <c r="A19" s="155">
        <v>16</v>
      </c>
      <c r="B19" s="22" t="s">
        <v>46</v>
      </c>
      <c r="C19" s="23" t="s">
        <v>47</v>
      </c>
      <c r="D19" s="24">
        <v>581</v>
      </c>
      <c r="E19" s="57">
        <v>62500</v>
      </c>
      <c r="F19" s="26">
        <f>D19*E19*98%</f>
      </c>
      <c r="G19" s="90">
        <v>0.02</v>
      </c>
      <c r="H19" s="174">
        <v>722</v>
      </c>
      <c r="I19" s="135">
        <v>90000</v>
      </c>
      <c r="J19" s="175">
        <v>64980000</v>
      </c>
      <c r="K19" s="24">
        <v>465</v>
      </c>
      <c r="L19" s="57">
        <v>62500</v>
      </c>
      <c r="M19" s="26">
        <f>K19*L19*98%</f>
      </c>
      <c r="N19" s="90">
        <v>0.02</v>
      </c>
      <c r="O19" s="174">
        <v>578</v>
      </c>
      <c r="P19" s="135">
        <v>90000</v>
      </c>
      <c r="Q19" s="175">
        <v>52020000</v>
      </c>
      <c r="R19" s="21">
        <v>410</v>
      </c>
      <c r="S19" s="57">
        <v>62500</v>
      </c>
      <c r="T19" s="21">
        <f>R19*S19*98%</f>
      </c>
      <c r="U19" s="90">
        <v>0.02</v>
      </c>
      <c r="V19" s="174">
        <v>750</v>
      </c>
      <c r="W19" s="135">
        <v>90000</v>
      </c>
      <c r="X19" s="175">
        <v>67500000</v>
      </c>
      <c r="Y19" s="21">
        <v>317</v>
      </c>
      <c r="Z19" s="57">
        <v>62500</v>
      </c>
      <c r="AA19" s="21">
        <f>Y19*Z19</f>
      </c>
      <c r="AB19" s="174">
        <v>652</v>
      </c>
      <c r="AC19" s="135">
        <v>90000</v>
      </c>
      <c r="AD19" s="175">
        <v>58680000</v>
      </c>
      <c r="AE19" s="21">
        <v>610</v>
      </c>
      <c r="AF19" s="57">
        <v>68800</v>
      </c>
      <c r="AG19" s="21">
        <f>AE19*AF19</f>
      </c>
      <c r="AH19" s="174">
        <v>498</v>
      </c>
      <c r="AI19" s="135">
        <v>90000</v>
      </c>
      <c r="AJ19" s="175">
        <v>44820000</v>
      </c>
      <c r="AK19" s="24">
        <v>767</v>
      </c>
      <c r="AL19" s="57">
        <v>68800</v>
      </c>
      <c r="AM19" s="26">
        <f>AK19*AL19</f>
      </c>
      <c r="AN19" s="176">
        <v>450</v>
      </c>
      <c r="AO19" s="27">
        <v>90000</v>
      </c>
      <c r="AP19" s="177">
        <f>AN19*AO19</f>
      </c>
    </row>
    <row x14ac:dyDescent="0.25" r="20" customHeight="1" ht="31.5">
      <c r="A20" s="24">
        <v>17</v>
      </c>
      <c r="B20" s="22" t="s">
        <v>48</v>
      </c>
      <c r="C20" s="23" t="s">
        <v>49</v>
      </c>
      <c r="D20" s="24">
        <v>80</v>
      </c>
      <c r="E20" s="57">
        <v>65500</v>
      </c>
      <c r="F20" s="26">
        <f>D20*E20*98%</f>
      </c>
      <c r="G20" s="90">
        <v>0.02</v>
      </c>
      <c r="H20" s="174"/>
      <c r="I20" s="135"/>
      <c r="J20" s="175"/>
      <c r="K20" s="24">
        <v>25</v>
      </c>
      <c r="L20" s="57">
        <v>65500</v>
      </c>
      <c r="M20" s="26">
        <f>K20*L20*98%</f>
      </c>
      <c r="N20" s="90">
        <v>0.02</v>
      </c>
      <c r="O20" s="174">
        <v>50</v>
      </c>
      <c r="P20" s="135">
        <v>101000</v>
      </c>
      <c r="Q20" s="175">
        <v>5050000</v>
      </c>
      <c r="R20" s="21"/>
      <c r="S20" s="57"/>
      <c r="T20" s="21"/>
      <c r="U20" s="90"/>
      <c r="V20" s="174">
        <v>50</v>
      </c>
      <c r="W20" s="135">
        <v>101000</v>
      </c>
      <c r="X20" s="175">
        <v>5050000</v>
      </c>
      <c r="Y20" s="21">
        <v>7</v>
      </c>
      <c r="Z20" s="57">
        <v>65500</v>
      </c>
      <c r="AA20" s="21">
        <f>Y20*Z20</f>
      </c>
      <c r="AB20" s="174"/>
      <c r="AC20" s="135"/>
      <c r="AD20" s="175"/>
      <c r="AE20" s="21"/>
      <c r="AF20" s="57"/>
      <c r="AG20" s="21"/>
      <c r="AH20" s="174">
        <v>50</v>
      </c>
      <c r="AI20" s="135">
        <v>101000</v>
      </c>
      <c r="AJ20" s="175">
        <v>5050000</v>
      </c>
      <c r="AK20" s="24"/>
      <c r="AL20" s="57"/>
      <c r="AM20" s="26"/>
      <c r="AN20" s="176"/>
      <c r="AO20" s="27"/>
      <c r="AP20" s="177">
        <f>AN20*AO20</f>
      </c>
    </row>
    <row x14ac:dyDescent="0.25" r="21" customHeight="1" ht="31.5">
      <c r="A21" s="155">
        <v>18</v>
      </c>
      <c r="B21" s="22" t="s">
        <v>50</v>
      </c>
      <c r="C21" s="23" t="s">
        <v>51</v>
      </c>
      <c r="D21" s="24">
        <v>170</v>
      </c>
      <c r="E21" s="57">
        <v>66500</v>
      </c>
      <c r="F21" s="26">
        <f>D21*E21*98%</f>
      </c>
      <c r="G21" s="90">
        <v>0.02</v>
      </c>
      <c r="H21" s="174"/>
      <c r="I21" s="135"/>
      <c r="J21" s="175"/>
      <c r="K21" s="24"/>
      <c r="L21" s="57"/>
      <c r="M21" s="26"/>
      <c r="N21" s="90"/>
      <c r="O21" s="174">
        <v>50</v>
      </c>
      <c r="P21" s="135">
        <v>102000</v>
      </c>
      <c r="Q21" s="175">
        <v>5100000</v>
      </c>
      <c r="R21" s="21"/>
      <c r="S21" s="57"/>
      <c r="T21" s="21"/>
      <c r="U21" s="90"/>
      <c r="V21" s="174">
        <v>50</v>
      </c>
      <c r="W21" s="135">
        <v>102000</v>
      </c>
      <c r="X21" s="175">
        <v>5100000</v>
      </c>
      <c r="Y21" s="21"/>
      <c r="Z21" s="57"/>
      <c r="AA21" s="21"/>
      <c r="AB21" s="174">
        <v>50</v>
      </c>
      <c r="AC21" s="135">
        <v>102000</v>
      </c>
      <c r="AD21" s="175">
        <v>5100000</v>
      </c>
      <c r="AE21" s="21"/>
      <c r="AF21" s="57"/>
      <c r="AG21" s="21"/>
      <c r="AH21" s="180"/>
      <c r="AI21" s="141"/>
      <c r="AJ21" s="181"/>
      <c r="AK21" s="24"/>
      <c r="AL21" s="57"/>
      <c r="AM21" s="26"/>
      <c r="AN21" s="178">
        <v>68</v>
      </c>
      <c r="AO21" s="29">
        <v>102000</v>
      </c>
      <c r="AP21" s="177">
        <f>AN21*AO21</f>
      </c>
    </row>
    <row x14ac:dyDescent="0.25" r="22" customHeight="1" ht="31.5">
      <c r="A22" s="24">
        <v>19</v>
      </c>
      <c r="B22" s="22" t="s">
        <v>52</v>
      </c>
      <c r="C22" s="23" t="s">
        <v>53</v>
      </c>
      <c r="D22" s="24"/>
      <c r="E22" s="57"/>
      <c r="F22" s="26"/>
      <c r="G22" s="90"/>
      <c r="H22" s="174">
        <v>200</v>
      </c>
      <c r="I22" s="135">
        <v>134000</v>
      </c>
      <c r="J22" s="175">
        <v>26800000</v>
      </c>
      <c r="K22" s="24">
        <v>20</v>
      </c>
      <c r="L22" s="57">
        <v>91500</v>
      </c>
      <c r="M22" s="26">
        <f>K22*L22*98%</f>
      </c>
      <c r="N22" s="90">
        <v>0.02</v>
      </c>
      <c r="O22" s="174">
        <v>100</v>
      </c>
      <c r="P22" s="135">
        <v>134000</v>
      </c>
      <c r="Q22" s="175">
        <v>13400000</v>
      </c>
      <c r="R22" s="21">
        <v>220</v>
      </c>
      <c r="S22" s="57">
        <v>91500</v>
      </c>
      <c r="T22" s="21">
        <f>R22*S22*98%</f>
      </c>
      <c r="U22" s="90">
        <v>0.02</v>
      </c>
      <c r="V22" s="174">
        <v>314</v>
      </c>
      <c r="W22" s="135">
        <v>134000</v>
      </c>
      <c r="X22" s="175">
        <v>42076000</v>
      </c>
      <c r="Y22" s="21">
        <v>10</v>
      </c>
      <c r="Z22" s="57">
        <v>91500</v>
      </c>
      <c r="AA22" s="21">
        <f>Y22*Z22</f>
      </c>
      <c r="AB22" s="174">
        <v>86</v>
      </c>
      <c r="AC22" s="135">
        <v>134000</v>
      </c>
      <c r="AD22" s="175">
        <v>11524000</v>
      </c>
      <c r="AE22" s="21">
        <v>305</v>
      </c>
      <c r="AF22" s="57">
        <v>100700</v>
      </c>
      <c r="AG22" s="21">
        <f>AE22*AF22</f>
      </c>
      <c r="AH22" s="174">
        <v>200</v>
      </c>
      <c r="AI22" s="135">
        <v>134000</v>
      </c>
      <c r="AJ22" s="175">
        <v>26800000</v>
      </c>
      <c r="AK22" s="24">
        <v>157</v>
      </c>
      <c r="AL22" s="57">
        <v>100700</v>
      </c>
      <c r="AM22" s="26">
        <f>AK22*AL22</f>
      </c>
      <c r="AN22" s="176">
        <v>250</v>
      </c>
      <c r="AO22" s="27">
        <v>134000</v>
      </c>
      <c r="AP22" s="177">
        <f>AN22*AO22</f>
      </c>
    </row>
    <row x14ac:dyDescent="0.25" r="23" customHeight="1" ht="31.5">
      <c r="A23" s="155">
        <v>20</v>
      </c>
      <c r="B23" s="22" t="s">
        <v>54</v>
      </c>
      <c r="C23" s="23" t="s">
        <v>55</v>
      </c>
      <c r="D23" s="24"/>
      <c r="E23" s="57"/>
      <c r="F23" s="26"/>
      <c r="G23" s="90"/>
      <c r="H23" s="174">
        <v>100</v>
      </c>
      <c r="I23" s="135">
        <v>136000</v>
      </c>
      <c r="J23" s="175">
        <v>13600000</v>
      </c>
      <c r="K23" s="24"/>
      <c r="L23" s="57"/>
      <c r="M23" s="26"/>
      <c r="N23" s="90"/>
      <c r="O23" s="174"/>
      <c r="P23" s="135"/>
      <c r="Q23" s="175"/>
      <c r="R23" s="21">
        <v>4</v>
      </c>
      <c r="S23" s="57">
        <v>93000</v>
      </c>
      <c r="T23" s="21">
        <f>R23*S23*98%</f>
      </c>
      <c r="U23" s="90">
        <v>0.02</v>
      </c>
      <c r="V23" s="174">
        <v>50</v>
      </c>
      <c r="W23" s="135">
        <v>136000</v>
      </c>
      <c r="X23" s="175">
        <v>6800000</v>
      </c>
      <c r="Y23" s="21"/>
      <c r="Z23" s="57"/>
      <c r="AA23" s="21"/>
      <c r="AB23" s="174">
        <v>110</v>
      </c>
      <c r="AC23" s="135">
        <v>136000</v>
      </c>
      <c r="AD23" s="175">
        <v>14960000</v>
      </c>
      <c r="AE23" s="21">
        <v>115</v>
      </c>
      <c r="AF23" s="57">
        <v>102300</v>
      </c>
      <c r="AG23" s="21">
        <f>AE23*AF23</f>
      </c>
      <c r="AH23" s="174">
        <v>140</v>
      </c>
      <c r="AI23" s="135">
        <v>136000</v>
      </c>
      <c r="AJ23" s="175">
        <v>19040000</v>
      </c>
      <c r="AK23" s="24">
        <v>161</v>
      </c>
      <c r="AL23" s="57">
        <v>102300</v>
      </c>
      <c r="AM23" s="26">
        <f>AK23*AL23</f>
      </c>
      <c r="AN23" s="176">
        <v>100</v>
      </c>
      <c r="AO23" s="27">
        <v>136000</v>
      </c>
      <c r="AP23" s="177">
        <f>AN23*AO23</f>
      </c>
    </row>
    <row x14ac:dyDescent="0.25" r="24" customHeight="1" ht="31.5">
      <c r="A24" s="24">
        <v>21</v>
      </c>
      <c r="B24" s="22" t="s">
        <v>56</v>
      </c>
      <c r="C24" s="23" t="s">
        <v>57</v>
      </c>
      <c r="D24" s="24">
        <v>145</v>
      </c>
      <c r="E24" s="57">
        <v>104000</v>
      </c>
      <c r="F24" s="26">
        <f>D24*E24*98%</f>
      </c>
      <c r="G24" s="90">
        <v>0.02</v>
      </c>
      <c r="H24" s="174">
        <v>100</v>
      </c>
      <c r="I24" s="135">
        <v>159000</v>
      </c>
      <c r="J24" s="175">
        <v>15900000</v>
      </c>
      <c r="K24" s="24">
        <v>6</v>
      </c>
      <c r="L24" s="57">
        <v>104000</v>
      </c>
      <c r="M24" s="26">
        <f>K24*L24*98%</f>
      </c>
      <c r="N24" s="90">
        <v>0.02</v>
      </c>
      <c r="O24" s="174">
        <v>50</v>
      </c>
      <c r="P24" s="135">
        <v>159000</v>
      </c>
      <c r="Q24" s="175">
        <v>7950000</v>
      </c>
      <c r="R24" s="21"/>
      <c r="S24" s="57"/>
      <c r="T24" s="21"/>
      <c r="U24" s="90"/>
      <c r="V24" s="174">
        <v>50</v>
      </c>
      <c r="W24" s="135">
        <v>159000</v>
      </c>
      <c r="X24" s="175">
        <v>7950000</v>
      </c>
      <c r="Y24" s="21">
        <v>4</v>
      </c>
      <c r="Z24" s="57">
        <v>104000</v>
      </c>
      <c r="AA24" s="21">
        <f>Y24*Z24</f>
      </c>
      <c r="AB24" s="174">
        <v>107</v>
      </c>
      <c r="AC24" s="135">
        <v>159000</v>
      </c>
      <c r="AD24" s="175">
        <v>17013000</v>
      </c>
      <c r="AE24" s="21">
        <v>115</v>
      </c>
      <c r="AF24" s="57">
        <v>114400</v>
      </c>
      <c r="AG24" s="21">
        <f>AE24*AF24</f>
      </c>
      <c r="AH24" s="174">
        <v>43</v>
      </c>
      <c r="AI24" s="135">
        <v>159000</v>
      </c>
      <c r="AJ24" s="175">
        <v>6837000</v>
      </c>
      <c r="AK24" s="24">
        <v>125</v>
      </c>
      <c r="AL24" s="57">
        <v>114400</v>
      </c>
      <c r="AM24" s="26">
        <f>AK24*AL24</f>
      </c>
      <c r="AN24" s="176">
        <v>100</v>
      </c>
      <c r="AO24" s="27">
        <v>159000</v>
      </c>
      <c r="AP24" s="177">
        <f>AN24*AO24</f>
      </c>
    </row>
    <row x14ac:dyDescent="0.25" r="25" customHeight="1" ht="31.5">
      <c r="A25" s="155">
        <v>22</v>
      </c>
      <c r="B25" s="31" t="s">
        <v>58</v>
      </c>
      <c r="C25" s="32" t="s">
        <v>59</v>
      </c>
      <c r="D25" s="24">
        <v>379</v>
      </c>
      <c r="E25" s="57">
        <v>78000</v>
      </c>
      <c r="F25" s="26">
        <f>D25*E25*98%</f>
      </c>
      <c r="G25" s="90">
        <v>0.02</v>
      </c>
      <c r="H25" s="174">
        <v>300</v>
      </c>
      <c r="I25" s="135">
        <v>118000</v>
      </c>
      <c r="J25" s="175">
        <v>35400000</v>
      </c>
      <c r="K25" s="24"/>
      <c r="L25" s="57"/>
      <c r="M25" s="26"/>
      <c r="N25" s="90"/>
      <c r="O25" s="174">
        <f>6+250</f>
      </c>
      <c r="P25" s="135" t="s">
        <v>60</v>
      </c>
      <c r="Q25" s="175">
        <f>468000+29500000</f>
      </c>
      <c r="R25" s="21">
        <v>186</v>
      </c>
      <c r="S25" s="57">
        <v>78000</v>
      </c>
      <c r="T25" s="21">
        <f>R25*S25*98%</f>
      </c>
      <c r="U25" s="90">
        <v>0.02</v>
      </c>
      <c r="V25" s="174">
        <v>350</v>
      </c>
      <c r="W25" s="135">
        <v>118000</v>
      </c>
      <c r="X25" s="175">
        <v>41300000</v>
      </c>
      <c r="Y25" s="21">
        <v>187</v>
      </c>
      <c r="Z25" s="57">
        <v>78000</v>
      </c>
      <c r="AA25" s="21">
        <f>Y25*Z25</f>
      </c>
      <c r="AB25" s="174">
        <v>454</v>
      </c>
      <c r="AC25" s="135">
        <v>118000</v>
      </c>
      <c r="AD25" s="175">
        <v>53572000</v>
      </c>
      <c r="AE25" s="21"/>
      <c r="AF25" s="57"/>
      <c r="AG25" s="21"/>
      <c r="AH25" s="174">
        <v>246</v>
      </c>
      <c r="AI25" s="135">
        <v>118000</v>
      </c>
      <c r="AJ25" s="175">
        <v>29028000</v>
      </c>
      <c r="AK25" s="24">
        <v>420</v>
      </c>
      <c r="AL25" s="57">
        <v>85800</v>
      </c>
      <c r="AM25" s="26">
        <f>AK25*AL25</f>
      </c>
      <c r="AN25" s="178">
        <v>150</v>
      </c>
      <c r="AO25" s="29">
        <v>118000</v>
      </c>
      <c r="AP25" s="177">
        <f>AN25*AO25</f>
      </c>
    </row>
    <row x14ac:dyDescent="0.25" r="26" customHeight="1" ht="31.5">
      <c r="A26" s="24">
        <v>23</v>
      </c>
      <c r="B26" s="31" t="s">
        <v>61</v>
      </c>
      <c r="C26" s="32" t="s">
        <v>62</v>
      </c>
      <c r="D26" s="24">
        <v>604</v>
      </c>
      <c r="E26" s="57">
        <v>79000</v>
      </c>
      <c r="F26" s="26">
        <f>D26*E26*98%</f>
      </c>
      <c r="G26" s="90">
        <v>0.02</v>
      </c>
      <c r="H26" s="174">
        <v>900</v>
      </c>
      <c r="I26" s="135">
        <v>119000</v>
      </c>
      <c r="J26" s="175">
        <v>107100000</v>
      </c>
      <c r="K26" s="24">
        <v>565</v>
      </c>
      <c r="L26" s="57">
        <v>79000</v>
      </c>
      <c r="M26" s="26">
        <f>K26*L26*98%</f>
      </c>
      <c r="N26" s="90">
        <v>0.02</v>
      </c>
      <c r="O26" s="174">
        <f>12+550</f>
      </c>
      <c r="P26" s="135" t="s">
        <v>63</v>
      </c>
      <c r="Q26" s="175">
        <f>948000+65450000</f>
      </c>
      <c r="R26" s="21">
        <v>423</v>
      </c>
      <c r="S26" s="57">
        <v>79000</v>
      </c>
      <c r="T26" s="21">
        <f>R26*S26*98%</f>
      </c>
      <c r="U26" s="90">
        <v>0.02</v>
      </c>
      <c r="V26" s="174">
        <v>718</v>
      </c>
      <c r="W26" s="135">
        <v>119000</v>
      </c>
      <c r="X26" s="175">
        <v>85442000</v>
      </c>
      <c r="Y26" s="21">
        <v>411</v>
      </c>
      <c r="Z26" s="57">
        <v>79000</v>
      </c>
      <c r="AA26" s="21">
        <f>Y26*Z26</f>
      </c>
      <c r="AB26" s="174">
        <v>693</v>
      </c>
      <c r="AC26" s="135">
        <v>119000</v>
      </c>
      <c r="AD26" s="175">
        <v>82467000</v>
      </c>
      <c r="AE26" s="21">
        <v>540</v>
      </c>
      <c r="AF26" s="57">
        <v>86900</v>
      </c>
      <c r="AG26" s="21">
        <f>AE26*AF26</f>
      </c>
      <c r="AH26" s="174">
        <v>439</v>
      </c>
      <c r="AI26" s="135">
        <v>119000</v>
      </c>
      <c r="AJ26" s="175">
        <v>52241000</v>
      </c>
      <c r="AK26" s="24">
        <v>568</v>
      </c>
      <c r="AL26" s="57">
        <v>86900</v>
      </c>
      <c r="AM26" s="26">
        <f>AK26*AL26</f>
      </c>
      <c r="AN26" s="176">
        <v>550</v>
      </c>
      <c r="AO26" s="27">
        <v>119000</v>
      </c>
      <c r="AP26" s="177">
        <f>AN26*AO26</f>
      </c>
    </row>
    <row x14ac:dyDescent="0.25" r="27" customHeight="1" ht="31.5">
      <c r="A27" s="155">
        <v>24</v>
      </c>
      <c r="B27" s="31" t="s">
        <v>64</v>
      </c>
      <c r="C27" s="32" t="s">
        <v>65</v>
      </c>
      <c r="D27" s="24">
        <v>132</v>
      </c>
      <c r="E27" s="57">
        <v>87500</v>
      </c>
      <c r="F27" s="26">
        <f>D27*E27*98%</f>
      </c>
      <c r="G27" s="90">
        <v>0.02</v>
      </c>
      <c r="H27" s="174">
        <f>135+65</f>
      </c>
      <c r="I27" s="135" t="s">
        <v>66</v>
      </c>
      <c r="J27" s="175">
        <f>17077500+8320000</f>
      </c>
      <c r="K27" s="24">
        <v>30</v>
      </c>
      <c r="L27" s="57">
        <v>87500</v>
      </c>
      <c r="M27" s="26">
        <f>K27*L27*98%</f>
      </c>
      <c r="N27" s="90">
        <v>0.02</v>
      </c>
      <c r="O27" s="174">
        <f>65+100</f>
      </c>
      <c r="P27" s="135" t="s">
        <v>66</v>
      </c>
      <c r="Q27" s="175">
        <f>8222500+12800000</f>
      </c>
      <c r="R27" s="21">
        <v>545</v>
      </c>
      <c r="S27" s="57">
        <v>87500</v>
      </c>
      <c r="T27" s="21">
        <f>R27*S27*98%</f>
      </c>
      <c r="U27" s="90">
        <v>0.02</v>
      </c>
      <c r="V27" s="174">
        <v>200</v>
      </c>
      <c r="W27" s="135">
        <v>128000</v>
      </c>
      <c r="X27" s="175">
        <v>25600000</v>
      </c>
      <c r="Y27" s="21">
        <v>271</v>
      </c>
      <c r="Z27" s="57">
        <v>87500</v>
      </c>
      <c r="AA27" s="21">
        <f>Y27*Z27</f>
      </c>
      <c r="AB27" s="174">
        <f>100+209</f>
      </c>
      <c r="AC27" s="135" t="s">
        <v>66</v>
      </c>
      <c r="AD27" s="175">
        <f>12650000+26752000</f>
      </c>
      <c r="AE27" s="21"/>
      <c r="AF27" s="57"/>
      <c r="AG27" s="21"/>
      <c r="AH27" s="174">
        <v>225</v>
      </c>
      <c r="AI27" s="135">
        <v>128000</v>
      </c>
      <c r="AJ27" s="175">
        <v>28800000</v>
      </c>
      <c r="AK27" s="24">
        <v>275</v>
      </c>
      <c r="AL27" s="57">
        <v>96300</v>
      </c>
      <c r="AM27" s="26">
        <f>AK27*AL27</f>
      </c>
      <c r="AN27" s="178">
        <v>216</v>
      </c>
      <c r="AO27" s="29">
        <v>128000</v>
      </c>
      <c r="AP27" s="177">
        <f>AN27*AO27</f>
      </c>
    </row>
    <row x14ac:dyDescent="0.25" r="28" customHeight="1" ht="31.5">
      <c r="A28" s="24">
        <v>25</v>
      </c>
      <c r="B28" s="22" t="s">
        <v>67</v>
      </c>
      <c r="C28" s="23" t="s">
        <v>68</v>
      </c>
      <c r="D28" s="24"/>
      <c r="E28" s="57"/>
      <c r="F28" s="26"/>
      <c r="G28" s="90"/>
      <c r="H28" s="174"/>
      <c r="I28" s="135"/>
      <c r="J28" s="175"/>
      <c r="K28" s="24"/>
      <c r="L28" s="57"/>
      <c r="M28" s="26"/>
      <c r="N28" s="90"/>
      <c r="O28" s="174">
        <v>3</v>
      </c>
      <c r="P28" s="135">
        <v>87000</v>
      </c>
      <c r="Q28" s="175">
        <v>261000</v>
      </c>
      <c r="R28" s="21"/>
      <c r="S28" s="57"/>
      <c r="T28" s="21"/>
      <c r="U28" s="90"/>
      <c r="V28" s="180"/>
      <c r="W28" s="141"/>
      <c r="X28" s="181"/>
      <c r="Y28" s="21"/>
      <c r="Z28" s="57"/>
      <c r="AA28" s="21"/>
      <c r="AB28" s="174"/>
      <c r="AC28" s="135"/>
      <c r="AD28" s="175"/>
      <c r="AE28" s="21"/>
      <c r="AF28" s="57"/>
      <c r="AG28" s="21"/>
      <c r="AH28" s="180"/>
      <c r="AI28" s="141"/>
      <c r="AJ28" s="181"/>
      <c r="AK28" s="24"/>
      <c r="AL28" s="57"/>
      <c r="AM28" s="26"/>
      <c r="AN28" s="178"/>
      <c r="AO28" s="29"/>
      <c r="AP28" s="177">
        <f>AN28*AO28</f>
      </c>
    </row>
    <row x14ac:dyDescent="0.25" r="29" customHeight="1" ht="31.5">
      <c r="A29" s="155">
        <v>26</v>
      </c>
      <c r="B29" s="22" t="s">
        <v>69</v>
      </c>
      <c r="C29" s="23" t="s">
        <v>70</v>
      </c>
      <c r="D29" s="24">
        <v>146</v>
      </c>
      <c r="E29" s="57">
        <v>98000</v>
      </c>
      <c r="F29" s="26">
        <f>D29*E29*98%</f>
      </c>
      <c r="G29" s="90">
        <v>0.02</v>
      </c>
      <c r="H29" s="174">
        <v>50</v>
      </c>
      <c r="I29" s="135">
        <v>140000</v>
      </c>
      <c r="J29" s="175">
        <v>7000000</v>
      </c>
      <c r="K29" s="24"/>
      <c r="L29" s="57"/>
      <c r="M29" s="26"/>
      <c r="N29" s="90"/>
      <c r="O29" s="174">
        <v>1</v>
      </c>
      <c r="P29" s="135">
        <v>98000</v>
      </c>
      <c r="Q29" s="175">
        <v>98000</v>
      </c>
      <c r="R29" s="21"/>
      <c r="S29" s="57"/>
      <c r="T29" s="21"/>
      <c r="U29" s="90"/>
      <c r="V29" s="174">
        <v>50</v>
      </c>
      <c r="W29" s="135">
        <v>140000</v>
      </c>
      <c r="X29" s="175">
        <v>7000000</v>
      </c>
      <c r="Y29" s="21">
        <v>151</v>
      </c>
      <c r="Z29" s="57">
        <v>98000</v>
      </c>
      <c r="AA29" s="21">
        <f>Y29*Z29</f>
      </c>
      <c r="AB29" s="174">
        <v>29</v>
      </c>
      <c r="AC29" s="135">
        <v>140000</v>
      </c>
      <c r="AD29" s="175">
        <v>4060000</v>
      </c>
      <c r="AE29" s="21"/>
      <c r="AF29" s="57"/>
      <c r="AG29" s="21"/>
      <c r="AH29" s="174">
        <v>71</v>
      </c>
      <c r="AI29" s="135">
        <v>140000</v>
      </c>
      <c r="AJ29" s="175">
        <v>9940000</v>
      </c>
      <c r="AK29" s="24"/>
      <c r="AL29" s="57"/>
      <c r="AM29" s="26"/>
      <c r="AN29" s="176">
        <v>70</v>
      </c>
      <c r="AO29" s="27">
        <v>140000</v>
      </c>
      <c r="AP29" s="177">
        <f>AN29*AO29</f>
      </c>
    </row>
    <row x14ac:dyDescent="0.25" r="30" customHeight="1" ht="31.5">
      <c r="A30" s="24">
        <v>27</v>
      </c>
      <c r="B30" s="22" t="s">
        <v>72</v>
      </c>
      <c r="C30" s="23" t="s">
        <v>73</v>
      </c>
      <c r="D30" s="24">
        <v>132</v>
      </c>
      <c r="E30" s="57">
        <v>93500</v>
      </c>
      <c r="F30" s="26">
        <f>D30*E30*98%</f>
      </c>
      <c r="G30" s="90">
        <v>0.02</v>
      </c>
      <c r="H30" s="174">
        <v>300</v>
      </c>
      <c r="I30" s="135">
        <v>134500</v>
      </c>
      <c r="J30" s="175">
        <v>40350000</v>
      </c>
      <c r="K30" s="24"/>
      <c r="L30" s="57"/>
      <c r="M30" s="26"/>
      <c r="N30" s="90"/>
      <c r="O30" s="174">
        <v>300</v>
      </c>
      <c r="P30" s="135">
        <v>134500</v>
      </c>
      <c r="Q30" s="175">
        <v>40350000</v>
      </c>
      <c r="R30" s="21">
        <v>289</v>
      </c>
      <c r="S30" s="57">
        <v>93500</v>
      </c>
      <c r="T30" s="21">
        <f>R30*S30*98%</f>
      </c>
      <c r="U30" s="90">
        <v>0.02</v>
      </c>
      <c r="V30" s="174">
        <v>300</v>
      </c>
      <c r="W30" s="135">
        <v>134500</v>
      </c>
      <c r="X30" s="175">
        <v>40350000</v>
      </c>
      <c r="Y30" s="21">
        <v>77</v>
      </c>
      <c r="Z30" s="57">
        <v>93500</v>
      </c>
      <c r="AA30" s="21">
        <f>Y30*Z30</f>
      </c>
      <c r="AB30" s="174">
        <v>181</v>
      </c>
      <c r="AC30" s="135">
        <v>134500</v>
      </c>
      <c r="AD30" s="175">
        <v>24344500</v>
      </c>
      <c r="AE30" s="21">
        <v>200</v>
      </c>
      <c r="AF30" s="57">
        <v>102900</v>
      </c>
      <c r="AG30" s="21">
        <f>AE30*AF30</f>
      </c>
      <c r="AH30" s="174">
        <v>295</v>
      </c>
      <c r="AI30" s="135">
        <v>134500</v>
      </c>
      <c r="AJ30" s="175">
        <v>39677500</v>
      </c>
      <c r="AK30" s="24">
        <v>405</v>
      </c>
      <c r="AL30" s="57">
        <v>102900</v>
      </c>
      <c r="AM30" s="26">
        <f>AK30*AL30</f>
      </c>
      <c r="AN30" s="176">
        <v>404</v>
      </c>
      <c r="AO30" s="27">
        <v>134500</v>
      </c>
      <c r="AP30" s="177">
        <f>AN30*AO30</f>
      </c>
    </row>
    <row x14ac:dyDescent="0.25" r="31" customHeight="1" ht="31.5">
      <c r="A31" s="155">
        <v>28</v>
      </c>
      <c r="B31" s="22" t="s">
        <v>74</v>
      </c>
      <c r="C31" s="23" t="s">
        <v>75</v>
      </c>
      <c r="D31" s="24">
        <v>874</v>
      </c>
      <c r="E31" s="57">
        <v>97000</v>
      </c>
      <c r="F31" s="26">
        <f>D31*E31*98%</f>
      </c>
      <c r="G31" s="90">
        <v>0.02</v>
      </c>
      <c r="H31" s="174">
        <v>1070</v>
      </c>
      <c r="I31" s="135">
        <v>139000</v>
      </c>
      <c r="J31" s="175">
        <v>148730000</v>
      </c>
      <c r="K31" s="24">
        <v>683</v>
      </c>
      <c r="L31" s="57">
        <v>97000</v>
      </c>
      <c r="M31" s="26">
        <f>K31*L31*98%</f>
      </c>
      <c r="N31" s="90">
        <v>0.02</v>
      </c>
      <c r="O31" s="174">
        <v>880</v>
      </c>
      <c r="P31" s="135">
        <v>139000</v>
      </c>
      <c r="Q31" s="175">
        <v>122320000</v>
      </c>
      <c r="R31" s="21">
        <v>893</v>
      </c>
      <c r="S31" s="57">
        <v>97000</v>
      </c>
      <c r="T31" s="21">
        <f>R31*S31*98%</f>
      </c>
      <c r="U31" s="90">
        <v>0.02</v>
      </c>
      <c r="V31" s="174">
        <v>1050</v>
      </c>
      <c r="W31" s="135">
        <v>139000</v>
      </c>
      <c r="X31" s="175">
        <v>145950000</v>
      </c>
      <c r="Y31" s="21">
        <v>300</v>
      </c>
      <c r="Z31" s="57">
        <v>97000</v>
      </c>
      <c r="AA31" s="21">
        <f>Y31*Z31</f>
      </c>
      <c r="AB31" s="174">
        <v>886</v>
      </c>
      <c r="AC31" s="135">
        <v>139000</v>
      </c>
      <c r="AD31" s="175">
        <v>123154000</v>
      </c>
      <c r="AE31" s="21">
        <v>895</v>
      </c>
      <c r="AF31" s="57">
        <v>106700</v>
      </c>
      <c r="AG31" s="21">
        <f>AE31*AF31</f>
      </c>
      <c r="AH31" s="174">
        <v>709</v>
      </c>
      <c r="AI31" s="135">
        <v>139000</v>
      </c>
      <c r="AJ31" s="175">
        <v>98551000</v>
      </c>
      <c r="AK31" s="24">
        <v>880</v>
      </c>
      <c r="AL31" s="57">
        <v>106700</v>
      </c>
      <c r="AM31" s="26">
        <f>AK31*AL31</f>
      </c>
      <c r="AN31" s="176">
        <v>520</v>
      </c>
      <c r="AO31" s="27">
        <v>139000</v>
      </c>
      <c r="AP31" s="177">
        <f>AN31*AO31</f>
      </c>
    </row>
    <row x14ac:dyDescent="0.25" r="32" customHeight="1" ht="31.5">
      <c r="A32" s="24">
        <v>29</v>
      </c>
      <c r="B32" s="22" t="s">
        <v>76</v>
      </c>
      <c r="C32" s="23" t="s">
        <v>77</v>
      </c>
      <c r="D32" s="24">
        <v>138</v>
      </c>
      <c r="E32" s="57">
        <v>114500</v>
      </c>
      <c r="F32" s="26">
        <f>D32*E32*98%</f>
      </c>
      <c r="G32" s="90">
        <v>0.02</v>
      </c>
      <c r="H32" s="174">
        <v>200</v>
      </c>
      <c r="I32" s="135">
        <v>168000</v>
      </c>
      <c r="J32" s="175">
        <v>33600000</v>
      </c>
      <c r="K32" s="24">
        <v>249</v>
      </c>
      <c r="L32" s="57">
        <v>114500</v>
      </c>
      <c r="M32" s="26">
        <f>K32*L32*98%</f>
      </c>
      <c r="N32" s="90">
        <v>0.02</v>
      </c>
      <c r="O32" s="174">
        <v>150</v>
      </c>
      <c r="P32" s="135">
        <v>168000</v>
      </c>
      <c r="Q32" s="175">
        <v>25200000</v>
      </c>
      <c r="R32" s="21">
        <v>104</v>
      </c>
      <c r="S32" s="57">
        <v>114500</v>
      </c>
      <c r="T32" s="21">
        <f>R32*S32*98%</f>
      </c>
      <c r="U32" s="90">
        <v>0.02</v>
      </c>
      <c r="V32" s="174">
        <v>300</v>
      </c>
      <c r="W32" s="135">
        <v>168000</v>
      </c>
      <c r="X32" s="175">
        <v>50400000</v>
      </c>
      <c r="Y32" s="21">
        <v>101</v>
      </c>
      <c r="Z32" s="57">
        <v>114500</v>
      </c>
      <c r="AA32" s="21">
        <f>Y32*Z32</f>
      </c>
      <c r="AB32" s="174">
        <v>155</v>
      </c>
      <c r="AC32" s="135">
        <v>168000</v>
      </c>
      <c r="AD32" s="175">
        <v>26040000</v>
      </c>
      <c r="AE32" s="21">
        <v>85</v>
      </c>
      <c r="AF32" s="57">
        <v>126000</v>
      </c>
      <c r="AG32" s="21">
        <f>AE32*AF32</f>
      </c>
      <c r="AH32" s="174">
        <v>297</v>
      </c>
      <c r="AI32" s="135">
        <v>168000</v>
      </c>
      <c r="AJ32" s="175">
        <v>49896000</v>
      </c>
      <c r="AK32" s="24">
        <v>220</v>
      </c>
      <c r="AL32" s="57">
        <v>126000</v>
      </c>
      <c r="AM32" s="26">
        <f>AK32*AL32</f>
      </c>
      <c r="AN32" s="176">
        <v>188</v>
      </c>
      <c r="AO32" s="27">
        <v>168000</v>
      </c>
      <c r="AP32" s="177">
        <f>AN32*AO32</f>
      </c>
    </row>
    <row x14ac:dyDescent="0.25" r="33" customHeight="1" ht="31.5">
      <c r="A33" s="155">
        <v>30</v>
      </c>
      <c r="B33" s="22" t="s">
        <v>78</v>
      </c>
      <c r="C33" s="23" t="s">
        <v>79</v>
      </c>
      <c r="D33" s="24">
        <v>633</v>
      </c>
      <c r="E33" s="57">
        <v>122000</v>
      </c>
      <c r="F33" s="26">
        <f>D33*E33*98%</f>
      </c>
      <c r="G33" s="90">
        <v>0.02</v>
      </c>
      <c r="H33" s="174">
        <v>617</v>
      </c>
      <c r="I33" s="135">
        <v>171000</v>
      </c>
      <c r="J33" s="175">
        <v>105507000</v>
      </c>
      <c r="K33" s="24">
        <v>395</v>
      </c>
      <c r="L33" s="57">
        <v>122000</v>
      </c>
      <c r="M33" s="26">
        <f>K33*L33*98%</f>
      </c>
      <c r="N33" s="90">
        <v>0.02</v>
      </c>
      <c r="O33" s="174">
        <v>503</v>
      </c>
      <c r="P33" s="135">
        <v>171000</v>
      </c>
      <c r="Q33" s="175">
        <v>86013000</v>
      </c>
      <c r="R33" s="21">
        <v>420</v>
      </c>
      <c r="S33" s="57">
        <v>122000</v>
      </c>
      <c r="T33" s="21">
        <f>R33*S33*98%</f>
      </c>
      <c r="U33" s="90">
        <v>0.02</v>
      </c>
      <c r="V33" s="174">
        <v>544</v>
      </c>
      <c r="W33" s="135">
        <v>171000</v>
      </c>
      <c r="X33" s="175">
        <v>93024000</v>
      </c>
      <c r="Y33" s="21">
        <v>205</v>
      </c>
      <c r="Z33" s="57">
        <v>122000</v>
      </c>
      <c r="AA33" s="21">
        <f>Y33*Z33</f>
      </c>
      <c r="AB33" s="174">
        <v>251</v>
      </c>
      <c r="AC33" s="135">
        <v>171000</v>
      </c>
      <c r="AD33" s="175">
        <v>42921000</v>
      </c>
      <c r="AE33" s="21">
        <v>440</v>
      </c>
      <c r="AF33" s="57">
        <v>134200</v>
      </c>
      <c r="AG33" s="21">
        <f>AE33*AF33</f>
      </c>
      <c r="AH33" s="174">
        <v>715</v>
      </c>
      <c r="AI33" s="135">
        <v>171000</v>
      </c>
      <c r="AJ33" s="175">
        <v>122265000</v>
      </c>
      <c r="AK33" s="24">
        <v>699</v>
      </c>
      <c r="AL33" s="57">
        <v>134200</v>
      </c>
      <c r="AM33" s="26">
        <f>AK33*AL33</f>
      </c>
      <c r="AN33" s="176">
        <v>337</v>
      </c>
      <c r="AO33" s="27">
        <v>171000</v>
      </c>
      <c r="AP33" s="177">
        <f>AN33*AO33</f>
      </c>
    </row>
    <row x14ac:dyDescent="0.25" r="34" customHeight="1" ht="31.5">
      <c r="A34" s="24">
        <v>31</v>
      </c>
      <c r="B34" s="22" t="s">
        <v>80</v>
      </c>
      <c r="C34" s="23" t="s">
        <v>81</v>
      </c>
      <c r="D34" s="24">
        <v>45</v>
      </c>
      <c r="E34" s="57">
        <v>130000</v>
      </c>
      <c r="F34" s="26">
        <f>D34*E34*98%</f>
      </c>
      <c r="G34" s="90">
        <v>0.02</v>
      </c>
      <c r="H34" s="174">
        <v>200</v>
      </c>
      <c r="I34" s="135">
        <v>190500</v>
      </c>
      <c r="J34" s="175">
        <v>38100000</v>
      </c>
      <c r="K34" s="24">
        <v>67</v>
      </c>
      <c r="L34" s="57">
        <v>130000</v>
      </c>
      <c r="M34" s="26">
        <f>K34*L34*98%</f>
      </c>
      <c r="N34" s="90">
        <v>0.02</v>
      </c>
      <c r="O34" s="174">
        <v>100</v>
      </c>
      <c r="P34" s="135">
        <v>190500</v>
      </c>
      <c r="Q34" s="175">
        <v>19050000</v>
      </c>
      <c r="R34" s="21">
        <v>210</v>
      </c>
      <c r="S34" s="57">
        <v>130000</v>
      </c>
      <c r="T34" s="21">
        <f>R34*S34*98%</f>
      </c>
      <c r="U34" s="90">
        <v>0.02</v>
      </c>
      <c r="V34" s="174">
        <v>200</v>
      </c>
      <c r="W34" s="135">
        <v>190500</v>
      </c>
      <c r="X34" s="175">
        <v>38100000</v>
      </c>
      <c r="Y34" s="21">
        <v>62</v>
      </c>
      <c r="Z34" s="57">
        <v>130000</v>
      </c>
      <c r="AA34" s="21">
        <f>Y34*Z34</f>
      </c>
      <c r="AB34" s="174">
        <v>150</v>
      </c>
      <c r="AC34" s="135">
        <v>190500</v>
      </c>
      <c r="AD34" s="175">
        <v>28575000</v>
      </c>
      <c r="AE34" s="21">
        <v>90</v>
      </c>
      <c r="AF34" s="57">
        <v>143000</v>
      </c>
      <c r="AG34" s="21">
        <f>AE34*AF34</f>
      </c>
      <c r="AH34" s="174">
        <v>200</v>
      </c>
      <c r="AI34" s="135">
        <v>190500</v>
      </c>
      <c r="AJ34" s="175">
        <v>38100000</v>
      </c>
      <c r="AK34" s="24">
        <v>205</v>
      </c>
      <c r="AL34" s="57">
        <v>143000</v>
      </c>
      <c r="AM34" s="26">
        <f>AK34*AL34</f>
      </c>
      <c r="AN34" s="176">
        <v>20</v>
      </c>
      <c r="AO34" s="27">
        <v>190500</v>
      </c>
      <c r="AP34" s="177">
        <f>AN34*AO34</f>
      </c>
    </row>
    <row x14ac:dyDescent="0.25" r="35" customHeight="1" ht="31.5">
      <c r="A35" s="155">
        <v>32</v>
      </c>
      <c r="B35" s="22" t="s">
        <v>82</v>
      </c>
      <c r="C35" s="23" t="s">
        <v>83</v>
      </c>
      <c r="D35" s="24">
        <v>4</v>
      </c>
      <c r="E35" s="57">
        <v>144500</v>
      </c>
      <c r="F35" s="26">
        <f>D35*E35*98%</f>
      </c>
      <c r="G35" s="90">
        <v>0.02</v>
      </c>
      <c r="H35" s="174">
        <v>198</v>
      </c>
      <c r="I35" s="135">
        <v>206000</v>
      </c>
      <c r="J35" s="175">
        <v>40788000</v>
      </c>
      <c r="K35" s="24">
        <v>125</v>
      </c>
      <c r="L35" s="57">
        <v>144500</v>
      </c>
      <c r="M35" s="26">
        <f>K35*L35*98%</f>
      </c>
      <c r="N35" s="90">
        <v>0.02</v>
      </c>
      <c r="O35" s="174">
        <v>92</v>
      </c>
      <c r="P35" s="135">
        <v>206000</v>
      </c>
      <c r="Q35" s="175">
        <v>18952000</v>
      </c>
      <c r="R35" s="21">
        <v>112</v>
      </c>
      <c r="S35" s="57">
        <v>144500</v>
      </c>
      <c r="T35" s="21">
        <f>R35*S35*98%</f>
      </c>
      <c r="U35" s="90">
        <v>0.02</v>
      </c>
      <c r="V35" s="174">
        <v>210</v>
      </c>
      <c r="W35" s="135">
        <v>206000</v>
      </c>
      <c r="X35" s="175">
        <v>43260000</v>
      </c>
      <c r="Y35" s="21">
        <v>30</v>
      </c>
      <c r="Z35" s="57">
        <v>144500</v>
      </c>
      <c r="AA35" s="21">
        <f>Y35*Z35</f>
      </c>
      <c r="AB35" s="174">
        <v>100</v>
      </c>
      <c r="AC35" s="135">
        <v>206000</v>
      </c>
      <c r="AD35" s="175">
        <v>20600000</v>
      </c>
      <c r="AE35" s="21">
        <v>130</v>
      </c>
      <c r="AF35" s="57">
        <v>159000</v>
      </c>
      <c r="AG35" s="21">
        <f>AE35*AF35</f>
      </c>
      <c r="AH35" s="174">
        <v>150</v>
      </c>
      <c r="AI35" s="135">
        <v>206000</v>
      </c>
      <c r="AJ35" s="175">
        <v>30900000</v>
      </c>
      <c r="AK35" s="24">
        <v>306</v>
      </c>
      <c r="AL35" s="57">
        <v>159000</v>
      </c>
      <c r="AM35" s="26">
        <f>AK35*AL35</f>
      </c>
      <c r="AN35" s="176">
        <v>150</v>
      </c>
      <c r="AO35" s="27">
        <v>206000</v>
      </c>
      <c r="AP35" s="177">
        <f>AN35*AO35</f>
      </c>
    </row>
    <row x14ac:dyDescent="0.25" r="36" customHeight="1" ht="31.5">
      <c r="A36" s="24">
        <v>33</v>
      </c>
      <c r="B36" s="22" t="s">
        <v>84</v>
      </c>
      <c r="C36" s="23" t="s">
        <v>85</v>
      </c>
      <c r="D36" s="24">
        <v>242</v>
      </c>
      <c r="E36" s="57">
        <v>144500</v>
      </c>
      <c r="F36" s="26">
        <f>D36*E36*98%</f>
      </c>
      <c r="G36" s="90">
        <v>0.02</v>
      </c>
      <c r="H36" s="174">
        <v>100</v>
      </c>
      <c r="I36" s="135">
        <v>206000</v>
      </c>
      <c r="J36" s="175">
        <v>20600000</v>
      </c>
      <c r="K36" s="24">
        <v>161</v>
      </c>
      <c r="L36" s="57">
        <v>144500</v>
      </c>
      <c r="M36" s="26">
        <f>K36*L36*98%</f>
      </c>
      <c r="N36" s="90">
        <v>0.02</v>
      </c>
      <c r="O36" s="174">
        <v>350</v>
      </c>
      <c r="P36" s="135">
        <v>206000</v>
      </c>
      <c r="Q36" s="175">
        <v>72100000</v>
      </c>
      <c r="R36" s="21">
        <v>296</v>
      </c>
      <c r="S36" s="57">
        <v>144500</v>
      </c>
      <c r="T36" s="21">
        <f>R36*S36*98%</f>
      </c>
      <c r="U36" s="90">
        <v>0.02</v>
      </c>
      <c r="V36" s="174">
        <v>321</v>
      </c>
      <c r="W36" s="135">
        <v>206000</v>
      </c>
      <c r="X36" s="175">
        <v>66126000</v>
      </c>
      <c r="Y36" s="21">
        <v>96</v>
      </c>
      <c r="Z36" s="57">
        <v>144500</v>
      </c>
      <c r="AA36" s="21">
        <f>Y36*Z36</f>
      </c>
      <c r="AB36" s="174">
        <v>39</v>
      </c>
      <c r="AC36" s="135">
        <v>206000</v>
      </c>
      <c r="AD36" s="175">
        <v>8034000</v>
      </c>
      <c r="AE36" s="21">
        <v>165</v>
      </c>
      <c r="AF36" s="57">
        <v>159000</v>
      </c>
      <c r="AG36" s="21">
        <f>AE36*AF36</f>
      </c>
      <c r="AH36" s="174">
        <v>90</v>
      </c>
      <c r="AI36" s="135">
        <v>206000</v>
      </c>
      <c r="AJ36" s="175">
        <v>18540000</v>
      </c>
      <c r="AK36" s="24">
        <v>265</v>
      </c>
      <c r="AL36" s="57">
        <v>159000</v>
      </c>
      <c r="AM36" s="26">
        <f>AK36*AL36</f>
      </c>
      <c r="AN36" s="176">
        <v>100</v>
      </c>
      <c r="AO36" s="27">
        <v>206000</v>
      </c>
      <c r="AP36" s="177">
        <f>AN36*AO36</f>
      </c>
    </row>
    <row x14ac:dyDescent="0.25" r="37" customHeight="1" ht="31.5">
      <c r="A37" s="155">
        <v>34</v>
      </c>
      <c r="B37" s="22" t="s">
        <v>86</v>
      </c>
      <c r="C37" s="23" t="s">
        <v>87</v>
      </c>
      <c r="D37" s="24">
        <v>1105</v>
      </c>
      <c r="E37" s="57">
        <v>153000</v>
      </c>
      <c r="F37" s="26">
        <f>D37*E37*98%</f>
      </c>
      <c r="G37" s="90">
        <v>0.02</v>
      </c>
      <c r="H37" s="174">
        <v>696</v>
      </c>
      <c r="I37" s="135">
        <v>213500</v>
      </c>
      <c r="J37" s="175">
        <v>148596000</v>
      </c>
      <c r="K37" s="24">
        <v>805</v>
      </c>
      <c r="L37" s="57">
        <v>153000</v>
      </c>
      <c r="M37" s="26">
        <f>K37*L37*98%</f>
      </c>
      <c r="N37" s="90">
        <v>0.02</v>
      </c>
      <c r="O37" s="174">
        <v>665</v>
      </c>
      <c r="P37" s="135">
        <v>213500</v>
      </c>
      <c r="Q37" s="175">
        <v>141977500</v>
      </c>
      <c r="R37" s="21">
        <v>405</v>
      </c>
      <c r="S37" s="57">
        <v>153000</v>
      </c>
      <c r="T37" s="21">
        <f>R37*S37*98%</f>
      </c>
      <c r="U37" s="90">
        <v>0.02</v>
      </c>
      <c r="V37" s="174">
        <v>919</v>
      </c>
      <c r="W37" s="135">
        <v>213500</v>
      </c>
      <c r="X37" s="175">
        <v>196206500</v>
      </c>
      <c r="Y37" s="21">
        <v>335</v>
      </c>
      <c r="Z37" s="57">
        <v>153000</v>
      </c>
      <c r="AA37" s="21">
        <f>Y37*Z37</f>
      </c>
      <c r="AB37" s="174">
        <v>718</v>
      </c>
      <c r="AC37" s="135">
        <v>213500</v>
      </c>
      <c r="AD37" s="175">
        <v>153293000</v>
      </c>
      <c r="AE37" s="21">
        <v>835</v>
      </c>
      <c r="AF37" s="57">
        <v>168300</v>
      </c>
      <c r="AG37" s="21">
        <f>AE37*AF37</f>
      </c>
      <c r="AH37" s="174">
        <v>469</v>
      </c>
      <c r="AI37" s="135">
        <v>213500</v>
      </c>
      <c r="AJ37" s="175">
        <v>100131500</v>
      </c>
      <c r="AK37" s="24">
        <v>735</v>
      </c>
      <c r="AL37" s="57">
        <v>168300</v>
      </c>
      <c r="AM37" s="26">
        <f>AK37*AL37</f>
      </c>
      <c r="AN37" s="176">
        <v>408</v>
      </c>
      <c r="AO37" s="27">
        <v>213500</v>
      </c>
      <c r="AP37" s="177">
        <f>AN37*AO37</f>
      </c>
    </row>
    <row x14ac:dyDescent="0.25" r="38" customHeight="1" ht="31.5">
      <c r="A38" s="24">
        <v>35</v>
      </c>
      <c r="B38" s="31" t="s">
        <v>88</v>
      </c>
      <c r="C38" s="32" t="s">
        <v>89</v>
      </c>
      <c r="D38" s="24">
        <v>212</v>
      </c>
      <c r="E38" s="57">
        <v>160000</v>
      </c>
      <c r="F38" s="26">
        <f>D38*E38*98%</f>
      </c>
      <c r="G38" s="90">
        <v>0.02</v>
      </c>
      <c r="H38" s="174">
        <v>99</v>
      </c>
      <c r="I38" s="135">
        <v>228500</v>
      </c>
      <c r="J38" s="175">
        <v>22621500</v>
      </c>
      <c r="K38" s="24"/>
      <c r="L38" s="57"/>
      <c r="M38" s="26"/>
      <c r="N38" s="90"/>
      <c r="O38" s="174">
        <v>206</v>
      </c>
      <c r="P38" s="135">
        <v>216500</v>
      </c>
      <c r="Q38" s="175">
        <v>44599000</v>
      </c>
      <c r="R38" s="21">
        <v>189</v>
      </c>
      <c r="S38" s="57">
        <v>160000</v>
      </c>
      <c r="T38" s="21">
        <f>R38*S38*98%</f>
      </c>
      <c r="U38" s="90">
        <v>0.02</v>
      </c>
      <c r="V38" s="174">
        <v>189</v>
      </c>
      <c r="W38" s="135">
        <v>216500</v>
      </c>
      <c r="X38" s="175">
        <v>40918500</v>
      </c>
      <c r="Y38" s="21">
        <v>7</v>
      </c>
      <c r="Z38" s="57">
        <v>160000</v>
      </c>
      <c r="AA38" s="21">
        <f>Y38*Z38</f>
      </c>
      <c r="AB38" s="174">
        <v>236</v>
      </c>
      <c r="AC38" s="135">
        <v>216500</v>
      </c>
      <c r="AD38" s="175">
        <v>51094000</v>
      </c>
      <c r="AE38" s="21">
        <v>105</v>
      </c>
      <c r="AF38" s="57">
        <v>176000</v>
      </c>
      <c r="AG38" s="21">
        <f>AE38*AF38</f>
      </c>
      <c r="AH38" s="174">
        <v>202</v>
      </c>
      <c r="AI38" s="135">
        <v>216500</v>
      </c>
      <c r="AJ38" s="175">
        <v>43733000</v>
      </c>
      <c r="AK38" s="24">
        <v>199</v>
      </c>
      <c r="AL38" s="57">
        <v>176000</v>
      </c>
      <c r="AM38" s="26">
        <f>AK38*AL38</f>
      </c>
      <c r="AN38" s="176">
        <v>118</v>
      </c>
      <c r="AO38" s="27">
        <v>216500</v>
      </c>
      <c r="AP38" s="177">
        <f>AN38*AO38</f>
      </c>
    </row>
    <row x14ac:dyDescent="0.25" r="39" customHeight="1" ht="31.5">
      <c r="A39" s="155">
        <v>36</v>
      </c>
      <c r="B39" s="22" t="s">
        <v>92</v>
      </c>
      <c r="C39" s="23" t="s">
        <v>93</v>
      </c>
      <c r="D39" s="24">
        <v>110</v>
      </c>
      <c r="E39" s="57">
        <v>82000</v>
      </c>
      <c r="F39" s="26">
        <f>D39*E39*98%</f>
      </c>
      <c r="G39" s="90">
        <v>0.02</v>
      </c>
      <c r="H39" s="174">
        <v>60</v>
      </c>
      <c r="I39" s="135">
        <v>128500</v>
      </c>
      <c r="J39" s="175">
        <v>7710000</v>
      </c>
      <c r="K39" s="24"/>
      <c r="L39" s="57"/>
      <c r="M39" s="26"/>
      <c r="N39" s="90"/>
      <c r="O39" s="174"/>
      <c r="P39" s="135"/>
      <c r="Q39" s="175"/>
      <c r="R39" s="21"/>
      <c r="S39" s="57"/>
      <c r="T39" s="21"/>
      <c r="U39" s="90"/>
      <c r="V39" s="174">
        <v>100</v>
      </c>
      <c r="W39" s="135">
        <v>128500</v>
      </c>
      <c r="X39" s="175">
        <v>12850000</v>
      </c>
      <c r="Y39" s="21">
        <v>7</v>
      </c>
      <c r="Z39" s="57">
        <v>82000</v>
      </c>
      <c r="AA39" s="21">
        <f>Y39*Z39</f>
      </c>
      <c r="AB39" s="174">
        <v>87</v>
      </c>
      <c r="AC39" s="135">
        <v>128500</v>
      </c>
      <c r="AD39" s="175">
        <v>11179500</v>
      </c>
      <c r="AE39" s="21">
        <v>130</v>
      </c>
      <c r="AF39" s="57">
        <v>91900</v>
      </c>
      <c r="AG39" s="21">
        <f>AE39*AF39</f>
      </c>
      <c r="AH39" s="174">
        <v>43</v>
      </c>
      <c r="AI39" s="135">
        <v>128500</v>
      </c>
      <c r="AJ39" s="175">
        <v>5525500</v>
      </c>
      <c r="AK39" s="24"/>
      <c r="AL39" s="57"/>
      <c r="AM39" s="26"/>
      <c r="AN39" s="176">
        <v>20</v>
      </c>
      <c r="AO39" s="27">
        <v>128500</v>
      </c>
      <c r="AP39" s="177">
        <f>AN39*AO39</f>
      </c>
    </row>
    <row x14ac:dyDescent="0.25" r="40" customHeight="1" ht="31.5">
      <c r="A40" s="24">
        <v>37</v>
      </c>
      <c r="B40" s="31" t="s">
        <v>94</v>
      </c>
      <c r="C40" s="32" t="s">
        <v>95</v>
      </c>
      <c r="D40" s="24"/>
      <c r="E40" s="57"/>
      <c r="F40" s="26"/>
      <c r="G40" s="90"/>
      <c r="H40" s="174">
        <v>95</v>
      </c>
      <c r="I40" s="135">
        <v>247000</v>
      </c>
      <c r="J40" s="175">
        <v>23465000</v>
      </c>
      <c r="K40" s="24"/>
      <c r="L40" s="57"/>
      <c r="M40" s="26"/>
      <c r="N40" s="90"/>
      <c r="O40" s="174">
        <f>1+55</f>
      </c>
      <c r="P40" s="135" t="s">
        <v>96</v>
      </c>
      <c r="Q40" s="175">
        <f>177000+13585000</f>
      </c>
      <c r="R40" s="21"/>
      <c r="S40" s="57"/>
      <c r="T40" s="21"/>
      <c r="U40" s="90"/>
      <c r="V40" s="174">
        <v>34</v>
      </c>
      <c r="W40" s="135">
        <v>247000</v>
      </c>
      <c r="X40" s="175">
        <v>8398000</v>
      </c>
      <c r="Y40" s="21"/>
      <c r="Z40" s="57"/>
      <c r="AA40" s="21"/>
      <c r="AB40" s="174">
        <v>39</v>
      </c>
      <c r="AC40" s="135">
        <v>247000</v>
      </c>
      <c r="AD40" s="175">
        <v>9633000</v>
      </c>
      <c r="AE40" s="21"/>
      <c r="AF40" s="57"/>
      <c r="AG40" s="21"/>
      <c r="AH40" s="174">
        <v>49</v>
      </c>
      <c r="AI40" s="135">
        <v>247000</v>
      </c>
      <c r="AJ40" s="175">
        <v>12103000</v>
      </c>
      <c r="AK40" s="24">
        <v>87</v>
      </c>
      <c r="AL40" s="57">
        <v>191200</v>
      </c>
      <c r="AM40" s="26">
        <f>AK40*AL40</f>
      </c>
      <c r="AN40" s="178">
        <v>28</v>
      </c>
      <c r="AO40" s="29">
        <v>247000</v>
      </c>
      <c r="AP40" s="177">
        <f>AN40*AO40</f>
      </c>
    </row>
    <row x14ac:dyDescent="0.25" r="41" customHeight="1" ht="31.5">
      <c r="A41" s="155">
        <v>38</v>
      </c>
      <c r="B41" s="22" t="s">
        <v>97</v>
      </c>
      <c r="C41" s="23" t="s">
        <v>98</v>
      </c>
      <c r="D41" s="24">
        <v>410</v>
      </c>
      <c r="E41" s="57">
        <v>183000</v>
      </c>
      <c r="F41" s="26">
        <f>D41*E41*98%</f>
      </c>
      <c r="G41" s="90">
        <v>0.02</v>
      </c>
      <c r="H41" s="174">
        <v>350</v>
      </c>
      <c r="I41" s="135">
        <v>256000</v>
      </c>
      <c r="J41" s="175">
        <v>89600000</v>
      </c>
      <c r="K41" s="24">
        <v>297</v>
      </c>
      <c r="L41" s="57">
        <v>183000</v>
      </c>
      <c r="M41" s="26">
        <f>K41*L41*98%</f>
      </c>
      <c r="N41" s="90">
        <v>0.02</v>
      </c>
      <c r="O41" s="174">
        <v>220</v>
      </c>
      <c r="P41" s="135">
        <v>256000</v>
      </c>
      <c r="Q41" s="175">
        <v>56320000</v>
      </c>
      <c r="R41" s="182">
        <f>228-2</f>
      </c>
      <c r="S41" s="57">
        <v>183000</v>
      </c>
      <c r="T41" s="21">
        <f>R41*S41*98%</f>
      </c>
      <c r="U41" s="90">
        <v>0.02</v>
      </c>
      <c r="V41" s="174">
        <v>250</v>
      </c>
      <c r="W41" s="135">
        <v>256000</v>
      </c>
      <c r="X41" s="175">
        <v>64000000</v>
      </c>
      <c r="Y41" s="21">
        <v>55</v>
      </c>
      <c r="Z41" s="57">
        <v>183000</v>
      </c>
      <c r="AA41" s="21">
        <f>Y41*Z41</f>
      </c>
      <c r="AB41" s="174">
        <v>237</v>
      </c>
      <c r="AC41" s="135">
        <v>256000</v>
      </c>
      <c r="AD41" s="175">
        <v>60672000</v>
      </c>
      <c r="AE41" s="21">
        <v>400</v>
      </c>
      <c r="AF41" s="57">
        <v>197700</v>
      </c>
      <c r="AG41" s="21">
        <f>AE41*AF41</f>
      </c>
      <c r="AH41" s="174">
        <v>191</v>
      </c>
      <c r="AI41" s="135">
        <v>256000</v>
      </c>
      <c r="AJ41" s="175">
        <v>48896000</v>
      </c>
      <c r="AK41" s="24">
        <v>185</v>
      </c>
      <c r="AL41" s="57">
        <v>197700</v>
      </c>
      <c r="AM41" s="26">
        <f>AK41*AL41</f>
      </c>
      <c r="AN41" s="176">
        <v>152</v>
      </c>
      <c r="AO41" s="27">
        <v>256000</v>
      </c>
      <c r="AP41" s="177">
        <f>AN41*AO41</f>
      </c>
    </row>
    <row x14ac:dyDescent="0.25" r="42" customHeight="1" ht="31.5">
      <c r="A42" s="24">
        <v>39</v>
      </c>
      <c r="B42" s="22" t="s">
        <v>99</v>
      </c>
      <c r="C42" s="23" t="s">
        <v>100</v>
      </c>
      <c r="D42" s="24"/>
      <c r="E42" s="57"/>
      <c r="F42" s="26"/>
      <c r="G42" s="90"/>
      <c r="H42" s="174">
        <v>19</v>
      </c>
      <c r="I42" s="135">
        <v>257500</v>
      </c>
      <c r="J42" s="175">
        <v>4892500</v>
      </c>
      <c r="K42" s="24"/>
      <c r="L42" s="57"/>
      <c r="M42" s="26"/>
      <c r="N42" s="90"/>
      <c r="O42" s="174">
        <v>31</v>
      </c>
      <c r="P42" s="135">
        <v>257500</v>
      </c>
      <c r="Q42" s="175">
        <v>7982500</v>
      </c>
      <c r="R42" s="182"/>
      <c r="S42" s="57"/>
      <c r="T42" s="21"/>
      <c r="U42" s="90"/>
      <c r="V42" s="174">
        <v>73</v>
      </c>
      <c r="W42" s="135">
        <v>257500</v>
      </c>
      <c r="X42" s="175">
        <v>18797500</v>
      </c>
      <c r="Y42" s="21"/>
      <c r="Z42" s="57"/>
      <c r="AA42" s="21"/>
      <c r="AB42" s="174"/>
      <c r="AC42" s="135"/>
      <c r="AD42" s="175"/>
      <c r="AE42" s="21"/>
      <c r="AF42" s="57"/>
      <c r="AG42" s="21"/>
      <c r="AH42" s="174">
        <v>57</v>
      </c>
      <c r="AI42" s="135">
        <v>257500</v>
      </c>
      <c r="AJ42" s="175">
        <v>14677500</v>
      </c>
      <c r="AK42" s="24">
        <v>139</v>
      </c>
      <c r="AL42" s="57">
        <v>198800</v>
      </c>
      <c r="AM42" s="26">
        <f>AK42*AL42</f>
      </c>
      <c r="AN42" s="176">
        <v>50</v>
      </c>
      <c r="AO42" s="27">
        <v>257500</v>
      </c>
      <c r="AP42" s="177">
        <f>AN42*AO42</f>
      </c>
    </row>
    <row x14ac:dyDescent="0.25" r="43" customHeight="1" ht="31.5">
      <c r="A43" s="155">
        <v>40</v>
      </c>
      <c r="B43" s="31" t="s">
        <v>101</v>
      </c>
      <c r="C43" s="32" t="s">
        <v>102</v>
      </c>
      <c r="D43" s="24"/>
      <c r="E43" s="57"/>
      <c r="F43" s="26"/>
      <c r="G43" s="90"/>
      <c r="H43" s="174">
        <v>58</v>
      </c>
      <c r="I43" s="135">
        <v>279000</v>
      </c>
      <c r="J43" s="175">
        <v>16182000</v>
      </c>
      <c r="K43" s="24">
        <v>68</v>
      </c>
      <c r="L43" s="57">
        <v>194500</v>
      </c>
      <c r="M43" s="26">
        <f>K43*L43*98%</f>
      </c>
      <c r="N43" s="90">
        <v>0.02</v>
      </c>
      <c r="O43" s="174">
        <f>1+19</f>
      </c>
      <c r="P43" s="135" t="s">
        <v>103</v>
      </c>
      <c r="Q43" s="175">
        <f>194500+5301000</f>
      </c>
      <c r="R43" s="182">
        <f>2-1</f>
      </c>
      <c r="S43" s="56">
        <v>194500</v>
      </c>
      <c r="T43" s="21">
        <f>R43*S43*98%</f>
      </c>
      <c r="U43" s="90">
        <v>0.02</v>
      </c>
      <c r="V43" s="174"/>
      <c r="W43" s="135"/>
      <c r="X43" s="175"/>
      <c r="Y43" s="21"/>
      <c r="Z43" s="57"/>
      <c r="AA43" s="21"/>
      <c r="AB43" s="174">
        <v>23</v>
      </c>
      <c r="AC43" s="135">
        <v>279000</v>
      </c>
      <c r="AD43" s="175">
        <v>6417000</v>
      </c>
      <c r="AE43" s="21"/>
      <c r="AF43" s="57"/>
      <c r="AG43" s="21"/>
      <c r="AH43" s="180"/>
      <c r="AI43" s="141"/>
      <c r="AJ43" s="181"/>
      <c r="AK43" s="24">
        <v>20</v>
      </c>
      <c r="AL43" s="57">
        <v>210100</v>
      </c>
      <c r="AM43" s="26">
        <f>AK43*AL43</f>
      </c>
      <c r="AN43" s="178">
        <v>70</v>
      </c>
      <c r="AO43" s="29">
        <v>279000</v>
      </c>
      <c r="AP43" s="177">
        <f>AN43*AO43</f>
      </c>
    </row>
    <row x14ac:dyDescent="0.25" r="44" customHeight="1" ht="31.5">
      <c r="A44" s="24">
        <v>41</v>
      </c>
      <c r="B44" s="31" t="s">
        <v>104</v>
      </c>
      <c r="C44" s="32" t="s">
        <v>105</v>
      </c>
      <c r="D44" s="24">
        <v>44</v>
      </c>
      <c r="E44" s="57">
        <v>186000</v>
      </c>
      <c r="F44" s="26">
        <f>D44*E44*98%</f>
      </c>
      <c r="G44" s="90">
        <v>0.02</v>
      </c>
      <c r="H44" s="174">
        <v>20</v>
      </c>
      <c r="I44" s="135">
        <v>259500</v>
      </c>
      <c r="J44" s="175">
        <v>5190000</v>
      </c>
      <c r="K44" s="24">
        <v>20</v>
      </c>
      <c r="L44" s="57">
        <v>186000</v>
      </c>
      <c r="M44" s="26">
        <f>K44*L44*98%</f>
      </c>
      <c r="N44" s="90">
        <v>0.02</v>
      </c>
      <c r="O44" s="174">
        <f>1+21</f>
      </c>
      <c r="P44" s="135" t="s">
        <v>106</v>
      </c>
      <c r="Q44" s="175">
        <f>186000+5449500</f>
      </c>
      <c r="R44" s="21">
        <v>102</v>
      </c>
      <c r="S44" s="57">
        <v>186000</v>
      </c>
      <c r="T44" s="21">
        <f>R44*S44*98%</f>
      </c>
      <c r="U44" s="90">
        <v>0.02</v>
      </c>
      <c r="V44" s="174">
        <v>50</v>
      </c>
      <c r="W44" s="135">
        <v>259500</v>
      </c>
      <c r="X44" s="175">
        <v>12975000</v>
      </c>
      <c r="Y44" s="21"/>
      <c r="Z44" s="57"/>
      <c r="AA44" s="21"/>
      <c r="AB44" s="174"/>
      <c r="AC44" s="135"/>
      <c r="AD44" s="175"/>
      <c r="AE44" s="21"/>
      <c r="AF44" s="57"/>
      <c r="AG44" s="21"/>
      <c r="AH44" s="180"/>
      <c r="AI44" s="141"/>
      <c r="AJ44" s="181"/>
      <c r="AK44" s="24"/>
      <c r="AL44" s="57"/>
      <c r="AM44" s="26"/>
      <c r="AN44" s="178">
        <v>10</v>
      </c>
      <c r="AO44" s="29">
        <v>259500</v>
      </c>
      <c r="AP44" s="177">
        <f>AN44*AO44</f>
      </c>
    </row>
    <row x14ac:dyDescent="0.25" r="45" customHeight="1" ht="31.5">
      <c r="A45" s="155">
        <v>42</v>
      </c>
      <c r="B45" s="22" t="s">
        <v>107</v>
      </c>
      <c r="C45" s="23" t="s">
        <v>108</v>
      </c>
      <c r="D45" s="24">
        <v>128</v>
      </c>
      <c r="E45" s="57">
        <v>196500</v>
      </c>
      <c r="F45" s="26">
        <f>D45*E45*98%</f>
      </c>
      <c r="G45" s="90">
        <v>0.02</v>
      </c>
      <c r="H45" s="174">
        <v>184</v>
      </c>
      <c r="I45" s="135">
        <v>274500</v>
      </c>
      <c r="J45" s="175">
        <v>50508000</v>
      </c>
      <c r="K45" s="24">
        <v>164</v>
      </c>
      <c r="L45" s="57">
        <v>196500</v>
      </c>
      <c r="M45" s="26">
        <f>K45*L45*98%</f>
      </c>
      <c r="N45" s="90">
        <v>0.02</v>
      </c>
      <c r="O45" s="174">
        <v>156</v>
      </c>
      <c r="P45" s="135">
        <v>274500</v>
      </c>
      <c r="Q45" s="175">
        <v>42822000</v>
      </c>
      <c r="R45" s="21">
        <v>2</v>
      </c>
      <c r="S45" s="57">
        <v>196500</v>
      </c>
      <c r="T45" s="21">
        <f>R45*S45*98%</f>
      </c>
      <c r="U45" s="90">
        <v>0.02</v>
      </c>
      <c r="V45" s="174">
        <v>152</v>
      </c>
      <c r="W45" s="135">
        <v>274500</v>
      </c>
      <c r="X45" s="175">
        <v>41724000</v>
      </c>
      <c r="Y45" s="21"/>
      <c r="Z45" s="57"/>
      <c r="AA45" s="21"/>
      <c r="AB45" s="174">
        <v>147</v>
      </c>
      <c r="AC45" s="135">
        <v>274500</v>
      </c>
      <c r="AD45" s="175">
        <v>40351500</v>
      </c>
      <c r="AE45" s="21">
        <v>66</v>
      </c>
      <c r="AF45" s="57">
        <v>212300</v>
      </c>
      <c r="AG45" s="21">
        <f>AE45*AF45</f>
      </c>
      <c r="AH45" s="174">
        <v>31</v>
      </c>
      <c r="AI45" s="135">
        <v>274500</v>
      </c>
      <c r="AJ45" s="175">
        <v>8509500</v>
      </c>
      <c r="AK45" s="24">
        <v>134</v>
      </c>
      <c r="AL45" s="57">
        <v>212300</v>
      </c>
      <c r="AM45" s="26">
        <f>AK45*AL45</f>
      </c>
      <c r="AN45" s="176">
        <v>100</v>
      </c>
      <c r="AO45" s="27">
        <v>274500</v>
      </c>
      <c r="AP45" s="177">
        <f>AN45*AO45</f>
      </c>
    </row>
    <row x14ac:dyDescent="0.25" r="46" customHeight="1" ht="31.5">
      <c r="A46" s="24">
        <v>43</v>
      </c>
      <c r="B46" s="22" t="s">
        <v>109</v>
      </c>
      <c r="C46" s="23" t="s">
        <v>110</v>
      </c>
      <c r="D46" s="24">
        <v>16</v>
      </c>
      <c r="E46" s="57">
        <v>202000</v>
      </c>
      <c r="F46" s="26">
        <f>D46*E46*98%</f>
      </c>
      <c r="G46" s="90">
        <v>0.02</v>
      </c>
      <c r="H46" s="174">
        <v>42</v>
      </c>
      <c r="I46" s="135">
        <v>282000</v>
      </c>
      <c r="J46" s="175">
        <v>11844000</v>
      </c>
      <c r="K46" s="24">
        <v>76</v>
      </c>
      <c r="L46" s="57">
        <v>202000</v>
      </c>
      <c r="M46" s="26">
        <f>K46*L46*98%</f>
      </c>
      <c r="N46" s="90">
        <v>0.02</v>
      </c>
      <c r="O46" s="174">
        <v>1</v>
      </c>
      <c r="P46" s="135">
        <v>202000</v>
      </c>
      <c r="Q46" s="175">
        <v>202000</v>
      </c>
      <c r="R46" s="21">
        <v>60</v>
      </c>
      <c r="S46" s="57">
        <v>202000</v>
      </c>
      <c r="T46" s="21">
        <f>R46*S46*98%</f>
      </c>
      <c r="U46" s="90">
        <v>0.02</v>
      </c>
      <c r="V46" s="174">
        <v>46</v>
      </c>
      <c r="W46" s="135">
        <v>282000</v>
      </c>
      <c r="X46" s="175">
        <v>12972000</v>
      </c>
      <c r="Y46" s="21">
        <v>200</v>
      </c>
      <c r="Z46" s="57">
        <v>202000</v>
      </c>
      <c r="AA46" s="21">
        <f>Y46*Z46</f>
      </c>
      <c r="AB46" s="174"/>
      <c r="AC46" s="135"/>
      <c r="AD46" s="175"/>
      <c r="AE46" s="21">
        <v>35</v>
      </c>
      <c r="AF46" s="57">
        <v>218200</v>
      </c>
      <c r="AG46" s="21">
        <f>AE46*AF46</f>
      </c>
      <c r="AH46" s="180"/>
      <c r="AI46" s="141"/>
      <c r="AJ46" s="181"/>
      <c r="AK46" s="24"/>
      <c r="AL46" s="57"/>
      <c r="AM46" s="26"/>
      <c r="AN46" s="178">
        <v>44</v>
      </c>
      <c r="AO46" s="29">
        <v>282000</v>
      </c>
      <c r="AP46" s="177">
        <f>AN46*AO46</f>
      </c>
    </row>
    <row x14ac:dyDescent="0.25" r="47" customHeight="1" ht="31.5">
      <c r="A47" s="155">
        <v>44</v>
      </c>
      <c r="B47" s="22" t="s">
        <v>112</v>
      </c>
      <c r="C47" s="23" t="s">
        <v>113</v>
      </c>
      <c r="D47" s="24"/>
      <c r="E47" s="57"/>
      <c r="F47" s="26"/>
      <c r="G47" s="90"/>
      <c r="H47" s="174">
        <v>168</v>
      </c>
      <c r="I47" s="135">
        <v>122000</v>
      </c>
      <c r="J47" s="175">
        <v>20496000</v>
      </c>
      <c r="K47" s="24">
        <v>150</v>
      </c>
      <c r="L47" s="57">
        <v>83000</v>
      </c>
      <c r="M47" s="26">
        <f>K47*L47*98%</f>
      </c>
      <c r="N47" s="90">
        <v>0.02</v>
      </c>
      <c r="O47" s="174">
        <v>357</v>
      </c>
      <c r="P47" s="135">
        <v>122000</v>
      </c>
      <c r="Q47" s="175">
        <v>43554000</v>
      </c>
      <c r="R47" s="21">
        <v>340</v>
      </c>
      <c r="S47" s="57">
        <v>83000</v>
      </c>
      <c r="T47" s="21">
        <f>R47*S47*98%</f>
      </c>
      <c r="U47" s="90">
        <v>0.02</v>
      </c>
      <c r="V47" s="174">
        <v>248</v>
      </c>
      <c r="W47" s="135">
        <v>122000</v>
      </c>
      <c r="X47" s="175">
        <v>30256000</v>
      </c>
      <c r="Y47" s="21">
        <v>151</v>
      </c>
      <c r="Z47" s="57">
        <v>83000</v>
      </c>
      <c r="AA47" s="21">
        <f>Y47*Z47</f>
      </c>
      <c r="AB47" s="174">
        <v>162</v>
      </c>
      <c r="AC47" s="135">
        <v>122000</v>
      </c>
      <c r="AD47" s="175">
        <v>19764000</v>
      </c>
      <c r="AE47" s="21">
        <v>217</v>
      </c>
      <c r="AF47" s="57">
        <v>91300</v>
      </c>
      <c r="AG47" s="21">
        <f>AE47*AF47</f>
      </c>
      <c r="AH47" s="174">
        <v>470</v>
      </c>
      <c r="AI47" s="135">
        <v>122000</v>
      </c>
      <c r="AJ47" s="175">
        <v>57340000</v>
      </c>
      <c r="AK47" s="24">
        <v>272</v>
      </c>
      <c r="AL47" s="57">
        <v>91300</v>
      </c>
      <c r="AM47" s="26">
        <f>AK47*AL47</f>
      </c>
      <c r="AN47" s="176">
        <v>318</v>
      </c>
      <c r="AO47" s="27">
        <v>122000</v>
      </c>
      <c r="AP47" s="177">
        <f>AN47*AO47</f>
      </c>
    </row>
    <row x14ac:dyDescent="0.25" r="48" customHeight="1" ht="31.5">
      <c r="A48" s="24">
        <v>45</v>
      </c>
      <c r="B48" s="22" t="s">
        <v>114</v>
      </c>
      <c r="C48" s="23" t="s">
        <v>115</v>
      </c>
      <c r="D48" s="24">
        <v>71</v>
      </c>
      <c r="E48" s="57">
        <v>239000</v>
      </c>
      <c r="F48" s="26">
        <f>D48*E48*98%</f>
      </c>
      <c r="G48" s="90">
        <v>0.02</v>
      </c>
      <c r="H48" s="174">
        <v>49</v>
      </c>
      <c r="I48" s="135">
        <v>340500</v>
      </c>
      <c r="J48" s="175">
        <v>16684500</v>
      </c>
      <c r="K48" s="24">
        <v>1</v>
      </c>
      <c r="L48" s="57">
        <v>239000</v>
      </c>
      <c r="M48" s="26">
        <f>K48*L48*98%</f>
      </c>
      <c r="N48" s="90">
        <v>0.02</v>
      </c>
      <c r="O48" s="174">
        <v>40</v>
      </c>
      <c r="P48" s="135">
        <v>340500</v>
      </c>
      <c r="Q48" s="175">
        <v>13620000</v>
      </c>
      <c r="R48" s="21">
        <v>30</v>
      </c>
      <c r="S48" s="57">
        <v>239000</v>
      </c>
      <c r="T48" s="21">
        <f>R48*S48*98%</f>
      </c>
      <c r="U48" s="90">
        <v>0.02</v>
      </c>
      <c r="V48" s="174">
        <v>50</v>
      </c>
      <c r="W48" s="135">
        <v>340500</v>
      </c>
      <c r="X48" s="175">
        <v>17025000</v>
      </c>
      <c r="Y48" s="21"/>
      <c r="Z48" s="57"/>
      <c r="AA48" s="21"/>
      <c r="AB48" s="174">
        <v>43</v>
      </c>
      <c r="AC48" s="135">
        <v>340500</v>
      </c>
      <c r="AD48" s="175">
        <v>14641500</v>
      </c>
      <c r="AE48" s="21">
        <v>79</v>
      </c>
      <c r="AF48" s="57">
        <v>255800</v>
      </c>
      <c r="AG48" s="21">
        <f>AE48*AF48</f>
      </c>
      <c r="AH48" s="174">
        <v>87</v>
      </c>
      <c r="AI48" s="135">
        <v>340500</v>
      </c>
      <c r="AJ48" s="175">
        <v>29623500</v>
      </c>
      <c r="AK48" s="24">
        <v>40</v>
      </c>
      <c r="AL48" s="57">
        <v>255800</v>
      </c>
      <c r="AM48" s="26">
        <f>AK48*AL48</f>
      </c>
      <c r="AN48" s="176">
        <v>100</v>
      </c>
      <c r="AO48" s="27">
        <v>340500</v>
      </c>
      <c r="AP48" s="177">
        <f>AN48*AO48</f>
      </c>
    </row>
    <row x14ac:dyDescent="0.25" r="49" customHeight="1" ht="31.5">
      <c r="A49" s="155">
        <v>46</v>
      </c>
      <c r="B49" s="22" t="s">
        <v>116</v>
      </c>
      <c r="C49" s="23" t="s">
        <v>117</v>
      </c>
      <c r="D49" s="24"/>
      <c r="E49" s="57"/>
      <c r="F49" s="26"/>
      <c r="G49" s="90"/>
      <c r="H49" s="174">
        <v>20</v>
      </c>
      <c r="I49" s="135">
        <v>353900</v>
      </c>
      <c r="J49" s="175">
        <v>7078000</v>
      </c>
      <c r="K49" s="24"/>
      <c r="L49" s="57"/>
      <c r="M49" s="26"/>
      <c r="N49" s="90"/>
      <c r="O49" s="174">
        <v>10</v>
      </c>
      <c r="P49" s="135">
        <v>353900</v>
      </c>
      <c r="Q49" s="175">
        <v>3539000</v>
      </c>
      <c r="R49" s="21"/>
      <c r="S49" s="57"/>
      <c r="T49" s="21"/>
      <c r="U49" s="90"/>
      <c r="V49" s="174">
        <v>50</v>
      </c>
      <c r="W49" s="135">
        <v>353900</v>
      </c>
      <c r="X49" s="175">
        <v>17695000</v>
      </c>
      <c r="Y49" s="21"/>
      <c r="Z49" s="57"/>
      <c r="AA49" s="21"/>
      <c r="AB49" s="174"/>
      <c r="AC49" s="135"/>
      <c r="AD49" s="175"/>
      <c r="AE49" s="21"/>
      <c r="AF49" s="57"/>
      <c r="AG49" s="21"/>
      <c r="AH49" s="180"/>
      <c r="AI49" s="141"/>
      <c r="AJ49" s="181"/>
      <c r="AK49" s="24">
        <v>1</v>
      </c>
      <c r="AL49" s="57">
        <v>272900</v>
      </c>
      <c r="AM49" s="26">
        <f>AK49*AL49</f>
      </c>
      <c r="AN49" s="178"/>
      <c r="AO49" s="29"/>
      <c r="AP49" s="177">
        <f>AN49*AO49</f>
      </c>
    </row>
    <row x14ac:dyDescent="0.25" r="50" customHeight="1" ht="31.5">
      <c r="A50" s="24">
        <v>47</v>
      </c>
      <c r="B50" s="31" t="s">
        <v>118</v>
      </c>
      <c r="C50" s="32" t="s">
        <v>119</v>
      </c>
      <c r="D50" s="24">
        <v>134</v>
      </c>
      <c r="E50" s="57">
        <v>255000</v>
      </c>
      <c r="F50" s="26">
        <f>D50*E50*98%</f>
      </c>
      <c r="G50" s="90">
        <v>0.02</v>
      </c>
      <c r="H50" s="174">
        <v>90</v>
      </c>
      <c r="I50" s="135">
        <v>363500</v>
      </c>
      <c r="J50" s="175">
        <v>32715000</v>
      </c>
      <c r="K50" s="24">
        <v>72</v>
      </c>
      <c r="L50" s="57">
        <v>255000</v>
      </c>
      <c r="M50" s="26">
        <f>K50*L50*98%</f>
      </c>
      <c r="N50" s="90">
        <v>0.02</v>
      </c>
      <c r="O50" s="174">
        <f>5+100</f>
      </c>
      <c r="P50" s="135" t="s">
        <v>120</v>
      </c>
      <c r="Q50" s="175">
        <f>1275000+36350000</f>
      </c>
      <c r="R50" s="21">
        <v>52</v>
      </c>
      <c r="S50" s="57">
        <v>255000</v>
      </c>
      <c r="T50" s="21">
        <f>R50*S50*98%</f>
      </c>
      <c r="U50" s="90">
        <v>0.02</v>
      </c>
      <c r="V50" s="174">
        <v>130</v>
      </c>
      <c r="W50" s="135">
        <v>363500</v>
      </c>
      <c r="X50" s="175">
        <v>47255000</v>
      </c>
      <c r="Y50" s="21"/>
      <c r="Z50" s="57"/>
      <c r="AA50" s="21"/>
      <c r="AB50" s="174">
        <v>88</v>
      </c>
      <c r="AC50" s="135">
        <v>363500</v>
      </c>
      <c r="AD50" s="175">
        <v>31988000</v>
      </c>
      <c r="AE50" s="21">
        <v>100</v>
      </c>
      <c r="AF50" s="57">
        <v>272900</v>
      </c>
      <c r="AG50" s="21">
        <f>AE50*AF50</f>
      </c>
      <c r="AH50" s="180"/>
      <c r="AI50" s="141"/>
      <c r="AJ50" s="181"/>
      <c r="AK50" s="24">
        <v>100</v>
      </c>
      <c r="AL50" s="57">
        <v>272900</v>
      </c>
      <c r="AM50" s="26">
        <f>AK50*AL50</f>
      </c>
      <c r="AN50" s="178">
        <v>112</v>
      </c>
      <c r="AO50" s="29">
        <v>363500</v>
      </c>
      <c r="AP50" s="177">
        <f>AN50*AO50</f>
      </c>
    </row>
    <row x14ac:dyDescent="0.25" r="51" customHeight="1" ht="31.5">
      <c r="A51" s="155">
        <v>48</v>
      </c>
      <c r="B51" s="31" t="s">
        <v>121</v>
      </c>
      <c r="C51" s="32" t="s">
        <v>122</v>
      </c>
      <c r="D51" s="24">
        <v>30</v>
      </c>
      <c r="E51" s="57">
        <v>166500</v>
      </c>
      <c r="F51" s="26">
        <f>D51*E51*88%</f>
      </c>
      <c r="G51" s="90">
        <v>0.12</v>
      </c>
      <c r="H51" s="174">
        <v>20</v>
      </c>
      <c r="I51" s="135">
        <v>222000</v>
      </c>
      <c r="J51" s="175">
        <v>4440000</v>
      </c>
      <c r="K51" s="24">
        <v>10</v>
      </c>
      <c r="L51" s="57">
        <v>166500</v>
      </c>
      <c r="M51" s="26">
        <f>K51*L51*88%</f>
      </c>
      <c r="N51" s="90">
        <v>0.12</v>
      </c>
      <c r="O51" s="174">
        <f>10+10</f>
      </c>
      <c r="P51" s="135" t="s">
        <v>123</v>
      </c>
      <c r="Q51" s="175">
        <f>1665000+2220000</f>
      </c>
      <c r="R51" s="21">
        <v>8</v>
      </c>
      <c r="S51" s="57">
        <v>166500</v>
      </c>
      <c r="T51" s="21">
        <f>R51*S51*88%</f>
      </c>
      <c r="U51" s="90">
        <v>0.12</v>
      </c>
      <c r="V51" s="174">
        <v>20</v>
      </c>
      <c r="W51" s="135">
        <v>222000</v>
      </c>
      <c r="X51" s="175">
        <v>4440000</v>
      </c>
      <c r="Y51" s="21"/>
      <c r="Z51" s="57"/>
      <c r="AA51" s="21"/>
      <c r="AB51" s="174">
        <v>20</v>
      </c>
      <c r="AC51" s="135">
        <v>222000</v>
      </c>
      <c r="AD51" s="175">
        <v>4440000</v>
      </c>
      <c r="AE51" s="21"/>
      <c r="AF51" s="57"/>
      <c r="AG51" s="21"/>
      <c r="AH51" s="174">
        <v>80</v>
      </c>
      <c r="AI51" s="135">
        <v>222000</v>
      </c>
      <c r="AJ51" s="175">
        <v>17760000</v>
      </c>
      <c r="AK51" s="24">
        <v>87</v>
      </c>
      <c r="AL51" s="57">
        <v>175000</v>
      </c>
      <c r="AM51" s="26">
        <f>AK51*AL51</f>
      </c>
      <c r="AN51" s="178">
        <v>70</v>
      </c>
      <c r="AO51" s="29">
        <v>222000</v>
      </c>
      <c r="AP51" s="177">
        <f>AN51*AO51</f>
      </c>
    </row>
    <row x14ac:dyDescent="0.25" r="52" customHeight="1" ht="27">
      <c r="A52" s="24">
        <v>49</v>
      </c>
      <c r="B52" s="22" t="s">
        <v>124</v>
      </c>
      <c r="C52" s="23" t="s">
        <v>125</v>
      </c>
      <c r="D52" s="21"/>
      <c r="E52" s="58"/>
      <c r="F52" s="48"/>
      <c r="G52" s="94"/>
      <c r="H52" s="174">
        <v>30</v>
      </c>
      <c r="I52" s="135">
        <v>234500</v>
      </c>
      <c r="J52" s="175">
        <v>7035000</v>
      </c>
      <c r="K52" s="36"/>
      <c r="L52" s="105"/>
      <c r="M52" s="36"/>
      <c r="N52" s="94"/>
      <c r="O52" s="174">
        <v>20</v>
      </c>
      <c r="P52" s="135">
        <v>234500</v>
      </c>
      <c r="Q52" s="175">
        <v>4690000</v>
      </c>
      <c r="R52" s="48"/>
      <c r="S52" s="93"/>
      <c r="T52" s="48"/>
      <c r="U52" s="94"/>
      <c r="V52" s="174">
        <v>30</v>
      </c>
      <c r="W52" s="135">
        <v>234500</v>
      </c>
      <c r="X52" s="175">
        <v>7035000</v>
      </c>
      <c r="Y52" s="48"/>
      <c r="Z52" s="93"/>
      <c r="AA52" s="48"/>
      <c r="AB52" s="174">
        <v>66</v>
      </c>
      <c r="AC52" s="135">
        <v>234500</v>
      </c>
      <c r="AD52" s="175">
        <v>15477000</v>
      </c>
      <c r="AE52" s="48"/>
      <c r="AF52" s="93"/>
      <c r="AG52" s="48"/>
      <c r="AH52" s="174">
        <v>113</v>
      </c>
      <c r="AI52" s="135">
        <v>234500</v>
      </c>
      <c r="AJ52" s="175">
        <v>26498500</v>
      </c>
      <c r="AK52" s="24">
        <v>40</v>
      </c>
      <c r="AL52" s="57">
        <v>185000</v>
      </c>
      <c r="AM52" s="26">
        <f>AK52*AL52</f>
      </c>
      <c r="AN52" s="176">
        <v>51</v>
      </c>
      <c r="AO52" s="27">
        <v>234500</v>
      </c>
      <c r="AP52" s="177">
        <f>AN52*AO52</f>
      </c>
    </row>
    <row x14ac:dyDescent="0.25" r="53" customHeight="1" ht="31.5">
      <c r="A53" s="155">
        <v>50</v>
      </c>
      <c r="B53" s="22" t="s">
        <v>126</v>
      </c>
      <c r="C53" s="23" t="s">
        <v>127</v>
      </c>
      <c r="D53" s="24">
        <v>10</v>
      </c>
      <c r="E53" s="57">
        <v>229000</v>
      </c>
      <c r="F53" s="26">
        <f>D53*E53*88%</f>
      </c>
      <c r="G53" s="90">
        <v>0.12</v>
      </c>
      <c r="H53" s="174">
        <v>10</v>
      </c>
      <c r="I53" s="135">
        <v>312500</v>
      </c>
      <c r="J53" s="175">
        <v>3125000</v>
      </c>
      <c r="K53" s="24"/>
      <c r="L53" s="57"/>
      <c r="M53" s="26"/>
      <c r="N53" s="90"/>
      <c r="O53" s="174">
        <v>20</v>
      </c>
      <c r="P53" s="135">
        <v>312500</v>
      </c>
      <c r="Q53" s="175">
        <v>6250000</v>
      </c>
      <c r="R53" s="21"/>
      <c r="S53" s="57"/>
      <c r="T53" s="21"/>
      <c r="U53" s="90"/>
      <c r="V53" s="174">
        <v>28</v>
      </c>
      <c r="W53" s="135">
        <v>312500</v>
      </c>
      <c r="X53" s="175">
        <v>8750000</v>
      </c>
      <c r="Y53" s="21">
        <v>84</v>
      </c>
      <c r="Z53" s="57">
        <v>229000</v>
      </c>
      <c r="AA53" s="21">
        <f>Y53*Z53</f>
      </c>
      <c r="AB53" s="174">
        <v>12</v>
      </c>
      <c r="AC53" s="135">
        <v>312500</v>
      </c>
      <c r="AD53" s="175">
        <v>3750000</v>
      </c>
      <c r="AE53" s="21">
        <v>40</v>
      </c>
      <c r="AF53" s="57">
        <v>240500</v>
      </c>
      <c r="AG53" s="21">
        <f>AE53*AF53</f>
      </c>
      <c r="AH53" s="174">
        <v>20</v>
      </c>
      <c r="AI53" s="135">
        <v>312500</v>
      </c>
      <c r="AJ53" s="175">
        <v>6250000</v>
      </c>
      <c r="AK53" s="24">
        <v>40</v>
      </c>
      <c r="AL53" s="57">
        <v>240500</v>
      </c>
      <c r="AM53" s="26">
        <f>AK53*AL53</f>
      </c>
      <c r="AN53" s="176">
        <v>55</v>
      </c>
      <c r="AO53" s="27">
        <v>312500</v>
      </c>
      <c r="AP53" s="177">
        <f>AN53*AO53</f>
      </c>
    </row>
    <row x14ac:dyDescent="0.25" r="54" customHeight="1" ht="31.5">
      <c r="A54" s="24">
        <v>51</v>
      </c>
      <c r="B54" s="31" t="s">
        <v>128</v>
      </c>
      <c r="C54" s="32" t="s">
        <v>129</v>
      </c>
      <c r="D54" s="24">
        <v>30</v>
      </c>
      <c r="E54" s="57">
        <v>249000</v>
      </c>
      <c r="F54" s="26">
        <f>D54*E54*88%</f>
      </c>
      <c r="G54" s="90">
        <v>0.12</v>
      </c>
      <c r="H54" s="174">
        <v>59</v>
      </c>
      <c r="I54" s="135">
        <v>339000</v>
      </c>
      <c r="J54" s="175">
        <v>20001000</v>
      </c>
      <c r="K54" s="24">
        <v>40</v>
      </c>
      <c r="L54" s="57">
        <v>249000</v>
      </c>
      <c r="M54" s="26">
        <f>K54*L54*88%</f>
      </c>
      <c r="N54" s="90">
        <v>0.12</v>
      </c>
      <c r="O54" s="174">
        <f>6+71</f>
      </c>
      <c r="P54" s="135" t="s">
        <v>130</v>
      </c>
      <c r="Q54" s="175">
        <f>1488000+24069000</f>
      </c>
      <c r="R54" s="21">
        <v>10</v>
      </c>
      <c r="S54" s="57">
        <v>249000</v>
      </c>
      <c r="T54" s="21">
        <f>R54*S54*88%</f>
      </c>
      <c r="U54" s="90">
        <v>0.12</v>
      </c>
      <c r="V54" s="174">
        <v>110</v>
      </c>
      <c r="W54" s="135">
        <v>339000</v>
      </c>
      <c r="X54" s="175">
        <v>37290000</v>
      </c>
      <c r="Y54" s="21">
        <v>79</v>
      </c>
      <c r="Z54" s="57">
        <v>249000</v>
      </c>
      <c r="AA54" s="21">
        <f>Y54*Z54</f>
      </c>
      <c r="AB54" s="174">
        <v>40</v>
      </c>
      <c r="AC54" s="135">
        <v>339000</v>
      </c>
      <c r="AD54" s="175">
        <v>13560000</v>
      </c>
      <c r="AE54" s="21">
        <v>61</v>
      </c>
      <c r="AF54" s="57">
        <v>261500</v>
      </c>
      <c r="AG54" s="21">
        <f>AE54*AF54</f>
      </c>
      <c r="AH54" s="174">
        <v>130</v>
      </c>
      <c r="AI54" s="135">
        <v>339000</v>
      </c>
      <c r="AJ54" s="175">
        <v>44070000</v>
      </c>
      <c r="AK54" s="24">
        <v>40</v>
      </c>
      <c r="AL54" s="57">
        <v>261500</v>
      </c>
      <c r="AM54" s="26">
        <f>AK54*AL54</f>
      </c>
      <c r="AN54" s="178">
        <v>90</v>
      </c>
      <c r="AO54" s="29">
        <v>339000</v>
      </c>
      <c r="AP54" s="177">
        <f>AN54*AO54</f>
      </c>
    </row>
    <row x14ac:dyDescent="0.25" r="55" customHeight="1" ht="31.5">
      <c r="A55" s="155">
        <v>52</v>
      </c>
      <c r="B55" s="31" t="s">
        <v>131</v>
      </c>
      <c r="C55" s="32" t="s">
        <v>132</v>
      </c>
      <c r="D55" s="24"/>
      <c r="E55" s="57"/>
      <c r="F55" s="26"/>
      <c r="G55" s="90"/>
      <c r="H55" s="174">
        <v>10</v>
      </c>
      <c r="I55" s="135">
        <v>176500</v>
      </c>
      <c r="J55" s="175">
        <v>1765000</v>
      </c>
      <c r="K55" s="24">
        <v>10</v>
      </c>
      <c r="L55" s="57">
        <v>130000</v>
      </c>
      <c r="M55" s="26">
        <f>K55*L55*88%</f>
      </c>
      <c r="N55" s="90">
        <v>0.12</v>
      </c>
      <c r="O55" s="174">
        <f>1+10</f>
      </c>
      <c r="P55" s="135" t="s">
        <v>133</v>
      </c>
      <c r="Q55" s="175">
        <f>130000+1765000</f>
      </c>
      <c r="R55" s="21">
        <v>3</v>
      </c>
      <c r="S55" s="57">
        <v>130000</v>
      </c>
      <c r="T55" s="21">
        <f>R55*S55*88%</f>
      </c>
      <c r="U55" s="90">
        <v>0.12</v>
      </c>
      <c r="V55" s="174">
        <v>20</v>
      </c>
      <c r="W55" s="135">
        <v>176500</v>
      </c>
      <c r="X55" s="175">
        <v>3530000</v>
      </c>
      <c r="Y55" s="21">
        <v>12</v>
      </c>
      <c r="Z55" s="57">
        <v>130000</v>
      </c>
      <c r="AA55" s="21">
        <f>Y55*Z55</f>
      </c>
      <c r="AB55" s="180"/>
      <c r="AC55" s="141"/>
      <c r="AD55" s="181"/>
      <c r="AE55" s="21">
        <v>10</v>
      </c>
      <c r="AF55" s="57">
        <v>136500</v>
      </c>
      <c r="AG55" s="21">
        <f>AE55*AF55</f>
      </c>
      <c r="AH55" s="174">
        <v>31</v>
      </c>
      <c r="AI55" s="135">
        <v>176500</v>
      </c>
      <c r="AJ55" s="175">
        <v>5471500</v>
      </c>
      <c r="AK55" s="24">
        <v>20</v>
      </c>
      <c r="AL55" s="57">
        <v>136500</v>
      </c>
      <c r="AM55" s="26">
        <f>AK55*AL55</f>
      </c>
      <c r="AN55" s="178">
        <v>18</v>
      </c>
      <c r="AO55" s="29">
        <v>176500</v>
      </c>
      <c r="AP55" s="177">
        <f>AN55*AO55</f>
      </c>
    </row>
    <row x14ac:dyDescent="0.25" r="56" customHeight="1" ht="27">
      <c r="A56" s="24">
        <v>53</v>
      </c>
      <c r="B56" s="22" t="s">
        <v>134</v>
      </c>
      <c r="C56" s="23" t="s">
        <v>135</v>
      </c>
      <c r="D56" s="24">
        <v>10</v>
      </c>
      <c r="E56" s="57">
        <v>180000</v>
      </c>
      <c r="F56" s="26">
        <f>D56*E56*88%</f>
      </c>
      <c r="G56" s="90">
        <v>0.12</v>
      </c>
      <c r="H56" s="174"/>
      <c r="I56" s="135"/>
      <c r="J56" s="175"/>
      <c r="K56" s="24"/>
      <c r="L56" s="57"/>
      <c r="M56" s="26"/>
      <c r="N56" s="90"/>
      <c r="O56" s="174">
        <v>12</v>
      </c>
      <c r="P56" s="135">
        <v>180000</v>
      </c>
      <c r="Q56" s="175">
        <v>2160000</v>
      </c>
      <c r="R56" s="21"/>
      <c r="S56" s="57"/>
      <c r="T56" s="21"/>
      <c r="U56" s="90"/>
      <c r="V56" s="174"/>
      <c r="W56" s="135"/>
      <c r="X56" s="175"/>
      <c r="Y56" s="21">
        <v>32</v>
      </c>
      <c r="Z56" s="57">
        <v>180000</v>
      </c>
      <c r="AA56" s="21">
        <f>Y56*Z56</f>
      </c>
      <c r="AB56" s="174">
        <v>5</v>
      </c>
      <c r="AC56" s="135">
        <v>245000</v>
      </c>
      <c r="AD56" s="175">
        <v>1225000</v>
      </c>
      <c r="AE56" s="21">
        <v>45</v>
      </c>
      <c r="AF56" s="57">
        <v>189000</v>
      </c>
      <c r="AG56" s="21">
        <f>AE56*AF56</f>
      </c>
      <c r="AH56" s="174">
        <v>45</v>
      </c>
      <c r="AI56" s="135">
        <v>245000</v>
      </c>
      <c r="AJ56" s="175">
        <v>11025000</v>
      </c>
      <c r="AK56" s="24">
        <v>22</v>
      </c>
      <c r="AL56" s="57">
        <v>189000</v>
      </c>
      <c r="AM56" s="26">
        <f>AK56*AL56</f>
      </c>
      <c r="AN56" s="176">
        <v>20</v>
      </c>
      <c r="AO56" s="27">
        <v>245000</v>
      </c>
      <c r="AP56" s="177">
        <f>AN56*AO56</f>
      </c>
    </row>
    <row x14ac:dyDescent="0.25" r="57" customHeight="1" ht="27">
      <c r="A57" s="155">
        <v>54</v>
      </c>
      <c r="B57" s="22" t="s">
        <v>137</v>
      </c>
      <c r="C57" s="23" t="s">
        <v>138</v>
      </c>
      <c r="D57" s="24">
        <v>12</v>
      </c>
      <c r="E57" s="57">
        <v>200000</v>
      </c>
      <c r="F57" s="26">
        <f>D57*E57*88%</f>
      </c>
      <c r="G57" s="90">
        <v>0.12</v>
      </c>
      <c r="H57" s="174">
        <v>10</v>
      </c>
      <c r="I57" s="135">
        <v>271500</v>
      </c>
      <c r="J57" s="175">
        <v>2715000</v>
      </c>
      <c r="K57" s="24"/>
      <c r="L57" s="57"/>
      <c r="M57" s="26"/>
      <c r="N57" s="90"/>
      <c r="O57" s="174">
        <v>1</v>
      </c>
      <c r="P57" s="135">
        <v>200000</v>
      </c>
      <c r="Q57" s="175">
        <v>200000</v>
      </c>
      <c r="R57" s="21"/>
      <c r="S57" s="57"/>
      <c r="T57" s="21"/>
      <c r="U57" s="90"/>
      <c r="V57" s="174">
        <v>60</v>
      </c>
      <c r="W57" s="135">
        <v>271500</v>
      </c>
      <c r="X57" s="175">
        <v>16290000</v>
      </c>
      <c r="Y57" s="21">
        <v>2</v>
      </c>
      <c r="Z57" s="57">
        <v>200000</v>
      </c>
      <c r="AA57" s="21">
        <f>Y57*Z57</f>
      </c>
      <c r="AB57" s="174">
        <v>10</v>
      </c>
      <c r="AC57" s="135">
        <v>271500</v>
      </c>
      <c r="AD57" s="175">
        <v>2715000</v>
      </c>
      <c r="AE57" s="21"/>
      <c r="AF57" s="57"/>
      <c r="AG57" s="21"/>
      <c r="AH57" s="174">
        <v>50</v>
      </c>
      <c r="AI57" s="135">
        <v>271500</v>
      </c>
      <c r="AJ57" s="175">
        <v>13575000</v>
      </c>
      <c r="AK57" s="24"/>
      <c r="AL57" s="57"/>
      <c r="AM57" s="26"/>
      <c r="AN57" s="176">
        <v>60</v>
      </c>
      <c r="AO57" s="27">
        <v>271500</v>
      </c>
      <c r="AP57" s="177">
        <f>AN57*AO57</f>
      </c>
    </row>
    <row x14ac:dyDescent="0.25" r="58" customHeight="1" ht="27">
      <c r="A58" s="24">
        <v>55</v>
      </c>
      <c r="B58" s="22" t="s">
        <v>139</v>
      </c>
      <c r="C58" s="23" t="s">
        <v>140</v>
      </c>
      <c r="D58" s="24">
        <v>175</v>
      </c>
      <c r="E58" s="57">
        <v>38500</v>
      </c>
      <c r="F58" s="26">
        <f>D58*E58*98%</f>
      </c>
      <c r="G58" s="90">
        <v>0.02</v>
      </c>
      <c r="H58" s="174">
        <v>866</v>
      </c>
      <c r="I58" s="135">
        <v>55500</v>
      </c>
      <c r="J58" s="175">
        <v>48063000</v>
      </c>
      <c r="K58" s="24">
        <v>525</v>
      </c>
      <c r="L58" s="57">
        <v>38500</v>
      </c>
      <c r="M58" s="26">
        <f>K58*L58*98%</f>
      </c>
      <c r="N58" s="90">
        <v>0.02</v>
      </c>
      <c r="O58" s="174">
        <v>905</v>
      </c>
      <c r="P58" s="135">
        <v>55500</v>
      </c>
      <c r="Q58" s="175">
        <v>50227500</v>
      </c>
      <c r="R58" s="21">
        <v>507</v>
      </c>
      <c r="S58" s="57">
        <v>38500</v>
      </c>
      <c r="T58" s="21">
        <f>R58*S58*98%</f>
      </c>
      <c r="U58" s="90">
        <v>0.02</v>
      </c>
      <c r="V58" s="174">
        <v>804</v>
      </c>
      <c r="W58" s="135">
        <v>55500</v>
      </c>
      <c r="X58" s="175">
        <v>44622000</v>
      </c>
      <c r="Y58" s="21">
        <v>185</v>
      </c>
      <c r="Z58" s="57">
        <v>38500</v>
      </c>
      <c r="AA58" s="21">
        <f>Y58*Z58</f>
      </c>
      <c r="AB58" s="174">
        <v>774</v>
      </c>
      <c r="AC58" s="135">
        <v>55500</v>
      </c>
      <c r="AD58" s="175">
        <v>42957000</v>
      </c>
      <c r="AE58" s="21">
        <v>915</v>
      </c>
      <c r="AF58" s="57">
        <v>42400</v>
      </c>
      <c r="AG58" s="21">
        <f>AE58*AF58</f>
      </c>
      <c r="AH58" s="174">
        <v>785</v>
      </c>
      <c r="AI58" s="135">
        <v>55500</v>
      </c>
      <c r="AJ58" s="175">
        <v>43567500</v>
      </c>
      <c r="AK58" s="24">
        <v>1200</v>
      </c>
      <c r="AL58" s="57">
        <v>42400</v>
      </c>
      <c r="AM58" s="26">
        <f>AK58*AL58</f>
      </c>
      <c r="AN58" s="176">
        <v>537</v>
      </c>
      <c r="AO58" s="27">
        <v>55500</v>
      </c>
      <c r="AP58" s="177">
        <f>AN58*AO58</f>
      </c>
    </row>
    <row x14ac:dyDescent="0.25" r="59" customHeight="1" ht="27">
      <c r="A59" s="155">
        <v>56</v>
      </c>
      <c r="B59" s="31" t="s">
        <v>141</v>
      </c>
      <c r="C59" s="32" t="s">
        <v>142</v>
      </c>
      <c r="D59" s="13"/>
      <c r="E59" s="55"/>
      <c r="F59" s="13"/>
      <c r="G59" s="183"/>
      <c r="H59" s="174">
        <v>20</v>
      </c>
      <c r="I59" s="135">
        <v>139500</v>
      </c>
      <c r="J59" s="175">
        <v>2790000</v>
      </c>
      <c r="K59" s="36"/>
      <c r="L59" s="93"/>
      <c r="M59" s="48"/>
      <c r="N59" s="94"/>
      <c r="O59" s="174">
        <f>2+30</f>
      </c>
      <c r="P59" s="135" t="s">
        <v>143</v>
      </c>
      <c r="Q59" s="175">
        <f>210000+4185000</f>
      </c>
      <c r="R59" s="48"/>
      <c r="S59" s="93"/>
      <c r="T59" s="48"/>
      <c r="U59" s="94"/>
      <c r="V59" s="174">
        <v>60</v>
      </c>
      <c r="W59" s="135">
        <v>139500</v>
      </c>
      <c r="X59" s="175">
        <v>8370000</v>
      </c>
      <c r="Y59" s="21">
        <v>32</v>
      </c>
      <c r="Z59" s="57">
        <v>105000</v>
      </c>
      <c r="AA59" s="21">
        <f>Y59*Z59</f>
      </c>
      <c r="AB59" s="174">
        <v>40</v>
      </c>
      <c r="AC59" s="135">
        <v>139500</v>
      </c>
      <c r="AD59" s="175">
        <v>5580000</v>
      </c>
      <c r="AE59" s="21">
        <v>40</v>
      </c>
      <c r="AF59" s="57">
        <v>105000</v>
      </c>
      <c r="AG59" s="21">
        <f>AE59*AF59</f>
      </c>
      <c r="AH59" s="174">
        <v>65</v>
      </c>
      <c r="AI59" s="135">
        <v>139500</v>
      </c>
      <c r="AJ59" s="175">
        <v>9067500</v>
      </c>
      <c r="AK59" s="24">
        <v>51</v>
      </c>
      <c r="AL59" s="57">
        <v>105000</v>
      </c>
      <c r="AM59" s="26">
        <f>AK59*AL59</f>
      </c>
      <c r="AN59" s="178">
        <v>75</v>
      </c>
      <c r="AO59" s="29">
        <v>139500</v>
      </c>
      <c r="AP59" s="177">
        <f>AN59*AO59</f>
      </c>
    </row>
    <row x14ac:dyDescent="0.25" r="60" customHeight="1" ht="27">
      <c r="A60" s="24">
        <v>57</v>
      </c>
      <c r="B60" s="22" t="s">
        <v>144</v>
      </c>
      <c r="C60" s="23" t="s">
        <v>145</v>
      </c>
      <c r="D60" s="21"/>
      <c r="E60" s="58"/>
      <c r="F60" s="48"/>
      <c r="G60" s="94"/>
      <c r="H60" s="169"/>
      <c r="I60" s="130"/>
      <c r="J60" s="184"/>
      <c r="K60" s="36"/>
      <c r="L60" s="105"/>
      <c r="M60" s="36"/>
      <c r="N60" s="94"/>
      <c r="O60" s="180"/>
      <c r="P60" s="141"/>
      <c r="Q60" s="181"/>
      <c r="R60" s="48"/>
      <c r="S60" s="93"/>
      <c r="T60" s="48"/>
      <c r="U60" s="94"/>
      <c r="V60" s="174">
        <v>150</v>
      </c>
      <c r="W60" s="135">
        <v>165000</v>
      </c>
      <c r="X60" s="175">
        <v>24750000</v>
      </c>
      <c r="Y60" s="48"/>
      <c r="Z60" s="93"/>
      <c r="AA60" s="48"/>
      <c r="AB60" s="174">
        <v>70</v>
      </c>
      <c r="AC60" s="135">
        <v>165000</v>
      </c>
      <c r="AD60" s="175">
        <v>11550000</v>
      </c>
      <c r="AE60" s="48"/>
      <c r="AF60" s="93"/>
      <c r="AG60" s="48"/>
      <c r="AH60" s="174">
        <v>80</v>
      </c>
      <c r="AI60" s="135">
        <v>165000</v>
      </c>
      <c r="AJ60" s="175">
        <v>13200000</v>
      </c>
      <c r="AK60" s="48"/>
      <c r="AL60" s="93"/>
      <c r="AM60" s="48"/>
      <c r="AN60" s="176"/>
      <c r="AO60" s="27"/>
      <c r="AP60" s="177">
        <f>AN60*AO60</f>
      </c>
    </row>
    <row x14ac:dyDescent="0.25" r="61" customHeight="1" ht="27">
      <c r="A61" s="152" t="s">
        <v>194</v>
      </c>
      <c r="B61" s="156"/>
      <c r="C61" s="157"/>
      <c r="D61" s="21">
        <f>SUM(D6:D60)</f>
      </c>
      <c r="E61" s="58"/>
      <c r="F61" s="36">
        <f>SUM(F6:F60)</f>
      </c>
      <c r="G61" s="94"/>
      <c r="H61" s="174">
        <f>SUM(H6:H60)</f>
      </c>
      <c r="I61" s="185"/>
      <c r="J61" s="175">
        <f>SUM(J6:J60)</f>
      </c>
      <c r="K61" s="21">
        <f>SUM(K6:K60)</f>
      </c>
      <c r="L61" s="105"/>
      <c r="M61" s="36">
        <f>SUM(M6:M60)</f>
      </c>
      <c r="N61" s="106"/>
      <c r="O61" s="180">
        <f>SUM(O6:O60)</f>
      </c>
      <c r="P61" s="148"/>
      <c r="Q61" s="186">
        <f>SUM(Q6:Q60)</f>
      </c>
      <c r="R61" s="21">
        <f>SUM(R6:R60)</f>
      </c>
      <c r="S61" s="105"/>
      <c r="T61" s="36">
        <f>SUM(T6:T60)</f>
      </c>
      <c r="U61" s="106"/>
      <c r="V61" s="180">
        <f>SUM(V6:V60)</f>
      </c>
      <c r="W61" s="148"/>
      <c r="X61" s="186">
        <f>SUM(X6:X60)</f>
      </c>
      <c r="Y61" s="21">
        <f>SUM(Y6:Y60)</f>
      </c>
      <c r="Z61" s="105"/>
      <c r="AA61" s="36">
        <f>SUM(AA6:AA60)</f>
      </c>
      <c r="AB61" s="180">
        <f>SUM(AB6:AB60)</f>
      </c>
      <c r="AC61" s="148"/>
      <c r="AD61" s="186">
        <f>SUM(AD6:AD60)</f>
      </c>
      <c r="AE61" s="21">
        <f>SUM(AE6:AE60)</f>
      </c>
      <c r="AF61" s="105"/>
      <c r="AG61" s="36">
        <f>SUM(AG6:AG60)</f>
      </c>
      <c r="AH61" s="180">
        <f>SUM(AH6:AH60)</f>
      </c>
      <c r="AI61" s="148"/>
      <c r="AJ61" s="186">
        <f>SUM(AJ6:AJ60)</f>
      </c>
      <c r="AK61" s="21">
        <f>SUM(AK6:AK60)</f>
      </c>
      <c r="AL61" s="105"/>
      <c r="AM61" s="36">
        <f>SUM(AM6:AM60)</f>
      </c>
      <c r="AN61" s="178">
        <f>SUM(AN6:AN60)</f>
      </c>
      <c r="AO61" s="29"/>
      <c r="AP61" s="187">
        <f>SUM(AP6:AP60)</f>
      </c>
    </row>
    <row x14ac:dyDescent="0.25" r="62" customHeight="1" ht="31.5">
      <c r="A62" s="40"/>
      <c r="B62" s="40"/>
      <c r="C62" s="72"/>
      <c r="D62" s="40"/>
      <c r="E62" s="41"/>
      <c r="F62" s="42"/>
      <c r="G62" s="77"/>
      <c r="H62" s="188"/>
      <c r="I62" s="80"/>
      <c r="J62" s="189"/>
      <c r="K62" s="38"/>
      <c r="L62" s="80"/>
      <c r="M62" s="38"/>
      <c r="N62" s="79"/>
      <c r="O62" s="190"/>
      <c r="P62" s="191"/>
      <c r="Q62" s="192"/>
      <c r="R62" s="38"/>
      <c r="S62" s="80"/>
      <c r="T62" s="38"/>
      <c r="U62" s="79"/>
      <c r="V62" s="188"/>
      <c r="W62" s="80"/>
      <c r="X62" s="189"/>
      <c r="Y62" s="38"/>
      <c r="Z62" s="80"/>
      <c r="AA62" s="38"/>
      <c r="AB62" s="188"/>
      <c r="AC62" s="80"/>
      <c r="AD62" s="189"/>
      <c r="AE62" s="38"/>
      <c r="AF62" s="80"/>
      <c r="AG62" s="38"/>
      <c r="AH62" s="188"/>
      <c r="AI62" s="80"/>
      <c r="AJ62" s="189"/>
      <c r="AK62" s="38"/>
      <c r="AL62" s="80"/>
      <c r="AM62" s="38"/>
      <c r="AN62" s="188"/>
      <c r="AO62" s="41"/>
      <c r="AP62" s="189"/>
    </row>
    <row x14ac:dyDescent="0.25" r="63" customHeight="1" ht="31.5">
      <c r="A63" s="38"/>
      <c r="B63" s="39"/>
      <c r="C63" s="5"/>
      <c r="D63" s="38"/>
      <c r="E63" s="38"/>
      <c r="F63" s="38"/>
      <c r="G63" s="79"/>
      <c r="H63" s="188"/>
      <c r="I63" s="80"/>
      <c r="J63" s="189"/>
      <c r="K63" s="38"/>
      <c r="L63" s="38"/>
      <c r="M63" s="38"/>
      <c r="N63" s="79"/>
      <c r="O63" s="190"/>
      <c r="P63" s="191"/>
      <c r="Q63" s="192"/>
      <c r="R63" s="38"/>
      <c r="S63" s="38"/>
      <c r="T63" s="38"/>
      <c r="U63" s="79"/>
      <c r="V63" s="188"/>
      <c r="W63" s="80"/>
      <c r="X63" s="189"/>
      <c r="Y63" s="38"/>
      <c r="Z63" s="38"/>
      <c r="AA63" s="38"/>
      <c r="AB63" s="188"/>
      <c r="AC63" s="80"/>
      <c r="AD63" s="189"/>
      <c r="AE63" s="38"/>
      <c r="AF63" s="38"/>
      <c r="AG63" s="38"/>
      <c r="AH63" s="188"/>
      <c r="AI63" s="80"/>
      <c r="AJ63" s="189"/>
      <c r="AK63" s="38"/>
      <c r="AL63" s="38"/>
      <c r="AM63" s="38"/>
      <c r="AN63" s="188"/>
      <c r="AO63" s="41"/>
      <c r="AP63" s="189"/>
    </row>
    <row x14ac:dyDescent="0.25" r="64" customHeight="1" ht="31.5">
      <c r="A64" s="38"/>
      <c r="B64" s="39"/>
      <c r="C64" s="5"/>
      <c r="D64" s="38"/>
      <c r="E64" s="38"/>
      <c r="F64" s="38"/>
      <c r="G64" s="79"/>
      <c r="H64" s="188"/>
      <c r="I64" s="80"/>
      <c r="J64" s="189"/>
      <c r="K64" s="38"/>
      <c r="L64" s="38"/>
      <c r="M64" s="38"/>
      <c r="N64" s="79"/>
      <c r="O64" s="190"/>
      <c r="P64" s="191"/>
      <c r="Q64" s="192"/>
      <c r="R64" s="38"/>
      <c r="S64" s="38"/>
      <c r="T64" s="38"/>
      <c r="U64" s="79"/>
      <c r="V64" s="188"/>
      <c r="W64" s="80"/>
      <c r="X64" s="189"/>
      <c r="Y64" s="38"/>
      <c r="Z64" s="38"/>
      <c r="AA64" s="38"/>
      <c r="AB64" s="188"/>
      <c r="AC64" s="80"/>
      <c r="AD64" s="189"/>
      <c r="AE64" s="38"/>
      <c r="AF64" s="38"/>
      <c r="AG64" s="38"/>
      <c r="AH64" s="188"/>
      <c r="AI64" s="80"/>
      <c r="AJ64" s="189"/>
      <c r="AK64" s="38"/>
      <c r="AL64" s="38"/>
      <c r="AM64" s="38"/>
      <c r="AN64" s="188"/>
      <c r="AO64" s="41"/>
      <c r="AP64" s="189"/>
    </row>
    <row x14ac:dyDescent="0.25" r="65" customHeight="1" ht="31.5">
      <c r="A65" s="42"/>
      <c r="B65" s="44"/>
      <c r="C65" s="72"/>
      <c r="D65" s="42"/>
      <c r="E65" s="42"/>
      <c r="F65" s="38"/>
      <c r="G65" s="79"/>
      <c r="H65" s="188"/>
      <c r="I65" s="80"/>
      <c r="J65" s="189"/>
      <c r="K65" s="38"/>
      <c r="L65" s="38"/>
      <c r="M65" s="38"/>
      <c r="N65" s="79"/>
      <c r="O65" s="190"/>
      <c r="P65" s="191"/>
      <c r="Q65" s="192"/>
      <c r="R65" s="38"/>
      <c r="S65" s="38"/>
      <c r="T65" s="38"/>
      <c r="U65" s="79"/>
      <c r="V65" s="188"/>
      <c r="W65" s="80"/>
      <c r="X65" s="189"/>
      <c r="Y65" s="38"/>
      <c r="Z65" s="38"/>
      <c r="AA65" s="38"/>
      <c r="AB65" s="188"/>
      <c r="AC65" s="80"/>
      <c r="AD65" s="189"/>
      <c r="AE65" s="38"/>
      <c r="AF65" s="38"/>
      <c r="AG65" s="38"/>
      <c r="AH65" s="188"/>
      <c r="AI65" s="80"/>
      <c r="AJ65" s="189"/>
      <c r="AK65" s="38"/>
      <c r="AL65" s="38"/>
      <c r="AM65" s="38"/>
      <c r="AN65" s="188"/>
      <c r="AO65" s="41"/>
      <c r="AP65" s="189"/>
    </row>
    <row x14ac:dyDescent="0.25" r="66" customHeight="1" ht="31.5">
      <c r="A66" s="42"/>
      <c r="B66" s="44"/>
      <c r="C66" s="72"/>
      <c r="D66" s="42"/>
      <c r="E66" s="42"/>
      <c r="F66" s="38"/>
      <c r="G66" s="79"/>
      <c r="H66" s="188"/>
      <c r="I66" s="80"/>
      <c r="J66" s="189"/>
      <c r="K66" s="38"/>
      <c r="L66" s="38"/>
      <c r="M66" s="38"/>
      <c r="N66" s="79"/>
      <c r="O66" s="190"/>
      <c r="P66" s="191"/>
      <c r="Q66" s="192"/>
      <c r="R66" s="38"/>
      <c r="S66" s="38"/>
      <c r="T66" s="38"/>
      <c r="U66" s="79"/>
      <c r="V66" s="188"/>
      <c r="W66" s="80"/>
      <c r="X66" s="189"/>
      <c r="Y66" s="38"/>
      <c r="Z66" s="38"/>
      <c r="AA66" s="38"/>
      <c r="AB66" s="188"/>
      <c r="AC66" s="80"/>
      <c r="AD66" s="189"/>
      <c r="AE66" s="38"/>
      <c r="AF66" s="38"/>
      <c r="AG66" s="38"/>
      <c r="AH66" s="188"/>
      <c r="AI66" s="80"/>
      <c r="AJ66" s="189"/>
      <c r="AK66" s="38"/>
      <c r="AL66" s="38"/>
      <c r="AM66" s="38"/>
      <c r="AN66" s="188"/>
      <c r="AO66" s="41"/>
      <c r="AP66" s="189"/>
    </row>
    <row x14ac:dyDescent="0.25" r="67" customHeight="1" ht="31.5">
      <c r="A67" s="42"/>
      <c r="B67" s="44"/>
      <c r="C67" s="72"/>
      <c r="D67" s="42"/>
      <c r="E67" s="42"/>
      <c r="F67" s="38"/>
      <c r="G67" s="79"/>
      <c r="H67" s="188"/>
      <c r="I67" s="80"/>
      <c r="J67" s="189"/>
      <c r="K67" s="38"/>
      <c r="L67" s="38"/>
      <c r="M67" s="38"/>
      <c r="N67" s="79"/>
      <c r="O67" s="190"/>
      <c r="P67" s="191"/>
      <c r="Q67" s="192"/>
      <c r="R67" s="38"/>
      <c r="S67" s="38"/>
      <c r="T67" s="38"/>
      <c r="U67" s="79"/>
      <c r="V67" s="188"/>
      <c r="W67" s="80"/>
      <c r="X67" s="189"/>
      <c r="Y67" s="38"/>
      <c r="Z67" s="38"/>
      <c r="AA67" s="38"/>
      <c r="AB67" s="188"/>
      <c r="AC67" s="80"/>
      <c r="AD67" s="189"/>
      <c r="AE67" s="38"/>
      <c r="AF67" s="38"/>
      <c r="AG67" s="38"/>
      <c r="AH67" s="188"/>
      <c r="AI67" s="80"/>
      <c r="AJ67" s="189"/>
      <c r="AK67" s="38"/>
      <c r="AL67" s="38"/>
      <c r="AM67" s="38"/>
      <c r="AN67" s="188"/>
      <c r="AO67" s="41"/>
      <c r="AP67" s="189"/>
    </row>
    <row x14ac:dyDescent="0.25" r="68" customHeight="1" ht="31.5">
      <c r="A68" s="42"/>
      <c r="B68" s="44"/>
      <c r="C68" s="72"/>
      <c r="D68" s="42"/>
      <c r="E68" s="42"/>
      <c r="F68" s="38"/>
      <c r="G68" s="79"/>
      <c r="H68" s="188"/>
      <c r="I68" s="80"/>
      <c r="J68" s="189"/>
      <c r="K68" s="38"/>
      <c r="L68" s="38"/>
      <c r="M68" s="38"/>
      <c r="N68" s="79"/>
      <c r="O68" s="190"/>
      <c r="P68" s="191"/>
      <c r="Q68" s="192"/>
      <c r="R68" s="38"/>
      <c r="S68" s="38"/>
      <c r="T68" s="38"/>
      <c r="U68" s="79"/>
      <c r="V68" s="188"/>
      <c r="W68" s="80"/>
      <c r="X68" s="189"/>
      <c r="Y68" s="38"/>
      <c r="Z68" s="38"/>
      <c r="AA68" s="38"/>
      <c r="AB68" s="188"/>
      <c r="AC68" s="80"/>
      <c r="AD68" s="189"/>
      <c r="AE68" s="38"/>
      <c r="AF68" s="38"/>
      <c r="AG68" s="38"/>
      <c r="AH68" s="188"/>
      <c r="AI68" s="80"/>
      <c r="AJ68" s="189"/>
      <c r="AK68" s="38"/>
      <c r="AL68" s="38"/>
      <c r="AM68" s="38"/>
      <c r="AN68" s="188"/>
      <c r="AO68" s="41"/>
      <c r="AP68" s="189"/>
    </row>
    <row x14ac:dyDescent="0.25" r="69" customHeight="1" ht="31.5">
      <c r="A69" s="42"/>
      <c r="B69" s="44"/>
      <c r="C69" s="72"/>
      <c r="D69" s="42"/>
      <c r="E69" s="42"/>
      <c r="F69" s="38"/>
      <c r="G69" s="79"/>
      <c r="H69" s="188"/>
      <c r="I69" s="80"/>
      <c r="J69" s="189"/>
      <c r="K69" s="38"/>
      <c r="L69" s="38"/>
      <c r="M69" s="38"/>
      <c r="N69" s="79"/>
      <c r="O69" s="190"/>
      <c r="P69" s="191"/>
      <c r="Q69" s="192"/>
      <c r="R69" s="38"/>
      <c r="S69" s="38"/>
      <c r="T69" s="38"/>
      <c r="U69" s="79"/>
      <c r="V69" s="188"/>
      <c r="W69" s="80"/>
      <c r="X69" s="189"/>
      <c r="Y69" s="38"/>
      <c r="Z69" s="38"/>
      <c r="AA69" s="38"/>
      <c r="AB69" s="188"/>
      <c r="AC69" s="80"/>
      <c r="AD69" s="189"/>
      <c r="AE69" s="38"/>
      <c r="AF69" s="38"/>
      <c r="AG69" s="38"/>
      <c r="AH69" s="188"/>
      <c r="AI69" s="80"/>
      <c r="AJ69" s="189"/>
      <c r="AK69" s="38"/>
      <c r="AL69" s="38"/>
      <c r="AM69" s="38"/>
      <c r="AN69" s="188"/>
      <c r="AO69" s="41"/>
      <c r="AP69" s="189"/>
    </row>
    <row x14ac:dyDescent="0.25" r="70" customHeight="1" ht="31.5">
      <c r="A70" s="42"/>
      <c r="B70" s="44"/>
      <c r="C70" s="72"/>
      <c r="D70" s="42"/>
      <c r="E70" s="42"/>
      <c r="F70" s="38"/>
      <c r="G70" s="79"/>
      <c r="H70" s="188"/>
      <c r="I70" s="80"/>
      <c r="J70" s="189"/>
      <c r="K70" s="38"/>
      <c r="L70" s="38"/>
      <c r="M70" s="38"/>
      <c r="N70" s="79"/>
      <c r="O70" s="190"/>
      <c r="P70" s="191"/>
      <c r="Q70" s="192"/>
      <c r="R70" s="38"/>
      <c r="S70" s="38"/>
      <c r="T70" s="38"/>
      <c r="U70" s="79"/>
      <c r="V70" s="188"/>
      <c r="W70" s="80"/>
      <c r="X70" s="189"/>
      <c r="Y70" s="38"/>
      <c r="Z70" s="38"/>
      <c r="AA70" s="38"/>
      <c r="AB70" s="188"/>
      <c r="AC70" s="80"/>
      <c r="AD70" s="189"/>
      <c r="AE70" s="38"/>
      <c r="AF70" s="38"/>
      <c r="AG70" s="38"/>
      <c r="AH70" s="188"/>
      <c r="AI70" s="80"/>
      <c r="AJ70" s="189"/>
      <c r="AK70" s="38"/>
      <c r="AL70" s="38"/>
      <c r="AM70" s="38"/>
      <c r="AN70" s="188"/>
      <c r="AO70" s="41"/>
      <c r="AP70" s="189"/>
    </row>
    <row x14ac:dyDescent="0.25" r="71" customHeight="1" ht="31.5">
      <c r="A71" s="42"/>
      <c r="B71" s="44"/>
      <c r="C71" s="72"/>
      <c r="D71" s="42"/>
      <c r="E71" s="42"/>
      <c r="F71" s="38"/>
      <c r="G71" s="79"/>
      <c r="H71" s="188"/>
      <c r="I71" s="80"/>
      <c r="J71" s="189"/>
      <c r="K71" s="38"/>
      <c r="L71" s="38"/>
      <c r="M71" s="38"/>
      <c r="N71" s="79"/>
      <c r="O71" s="190"/>
      <c r="P71" s="191"/>
      <c r="Q71" s="192"/>
      <c r="R71" s="38"/>
      <c r="S71" s="38"/>
      <c r="T71" s="38"/>
      <c r="U71" s="79"/>
      <c r="V71" s="188"/>
      <c r="W71" s="80"/>
      <c r="X71" s="189"/>
      <c r="Y71" s="38"/>
      <c r="Z71" s="38"/>
      <c r="AA71" s="38"/>
      <c r="AB71" s="188"/>
      <c r="AC71" s="80"/>
      <c r="AD71" s="189"/>
      <c r="AE71" s="38"/>
      <c r="AF71" s="38"/>
      <c r="AG71" s="38"/>
      <c r="AH71" s="188"/>
      <c r="AI71" s="80"/>
      <c r="AJ71" s="189"/>
      <c r="AK71" s="38"/>
      <c r="AL71" s="38"/>
      <c r="AM71" s="38"/>
      <c r="AN71" s="188"/>
      <c r="AO71" s="41"/>
      <c r="AP71" s="189"/>
    </row>
    <row x14ac:dyDescent="0.25" r="72" customHeight="1" ht="31.5">
      <c r="A72" s="42"/>
      <c r="B72" s="44"/>
      <c r="C72" s="72"/>
      <c r="D72" s="42"/>
      <c r="E72" s="42"/>
      <c r="F72" s="38"/>
      <c r="G72" s="79"/>
      <c r="H72" s="188"/>
      <c r="I72" s="80"/>
      <c r="J72" s="189"/>
      <c r="K72" s="38"/>
      <c r="L72" s="38"/>
      <c r="M72" s="38"/>
      <c r="N72" s="79"/>
      <c r="O72" s="190"/>
      <c r="P72" s="191"/>
      <c r="Q72" s="192"/>
      <c r="R72" s="38"/>
      <c r="S72" s="38"/>
      <c r="T72" s="38"/>
      <c r="U72" s="79"/>
      <c r="V72" s="188"/>
      <c r="W72" s="80"/>
      <c r="X72" s="189"/>
      <c r="Y72" s="38"/>
      <c r="Z72" s="38"/>
      <c r="AA72" s="38"/>
      <c r="AB72" s="188"/>
      <c r="AC72" s="80"/>
      <c r="AD72" s="189"/>
      <c r="AE72" s="38"/>
      <c r="AF72" s="38"/>
      <c r="AG72" s="38"/>
      <c r="AH72" s="188"/>
      <c r="AI72" s="80"/>
      <c r="AJ72" s="189"/>
      <c r="AK72" s="38"/>
      <c r="AL72" s="38"/>
      <c r="AM72" s="38"/>
      <c r="AN72" s="188"/>
      <c r="AO72" s="41"/>
      <c r="AP72" s="189"/>
    </row>
    <row x14ac:dyDescent="0.25" r="73" customHeight="1" ht="31.5">
      <c r="A73" s="42"/>
      <c r="B73" s="44"/>
      <c r="C73" s="72"/>
      <c r="D73" s="42"/>
      <c r="E73" s="42"/>
      <c r="F73" s="38"/>
      <c r="G73" s="79"/>
      <c r="H73" s="188"/>
      <c r="I73" s="80"/>
      <c r="J73" s="189"/>
      <c r="K73" s="38"/>
      <c r="L73" s="38"/>
      <c r="M73" s="38"/>
      <c r="N73" s="79"/>
      <c r="O73" s="190"/>
      <c r="P73" s="191"/>
      <c r="Q73" s="192"/>
      <c r="R73" s="38"/>
      <c r="S73" s="38"/>
      <c r="T73" s="38"/>
      <c r="U73" s="79"/>
      <c r="V73" s="188"/>
      <c r="W73" s="80"/>
      <c r="X73" s="189"/>
      <c r="Y73" s="38"/>
      <c r="Z73" s="38"/>
      <c r="AA73" s="38"/>
      <c r="AB73" s="188"/>
      <c r="AC73" s="80"/>
      <c r="AD73" s="189"/>
      <c r="AE73" s="38"/>
      <c r="AF73" s="38"/>
      <c r="AG73" s="38"/>
      <c r="AH73" s="188"/>
      <c r="AI73" s="80"/>
      <c r="AJ73" s="189"/>
      <c r="AK73" s="38"/>
      <c r="AL73" s="38"/>
      <c r="AM73" s="38"/>
      <c r="AN73" s="188"/>
      <c r="AO73" s="41"/>
      <c r="AP73" s="189"/>
    </row>
    <row x14ac:dyDescent="0.25" r="74" customHeight="1" ht="31.5">
      <c r="A74" s="42"/>
      <c r="B74" s="44"/>
      <c r="C74" s="72"/>
      <c r="D74" s="42"/>
      <c r="E74" s="42"/>
      <c r="F74" s="38"/>
      <c r="G74" s="79"/>
      <c r="H74" s="188"/>
      <c r="I74" s="80"/>
      <c r="J74" s="189"/>
      <c r="K74" s="38"/>
      <c r="L74" s="38"/>
      <c r="M74" s="38"/>
      <c r="N74" s="79"/>
      <c r="O74" s="190"/>
      <c r="P74" s="191"/>
      <c r="Q74" s="192"/>
      <c r="R74" s="38"/>
      <c r="S74" s="38"/>
      <c r="T74" s="38"/>
      <c r="U74" s="79"/>
      <c r="V74" s="188"/>
      <c r="W74" s="80"/>
      <c r="X74" s="189"/>
      <c r="Y74" s="38"/>
      <c r="Z74" s="38"/>
      <c r="AA74" s="38"/>
      <c r="AB74" s="188"/>
      <c r="AC74" s="80"/>
      <c r="AD74" s="189"/>
      <c r="AE74" s="38"/>
      <c r="AF74" s="38"/>
      <c r="AG74" s="38"/>
      <c r="AH74" s="188"/>
      <c r="AI74" s="80"/>
      <c r="AJ74" s="189"/>
      <c r="AK74" s="38"/>
      <c r="AL74" s="38"/>
      <c r="AM74" s="38"/>
      <c r="AN74" s="188"/>
      <c r="AO74" s="41"/>
      <c r="AP74" s="189"/>
    </row>
    <row x14ac:dyDescent="0.25" r="75" customHeight="1" ht="31.5">
      <c r="A75" s="42"/>
      <c r="B75" s="44"/>
      <c r="C75" s="72"/>
      <c r="D75" s="42"/>
      <c r="E75" s="42"/>
      <c r="F75" s="38"/>
      <c r="G75" s="79"/>
      <c r="H75" s="188"/>
      <c r="I75" s="80"/>
      <c r="J75" s="189"/>
      <c r="K75" s="38"/>
      <c r="L75" s="38"/>
      <c r="M75" s="38"/>
      <c r="N75" s="79"/>
      <c r="O75" s="190"/>
      <c r="P75" s="191"/>
      <c r="Q75" s="192"/>
      <c r="R75" s="38"/>
      <c r="S75" s="38"/>
      <c r="T75" s="38"/>
      <c r="U75" s="79"/>
      <c r="V75" s="188"/>
      <c r="W75" s="80"/>
      <c r="X75" s="189"/>
      <c r="Y75" s="38"/>
      <c r="Z75" s="38"/>
      <c r="AA75" s="38"/>
      <c r="AB75" s="188"/>
      <c r="AC75" s="80"/>
      <c r="AD75" s="189"/>
      <c r="AE75" s="38"/>
      <c r="AF75" s="38"/>
      <c r="AG75" s="38"/>
      <c r="AH75" s="188"/>
      <c r="AI75" s="80"/>
      <c r="AJ75" s="189"/>
      <c r="AK75" s="38"/>
      <c r="AL75" s="38"/>
      <c r="AM75" s="38"/>
      <c r="AN75" s="188"/>
      <c r="AO75" s="41"/>
      <c r="AP75" s="189"/>
    </row>
    <row x14ac:dyDescent="0.25" r="76" customHeight="1" ht="31.5">
      <c r="A76" s="42"/>
      <c r="B76" s="44"/>
      <c r="C76" s="72"/>
      <c r="D76" s="42"/>
      <c r="E76" s="42"/>
      <c r="F76" s="38"/>
      <c r="G76" s="79"/>
      <c r="H76" s="188"/>
      <c r="I76" s="80"/>
      <c r="J76" s="189"/>
      <c r="K76" s="38"/>
      <c r="L76" s="38"/>
      <c r="M76" s="38"/>
      <c r="N76" s="79"/>
      <c r="O76" s="190"/>
      <c r="P76" s="191"/>
      <c r="Q76" s="192"/>
      <c r="R76" s="38"/>
      <c r="S76" s="38"/>
      <c r="T76" s="38"/>
      <c r="U76" s="79"/>
      <c r="V76" s="188"/>
      <c r="W76" s="80"/>
      <c r="X76" s="189"/>
      <c r="Y76" s="38"/>
      <c r="Z76" s="38"/>
      <c r="AA76" s="38"/>
      <c r="AB76" s="188"/>
      <c r="AC76" s="80"/>
      <c r="AD76" s="189"/>
      <c r="AE76" s="38"/>
      <c r="AF76" s="38"/>
      <c r="AG76" s="38"/>
      <c r="AH76" s="188"/>
      <c r="AI76" s="80"/>
      <c r="AJ76" s="189"/>
      <c r="AK76" s="38"/>
      <c r="AL76" s="38"/>
      <c r="AM76" s="38"/>
      <c r="AN76" s="188"/>
      <c r="AO76" s="41"/>
      <c r="AP76" s="189"/>
    </row>
    <row x14ac:dyDescent="0.25" r="77" customHeight="1" ht="31.5">
      <c r="A77" s="42"/>
      <c r="B77" s="44"/>
      <c r="C77" s="72"/>
      <c r="D77" s="42"/>
      <c r="E77" s="42"/>
      <c r="F77" s="38"/>
      <c r="G77" s="79"/>
      <c r="H77" s="188"/>
      <c r="I77" s="80"/>
      <c r="J77" s="189"/>
      <c r="K77" s="38"/>
      <c r="L77" s="38"/>
      <c r="M77" s="38"/>
      <c r="N77" s="79"/>
      <c r="O77" s="190"/>
      <c r="P77" s="191"/>
      <c r="Q77" s="192"/>
      <c r="R77" s="38"/>
      <c r="S77" s="38"/>
      <c r="T77" s="38"/>
      <c r="U77" s="79"/>
      <c r="V77" s="188"/>
      <c r="W77" s="80"/>
      <c r="X77" s="189"/>
      <c r="Y77" s="38"/>
      <c r="Z77" s="38"/>
      <c r="AA77" s="38"/>
      <c r="AB77" s="188"/>
      <c r="AC77" s="80"/>
      <c r="AD77" s="189"/>
      <c r="AE77" s="38"/>
      <c r="AF77" s="38"/>
      <c r="AG77" s="38"/>
      <c r="AH77" s="188"/>
      <c r="AI77" s="80"/>
      <c r="AJ77" s="189"/>
      <c r="AK77" s="38"/>
      <c r="AL77" s="38"/>
      <c r="AM77" s="38"/>
      <c r="AN77" s="188"/>
      <c r="AO77" s="41"/>
      <c r="AP77" s="189"/>
    </row>
    <row x14ac:dyDescent="0.25" r="78" customHeight="1" ht="31.5">
      <c r="A78" s="42"/>
      <c r="B78" s="44"/>
      <c r="C78" s="72"/>
      <c r="D78" s="42"/>
      <c r="E78" s="42"/>
      <c r="F78" s="38"/>
      <c r="G78" s="79"/>
      <c r="H78" s="188"/>
      <c r="I78" s="80"/>
      <c r="J78" s="189"/>
      <c r="K78" s="38"/>
      <c r="L78" s="38"/>
      <c r="M78" s="38"/>
      <c r="N78" s="79"/>
      <c r="O78" s="190"/>
      <c r="P78" s="191"/>
      <c r="Q78" s="192"/>
      <c r="R78" s="38"/>
      <c r="S78" s="38"/>
      <c r="T78" s="38"/>
      <c r="U78" s="79"/>
      <c r="V78" s="188"/>
      <c r="W78" s="80"/>
      <c r="X78" s="189"/>
      <c r="Y78" s="38"/>
      <c r="Z78" s="38"/>
      <c r="AA78" s="38"/>
      <c r="AB78" s="188"/>
      <c r="AC78" s="80"/>
      <c r="AD78" s="189"/>
      <c r="AE78" s="38"/>
      <c r="AF78" s="38"/>
      <c r="AG78" s="38"/>
      <c r="AH78" s="188"/>
      <c r="AI78" s="80"/>
      <c r="AJ78" s="189"/>
      <c r="AK78" s="38"/>
      <c r="AL78" s="38"/>
      <c r="AM78" s="38"/>
      <c r="AN78" s="188"/>
      <c r="AO78" s="41"/>
      <c r="AP78" s="189"/>
    </row>
    <row x14ac:dyDescent="0.25" r="79" customHeight="1" ht="31.5">
      <c r="A79" s="42"/>
      <c r="B79" s="44"/>
      <c r="C79" s="72"/>
      <c r="D79" s="42"/>
      <c r="E79" s="42"/>
      <c r="F79" s="38"/>
      <c r="G79" s="79"/>
      <c r="H79" s="188"/>
      <c r="I79" s="80"/>
      <c r="J79" s="189"/>
      <c r="K79" s="38"/>
      <c r="L79" s="38"/>
      <c r="M79" s="38"/>
      <c r="N79" s="79"/>
      <c r="O79" s="190"/>
      <c r="P79" s="191"/>
      <c r="Q79" s="192"/>
      <c r="R79" s="38"/>
      <c r="S79" s="38"/>
      <c r="T79" s="38"/>
      <c r="U79" s="79"/>
      <c r="V79" s="188"/>
      <c r="W79" s="80"/>
      <c r="X79" s="189"/>
      <c r="Y79" s="38"/>
      <c r="Z79" s="38"/>
      <c r="AA79" s="38"/>
      <c r="AB79" s="188"/>
      <c r="AC79" s="80"/>
      <c r="AD79" s="189"/>
      <c r="AE79" s="38"/>
      <c r="AF79" s="38"/>
      <c r="AG79" s="38"/>
      <c r="AH79" s="188"/>
      <c r="AI79" s="80"/>
      <c r="AJ79" s="189"/>
      <c r="AK79" s="38"/>
      <c r="AL79" s="38"/>
      <c r="AM79" s="38"/>
      <c r="AN79" s="188"/>
      <c r="AO79" s="41"/>
      <c r="AP79" s="189"/>
    </row>
    <row x14ac:dyDescent="0.25" r="80" customHeight="1" ht="31.5">
      <c r="A80" s="42"/>
      <c r="B80" s="44"/>
      <c r="C80" s="72"/>
      <c r="D80" s="42"/>
      <c r="E80" s="42"/>
      <c r="F80" s="38"/>
      <c r="G80" s="79"/>
      <c r="H80" s="188"/>
      <c r="I80" s="80"/>
      <c r="J80" s="189"/>
      <c r="K80" s="38"/>
      <c r="L80" s="38"/>
      <c r="M80" s="38"/>
      <c r="N80" s="79"/>
      <c r="O80" s="190"/>
      <c r="P80" s="191"/>
      <c r="Q80" s="192"/>
      <c r="R80" s="38"/>
      <c r="S80" s="38"/>
      <c r="T80" s="38"/>
      <c r="U80" s="79"/>
      <c r="V80" s="188"/>
      <c r="W80" s="80"/>
      <c r="X80" s="189"/>
      <c r="Y80" s="38"/>
      <c r="Z80" s="38"/>
      <c r="AA80" s="38"/>
      <c r="AB80" s="188"/>
      <c r="AC80" s="80"/>
      <c r="AD80" s="189"/>
      <c r="AE80" s="38"/>
      <c r="AF80" s="38"/>
      <c r="AG80" s="38"/>
      <c r="AH80" s="188"/>
      <c r="AI80" s="80"/>
      <c r="AJ80" s="189"/>
      <c r="AK80" s="38"/>
      <c r="AL80" s="38"/>
      <c r="AM80" s="38"/>
      <c r="AN80" s="188"/>
      <c r="AO80" s="41"/>
      <c r="AP80" s="189"/>
    </row>
    <row x14ac:dyDescent="0.25" r="81" customHeight="1" ht="31.5">
      <c r="A81" s="42"/>
      <c r="B81" s="44"/>
      <c r="C81" s="72"/>
      <c r="D81" s="42"/>
      <c r="E81" s="42"/>
      <c r="F81" s="38"/>
      <c r="G81" s="79"/>
      <c r="H81" s="188"/>
      <c r="I81" s="80"/>
      <c r="J81" s="189"/>
      <c r="K81" s="38"/>
      <c r="L81" s="38"/>
      <c r="M81" s="38"/>
      <c r="N81" s="79"/>
      <c r="O81" s="190"/>
      <c r="P81" s="191"/>
      <c r="Q81" s="192"/>
      <c r="R81" s="38"/>
      <c r="S81" s="38"/>
      <c r="T81" s="38"/>
      <c r="U81" s="79"/>
      <c r="V81" s="188"/>
      <c r="W81" s="80"/>
      <c r="X81" s="189"/>
      <c r="Y81" s="38"/>
      <c r="Z81" s="38"/>
      <c r="AA81" s="38"/>
      <c r="AB81" s="188"/>
      <c r="AC81" s="80"/>
      <c r="AD81" s="189"/>
      <c r="AE81" s="38"/>
      <c r="AF81" s="38"/>
      <c r="AG81" s="38"/>
      <c r="AH81" s="188"/>
      <c r="AI81" s="80"/>
      <c r="AJ81" s="189"/>
      <c r="AK81" s="38"/>
      <c r="AL81" s="38"/>
      <c r="AM81" s="38"/>
      <c r="AN81" s="188"/>
      <c r="AO81" s="41"/>
      <c r="AP81" s="189"/>
    </row>
    <row x14ac:dyDescent="0.25" r="82" customHeight="1" ht="31.5">
      <c r="A82" s="42"/>
      <c r="B82" s="44"/>
      <c r="C82" s="72"/>
      <c r="D82" s="42"/>
      <c r="E82" s="42"/>
      <c r="F82" s="38"/>
      <c r="G82" s="79"/>
      <c r="H82" s="188"/>
      <c r="I82" s="80"/>
      <c r="J82" s="189"/>
      <c r="K82" s="38"/>
      <c r="L82" s="38"/>
      <c r="M82" s="38"/>
      <c r="N82" s="79"/>
      <c r="O82" s="190"/>
      <c r="P82" s="191"/>
      <c r="Q82" s="192"/>
      <c r="R82" s="38"/>
      <c r="S82" s="38"/>
      <c r="T82" s="38"/>
      <c r="U82" s="79"/>
      <c r="V82" s="188"/>
      <c r="W82" s="80"/>
      <c r="X82" s="189"/>
      <c r="Y82" s="38"/>
      <c r="Z82" s="38"/>
      <c r="AA82" s="38"/>
      <c r="AB82" s="188"/>
      <c r="AC82" s="80"/>
      <c r="AD82" s="189"/>
      <c r="AE82" s="38"/>
      <c r="AF82" s="38"/>
      <c r="AG82" s="38"/>
      <c r="AH82" s="188"/>
      <c r="AI82" s="80"/>
      <c r="AJ82" s="189"/>
      <c r="AK82" s="38"/>
      <c r="AL82" s="38"/>
      <c r="AM82" s="38"/>
      <c r="AN82" s="188"/>
      <c r="AO82" s="41"/>
      <c r="AP82" s="189"/>
    </row>
    <row x14ac:dyDescent="0.25" r="83" customHeight="1" ht="31.5">
      <c r="A83" s="42"/>
      <c r="B83" s="44"/>
      <c r="C83" s="72"/>
      <c r="D83" s="42"/>
      <c r="E83" s="42"/>
      <c r="F83" s="38"/>
      <c r="G83" s="79"/>
      <c r="H83" s="188"/>
      <c r="I83" s="80"/>
      <c r="J83" s="189"/>
      <c r="K83" s="38"/>
      <c r="L83" s="38"/>
      <c r="M83" s="38"/>
      <c r="N83" s="79"/>
      <c r="O83" s="190"/>
      <c r="P83" s="191"/>
      <c r="Q83" s="192"/>
      <c r="R83" s="38"/>
      <c r="S83" s="38"/>
      <c r="T83" s="38"/>
      <c r="U83" s="79"/>
      <c r="V83" s="188"/>
      <c r="W83" s="80"/>
      <c r="X83" s="189"/>
      <c r="Y83" s="38"/>
      <c r="Z83" s="38"/>
      <c r="AA83" s="38"/>
      <c r="AB83" s="188"/>
      <c r="AC83" s="80"/>
      <c r="AD83" s="189"/>
      <c r="AE83" s="38"/>
      <c r="AF83" s="38"/>
      <c r="AG83" s="38"/>
      <c r="AH83" s="188"/>
      <c r="AI83" s="80"/>
      <c r="AJ83" s="189"/>
      <c r="AK83" s="38"/>
      <c r="AL83" s="38"/>
      <c r="AM83" s="38"/>
      <c r="AN83" s="188"/>
      <c r="AO83" s="41"/>
      <c r="AP83" s="189"/>
    </row>
    <row x14ac:dyDescent="0.25" r="84" customHeight="1" ht="31.5">
      <c r="A84" s="42"/>
      <c r="B84" s="44"/>
      <c r="C84" s="72"/>
      <c r="D84" s="42"/>
      <c r="E84" s="42"/>
      <c r="F84" s="38"/>
      <c r="G84" s="79"/>
      <c r="H84" s="188"/>
      <c r="I84" s="80"/>
      <c r="J84" s="189"/>
      <c r="K84" s="38"/>
      <c r="L84" s="38"/>
      <c r="M84" s="38"/>
      <c r="N84" s="79"/>
      <c r="O84" s="190"/>
      <c r="P84" s="191"/>
      <c r="Q84" s="192"/>
      <c r="R84" s="38"/>
      <c r="S84" s="38"/>
      <c r="T84" s="38"/>
      <c r="U84" s="79"/>
      <c r="V84" s="188"/>
      <c r="W84" s="80"/>
      <c r="X84" s="189"/>
      <c r="Y84" s="38"/>
      <c r="Z84" s="38"/>
      <c r="AA84" s="38"/>
      <c r="AB84" s="188"/>
      <c r="AC84" s="80"/>
      <c r="AD84" s="189"/>
      <c r="AE84" s="38"/>
      <c r="AF84" s="38"/>
      <c r="AG84" s="38"/>
      <c r="AH84" s="188"/>
      <c r="AI84" s="80"/>
      <c r="AJ84" s="189"/>
      <c r="AK84" s="38"/>
      <c r="AL84" s="38"/>
      <c r="AM84" s="38"/>
      <c r="AN84" s="188"/>
      <c r="AO84" s="41"/>
      <c r="AP84" s="189"/>
    </row>
    <row x14ac:dyDescent="0.25" r="85" customHeight="1" ht="31.5">
      <c r="A85" s="42"/>
      <c r="B85" s="44"/>
      <c r="C85" s="72"/>
      <c r="D85" s="42"/>
      <c r="E85" s="42"/>
      <c r="F85" s="38"/>
      <c r="G85" s="79"/>
      <c r="H85" s="188"/>
      <c r="I85" s="80"/>
      <c r="J85" s="189"/>
      <c r="K85" s="38"/>
      <c r="L85" s="38"/>
      <c r="M85" s="38"/>
      <c r="N85" s="79"/>
      <c r="O85" s="190"/>
      <c r="P85" s="191"/>
      <c r="Q85" s="192"/>
      <c r="R85" s="38"/>
      <c r="S85" s="38"/>
      <c r="T85" s="38"/>
      <c r="U85" s="79"/>
      <c r="V85" s="188"/>
      <c r="W85" s="80"/>
      <c r="X85" s="189"/>
      <c r="Y85" s="38"/>
      <c r="Z85" s="38"/>
      <c r="AA85" s="38"/>
      <c r="AB85" s="188"/>
      <c r="AC85" s="80"/>
      <c r="AD85" s="189"/>
      <c r="AE85" s="38"/>
      <c r="AF85" s="38"/>
      <c r="AG85" s="38"/>
      <c r="AH85" s="188"/>
      <c r="AI85" s="80"/>
      <c r="AJ85" s="189"/>
      <c r="AK85" s="38"/>
      <c r="AL85" s="38"/>
      <c r="AM85" s="38"/>
      <c r="AN85" s="188"/>
      <c r="AO85" s="41"/>
      <c r="AP85" s="189"/>
    </row>
    <row x14ac:dyDescent="0.25" r="86" customHeight="1" ht="31.5">
      <c r="A86" s="42"/>
      <c r="B86" s="44"/>
      <c r="C86" s="72"/>
      <c r="D86" s="42"/>
      <c r="E86" s="42"/>
      <c r="F86" s="38"/>
      <c r="G86" s="79"/>
      <c r="H86" s="188"/>
      <c r="I86" s="80"/>
      <c r="J86" s="189"/>
      <c r="K86" s="38"/>
      <c r="L86" s="38"/>
      <c r="M86" s="38"/>
      <c r="N86" s="79"/>
      <c r="O86" s="190"/>
      <c r="P86" s="191"/>
      <c r="Q86" s="192"/>
      <c r="R86" s="38"/>
      <c r="S86" s="38"/>
      <c r="T86" s="38"/>
      <c r="U86" s="79"/>
      <c r="V86" s="188"/>
      <c r="W86" s="80"/>
      <c r="X86" s="189"/>
      <c r="Y86" s="38"/>
      <c r="Z86" s="38"/>
      <c r="AA86" s="38"/>
      <c r="AB86" s="188"/>
      <c r="AC86" s="80"/>
      <c r="AD86" s="189"/>
      <c r="AE86" s="38"/>
      <c r="AF86" s="38"/>
      <c r="AG86" s="38"/>
      <c r="AH86" s="188"/>
      <c r="AI86" s="80"/>
      <c r="AJ86" s="189"/>
      <c r="AK86" s="38"/>
      <c r="AL86" s="38"/>
      <c r="AM86" s="38"/>
      <c r="AN86" s="188"/>
      <c r="AO86" s="41"/>
      <c r="AP86" s="189"/>
    </row>
    <row x14ac:dyDescent="0.25" r="87" customHeight="1" ht="31.5">
      <c r="A87" s="42"/>
      <c r="B87" s="44"/>
      <c r="C87" s="72"/>
      <c r="D87" s="42"/>
      <c r="E87" s="42"/>
      <c r="F87" s="38"/>
      <c r="G87" s="79"/>
      <c r="H87" s="188"/>
      <c r="I87" s="80"/>
      <c r="J87" s="189"/>
      <c r="K87" s="38"/>
      <c r="L87" s="38"/>
      <c r="M87" s="38"/>
      <c r="N87" s="79"/>
      <c r="O87" s="190"/>
      <c r="P87" s="191"/>
      <c r="Q87" s="192"/>
      <c r="R87" s="38"/>
      <c r="S87" s="38"/>
      <c r="T87" s="38"/>
      <c r="U87" s="79"/>
      <c r="V87" s="188"/>
      <c r="W87" s="80"/>
      <c r="X87" s="189"/>
      <c r="Y87" s="38"/>
      <c r="Z87" s="38"/>
      <c r="AA87" s="38"/>
      <c r="AB87" s="188"/>
      <c r="AC87" s="80"/>
      <c r="AD87" s="189"/>
      <c r="AE87" s="38"/>
      <c r="AF87" s="38"/>
      <c r="AG87" s="38"/>
      <c r="AH87" s="188"/>
      <c r="AI87" s="80"/>
      <c r="AJ87" s="189"/>
      <c r="AK87" s="38"/>
      <c r="AL87" s="38"/>
      <c r="AM87" s="38"/>
      <c r="AN87" s="188"/>
      <c r="AO87" s="41"/>
      <c r="AP87" s="189"/>
    </row>
    <row x14ac:dyDescent="0.25" r="88" customHeight="1" ht="31.5">
      <c r="A88" s="42"/>
      <c r="B88" s="44"/>
      <c r="C88" s="72"/>
      <c r="D88" s="42"/>
      <c r="E88" s="42"/>
      <c r="F88" s="38"/>
      <c r="G88" s="79"/>
      <c r="H88" s="188"/>
      <c r="I88" s="80"/>
      <c r="J88" s="189"/>
      <c r="K88" s="38"/>
      <c r="L88" s="38"/>
      <c r="M88" s="38"/>
      <c r="N88" s="79"/>
      <c r="O88" s="190"/>
      <c r="P88" s="191"/>
      <c r="Q88" s="192"/>
      <c r="R88" s="38"/>
      <c r="S88" s="38"/>
      <c r="T88" s="38"/>
      <c r="U88" s="79"/>
      <c r="V88" s="188"/>
      <c r="W88" s="80"/>
      <c r="X88" s="189"/>
      <c r="Y88" s="38"/>
      <c r="Z88" s="38"/>
      <c r="AA88" s="38"/>
      <c r="AB88" s="188"/>
      <c r="AC88" s="80"/>
      <c r="AD88" s="189"/>
      <c r="AE88" s="38"/>
      <c r="AF88" s="38"/>
      <c r="AG88" s="38"/>
      <c r="AH88" s="188"/>
      <c r="AI88" s="80"/>
      <c r="AJ88" s="189"/>
      <c r="AK88" s="38"/>
      <c r="AL88" s="38"/>
      <c r="AM88" s="38"/>
      <c r="AN88" s="188"/>
      <c r="AO88" s="41"/>
      <c r="AP88" s="189"/>
    </row>
    <row x14ac:dyDescent="0.25" r="89" customHeight="1" ht="31.5">
      <c r="A89" s="42"/>
      <c r="B89" s="44"/>
      <c r="C89" s="72"/>
      <c r="D89" s="42"/>
      <c r="E89" s="42"/>
      <c r="F89" s="38"/>
      <c r="G89" s="79"/>
      <c r="H89" s="188"/>
      <c r="I89" s="80"/>
      <c r="J89" s="189"/>
      <c r="K89" s="38"/>
      <c r="L89" s="38"/>
      <c r="M89" s="38"/>
      <c r="N89" s="79"/>
      <c r="O89" s="190"/>
      <c r="P89" s="191"/>
      <c r="Q89" s="192"/>
      <c r="R89" s="38"/>
      <c r="S89" s="38"/>
      <c r="T89" s="38"/>
      <c r="U89" s="79"/>
      <c r="V89" s="188"/>
      <c r="W89" s="80"/>
      <c r="X89" s="189"/>
      <c r="Y89" s="38"/>
      <c r="Z89" s="38"/>
      <c r="AA89" s="38"/>
      <c r="AB89" s="188"/>
      <c r="AC89" s="80"/>
      <c r="AD89" s="189"/>
      <c r="AE89" s="38"/>
      <c r="AF89" s="38"/>
      <c r="AG89" s="38"/>
      <c r="AH89" s="188"/>
      <c r="AI89" s="80"/>
      <c r="AJ89" s="189"/>
      <c r="AK89" s="38"/>
      <c r="AL89" s="38"/>
      <c r="AM89" s="38"/>
      <c r="AN89" s="188"/>
      <c r="AO89" s="41"/>
      <c r="AP89" s="189"/>
    </row>
    <row x14ac:dyDescent="0.25" r="90" customHeight="1" ht="31.5">
      <c r="A90" s="42"/>
      <c r="B90" s="44"/>
      <c r="C90" s="72"/>
      <c r="D90" s="42"/>
      <c r="E90" s="42"/>
      <c r="F90" s="38"/>
      <c r="G90" s="79"/>
      <c r="H90" s="188"/>
      <c r="I90" s="80"/>
      <c r="J90" s="189"/>
      <c r="K90" s="38"/>
      <c r="L90" s="38"/>
      <c r="M90" s="38"/>
      <c r="N90" s="79"/>
      <c r="O90" s="190"/>
      <c r="P90" s="191"/>
      <c r="Q90" s="192"/>
      <c r="R90" s="38"/>
      <c r="S90" s="38"/>
      <c r="T90" s="38"/>
      <c r="U90" s="79"/>
      <c r="V90" s="188"/>
      <c r="W90" s="80"/>
      <c r="X90" s="189"/>
      <c r="Y90" s="38"/>
      <c r="Z90" s="38"/>
      <c r="AA90" s="38"/>
      <c r="AB90" s="188"/>
      <c r="AC90" s="80"/>
      <c r="AD90" s="189"/>
      <c r="AE90" s="38"/>
      <c r="AF90" s="38"/>
      <c r="AG90" s="38"/>
      <c r="AH90" s="188"/>
      <c r="AI90" s="80"/>
      <c r="AJ90" s="189"/>
      <c r="AK90" s="38"/>
      <c r="AL90" s="38"/>
      <c r="AM90" s="38"/>
      <c r="AN90" s="188"/>
      <c r="AO90" s="41"/>
      <c r="AP90" s="189"/>
    </row>
    <row x14ac:dyDescent="0.25" r="91" customHeight="1" ht="31.5">
      <c r="A91" s="42"/>
      <c r="B91" s="44"/>
      <c r="C91" s="72"/>
      <c r="D91" s="42"/>
      <c r="E91" s="42"/>
      <c r="F91" s="38"/>
      <c r="G91" s="79"/>
      <c r="H91" s="193">
        <v>11691</v>
      </c>
      <c r="I91" s="55"/>
      <c r="J91" s="194">
        <v>1372227000</v>
      </c>
      <c r="K91" s="38"/>
      <c r="L91" s="38"/>
      <c r="M91" s="38"/>
      <c r="N91" s="79"/>
      <c r="O91" s="195"/>
      <c r="P91" s="196"/>
      <c r="Q91" s="197"/>
      <c r="R91" s="38"/>
      <c r="S91" s="38"/>
      <c r="T91" s="38"/>
      <c r="U91" s="79"/>
      <c r="V91" s="188"/>
      <c r="W91" s="80"/>
      <c r="X91" s="189"/>
      <c r="Y91" s="38"/>
      <c r="Z91" s="38"/>
      <c r="AA91" s="38"/>
      <c r="AB91" s="188"/>
      <c r="AC91" s="80"/>
      <c r="AD91" s="189"/>
      <c r="AE91" s="38"/>
      <c r="AF91" s="38"/>
      <c r="AG91" s="38"/>
      <c r="AH91" s="188"/>
      <c r="AI91" s="80"/>
      <c r="AJ91" s="189"/>
      <c r="AK91" s="38"/>
      <c r="AL91" s="38"/>
      <c r="AM91" s="38"/>
      <c r="AN91" s="188"/>
      <c r="AO91" s="41"/>
      <c r="AP91" s="189"/>
    </row>
  </sheetData>
  <mergeCells count="17">
    <mergeCell ref="A1:G1"/>
    <mergeCell ref="A2:A3"/>
    <mergeCell ref="B2:B3"/>
    <mergeCell ref="C2:C3"/>
    <mergeCell ref="D2:G2"/>
    <mergeCell ref="H2:J2"/>
    <mergeCell ref="K2:N2"/>
    <mergeCell ref="O2:Q2"/>
    <mergeCell ref="R2:U2"/>
    <mergeCell ref="V2:X2"/>
    <mergeCell ref="Y2:AA2"/>
    <mergeCell ref="AB2:AD2"/>
    <mergeCell ref="AE2:AG2"/>
    <mergeCell ref="AH2:AJ2"/>
    <mergeCell ref="AK2:AM2"/>
    <mergeCell ref="AN2:AP2"/>
    <mergeCell ref="A61:C6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3"/>
  <sheetViews>
    <sheetView workbookViewId="0"/>
  </sheetViews>
  <sheetFormatPr defaultRowHeight="15" x14ac:dyDescent="0.25"/>
  <cols>
    <col min="1" max="1" style="45" width="4.576428571428571" customWidth="1" bestFit="1"/>
    <col min="2" max="2" style="46" width="7.576428571428571" customWidth="1" bestFit="1"/>
    <col min="3" max="3" style="47" width="43.005" customWidth="1" bestFit="1"/>
    <col min="4" max="4" style="45" width="8.862142857142858" customWidth="1" bestFit="1"/>
    <col min="5" max="5" style="45" width="8.43357142857143" customWidth="1" bestFit="1"/>
    <col min="6" max="6" style="45" width="14.147857142857141" customWidth="1" bestFit="1"/>
    <col min="7" max="7" style="45" width="8.862142857142858" customWidth="1" bestFit="1"/>
    <col min="8" max="8" style="73" width="8.862142857142858" customWidth="1" bestFit="1"/>
    <col min="9" max="9" style="45" width="18.290714285714284" customWidth="1" bestFit="1"/>
  </cols>
  <sheetData>
    <row x14ac:dyDescent="0.25" r="1" customHeight="1" ht="39">
      <c r="A1" s="4" t="s">
        <v>234</v>
      </c>
      <c r="B1" s="61"/>
      <c r="C1" s="62"/>
      <c r="D1" s="4"/>
      <c r="E1" s="4"/>
      <c r="F1" s="4"/>
      <c r="G1" s="4"/>
      <c r="H1" s="4"/>
      <c r="I1" s="4"/>
    </row>
    <row x14ac:dyDescent="0.25" r="2" customHeight="1" ht="39">
      <c r="A2" s="4"/>
      <c r="B2" s="61"/>
      <c r="C2" s="62"/>
      <c r="D2" s="63"/>
      <c r="E2" s="110"/>
      <c r="F2" s="66" t="s">
        <v>190</v>
      </c>
      <c r="G2" s="66"/>
      <c r="H2" s="66"/>
      <c r="I2" s="66"/>
    </row>
    <row x14ac:dyDescent="0.25" r="3" customHeight="1" ht="39">
      <c r="A3" s="150" t="s">
        <v>191</v>
      </c>
      <c r="B3" s="151" t="s">
        <v>2</v>
      </c>
      <c r="C3" s="8" t="s">
        <v>3</v>
      </c>
      <c r="D3" s="152" t="s">
        <v>235</v>
      </c>
      <c r="E3" s="153"/>
      <c r="F3" s="154"/>
      <c r="G3" s="13" t="s">
        <v>236</v>
      </c>
      <c r="H3" s="14"/>
      <c r="I3" s="15"/>
    </row>
    <row x14ac:dyDescent="0.25" r="4" customHeight="1" ht="39">
      <c r="A4" s="17"/>
      <c r="B4" s="16"/>
      <c r="C4" s="18"/>
      <c r="D4" s="13" t="s">
        <v>9</v>
      </c>
      <c r="E4" s="54" t="s">
        <v>10</v>
      </c>
      <c r="F4" s="13" t="s">
        <v>11</v>
      </c>
      <c r="G4" s="13" t="s">
        <v>9</v>
      </c>
      <c r="H4" s="19" t="s">
        <v>10</v>
      </c>
      <c r="I4" s="13" t="s">
        <v>11</v>
      </c>
    </row>
    <row x14ac:dyDescent="0.25" r="5" customHeight="1" ht="39" customFormat="1" s="111">
      <c r="A5" s="24">
        <v>1</v>
      </c>
      <c r="B5" s="22" t="s">
        <v>12</v>
      </c>
      <c r="C5" s="23" t="s">
        <v>13</v>
      </c>
      <c r="D5" s="24">
        <v>2300</v>
      </c>
      <c r="E5" s="56">
        <v>15000</v>
      </c>
      <c r="F5" s="26">
        <v>34245000</v>
      </c>
      <c r="G5" s="24">
        <v>3900</v>
      </c>
      <c r="H5" s="25">
        <v>20000</v>
      </c>
      <c r="I5" s="26">
        <v>78000000</v>
      </c>
    </row>
    <row x14ac:dyDescent="0.25" r="6" customHeight="1" ht="39" customFormat="1" s="111">
      <c r="A6" s="155">
        <v>2</v>
      </c>
      <c r="B6" s="31" t="s">
        <v>14</v>
      </c>
      <c r="C6" s="32" t="s">
        <v>15</v>
      </c>
      <c r="D6" s="24">
        <v>3670</v>
      </c>
      <c r="E6" s="56">
        <v>14000</v>
      </c>
      <c r="F6" s="26">
        <v>51020200</v>
      </c>
      <c r="G6" s="24">
        <f>504+2500</f>
      </c>
      <c r="H6" s="25" t="s">
        <v>16</v>
      </c>
      <c r="I6" s="26">
        <f>10056000+50000000</f>
      </c>
    </row>
    <row x14ac:dyDescent="0.25" r="7" customHeight="1" ht="39" customFormat="1" s="111">
      <c r="A7" s="24">
        <v>3</v>
      </c>
      <c r="B7" s="22" t="s">
        <v>17</v>
      </c>
      <c r="C7" s="23" t="s">
        <v>18</v>
      </c>
      <c r="D7" s="24">
        <v>843</v>
      </c>
      <c r="E7" s="56" t="s">
        <v>149</v>
      </c>
      <c r="F7" s="26">
        <v>30534750</v>
      </c>
      <c r="G7" s="24">
        <v>700</v>
      </c>
      <c r="H7" s="25">
        <v>52500</v>
      </c>
      <c r="I7" s="26">
        <v>36750000</v>
      </c>
    </row>
    <row x14ac:dyDescent="0.25" r="8" customHeight="1" ht="39" customFormat="1" s="111">
      <c r="A8" s="155">
        <v>4</v>
      </c>
      <c r="B8" s="22" t="s">
        <v>19</v>
      </c>
      <c r="C8" s="23" t="s">
        <v>20</v>
      </c>
      <c r="D8" s="24">
        <v>6295</v>
      </c>
      <c r="E8" s="56" t="s">
        <v>150</v>
      </c>
      <c r="F8" s="26">
        <v>236893240</v>
      </c>
      <c r="G8" s="24">
        <v>7657</v>
      </c>
      <c r="H8" s="25">
        <v>53000</v>
      </c>
      <c r="I8" s="26">
        <v>405821000</v>
      </c>
    </row>
    <row x14ac:dyDescent="0.25" r="9" customHeight="1" ht="39" customFormat="1" s="111">
      <c r="A9" s="24">
        <v>5</v>
      </c>
      <c r="B9" s="22" t="s">
        <v>21</v>
      </c>
      <c r="C9" s="23" t="s">
        <v>22</v>
      </c>
      <c r="D9" s="24">
        <v>4218</v>
      </c>
      <c r="E9" s="56" t="s">
        <v>151</v>
      </c>
      <c r="F9" s="26">
        <v>184280000</v>
      </c>
      <c r="G9" s="24">
        <v>5302</v>
      </c>
      <c r="H9" s="25">
        <v>62500</v>
      </c>
      <c r="I9" s="26">
        <v>331375000</v>
      </c>
    </row>
    <row x14ac:dyDescent="0.25" r="10" customHeight="1" ht="39" customFormat="1" s="111">
      <c r="A10" s="155">
        <v>6</v>
      </c>
      <c r="B10" s="22" t="s">
        <v>23</v>
      </c>
      <c r="C10" s="23" t="s">
        <v>24</v>
      </c>
      <c r="D10" s="24">
        <v>262</v>
      </c>
      <c r="E10" s="56" t="s">
        <v>152</v>
      </c>
      <c r="F10" s="26">
        <v>14393600</v>
      </c>
      <c r="G10" s="24">
        <v>410</v>
      </c>
      <c r="H10" s="25">
        <v>90500</v>
      </c>
      <c r="I10" s="26">
        <v>37105000</v>
      </c>
    </row>
    <row x14ac:dyDescent="0.25" r="11" customHeight="1" ht="39" customFormat="1" s="111">
      <c r="A11" s="24">
        <v>7</v>
      </c>
      <c r="B11" s="22" t="s">
        <v>25</v>
      </c>
      <c r="C11" s="23" t="s">
        <v>26</v>
      </c>
      <c r="D11" s="24">
        <v>52</v>
      </c>
      <c r="E11" s="56" t="s">
        <v>153</v>
      </c>
      <c r="F11" s="26">
        <v>2482000</v>
      </c>
      <c r="G11" s="24">
        <v>500</v>
      </c>
      <c r="H11" s="25">
        <v>64000</v>
      </c>
      <c r="I11" s="26">
        <v>32000000</v>
      </c>
    </row>
    <row x14ac:dyDescent="0.25" r="12" customHeight="1" ht="39" customFormat="1" s="111">
      <c r="A12" s="155">
        <v>8</v>
      </c>
      <c r="B12" s="22" t="s">
        <v>27</v>
      </c>
      <c r="C12" s="23" t="s">
        <v>28</v>
      </c>
      <c r="D12" s="24">
        <v>968</v>
      </c>
      <c r="E12" s="56" t="s">
        <v>154</v>
      </c>
      <c r="F12" s="26">
        <v>45192400</v>
      </c>
      <c r="G12" s="24">
        <v>1850</v>
      </c>
      <c r="H12" s="25">
        <v>64500</v>
      </c>
      <c r="I12" s="26">
        <v>119325000</v>
      </c>
    </row>
    <row x14ac:dyDescent="0.25" r="13" customHeight="1" ht="39" customFormat="1" s="111">
      <c r="A13" s="24">
        <v>9</v>
      </c>
      <c r="B13" s="22" t="s">
        <v>29</v>
      </c>
      <c r="C13" s="23" t="s">
        <v>30</v>
      </c>
      <c r="D13" s="24">
        <v>152</v>
      </c>
      <c r="E13" s="56">
        <v>49000</v>
      </c>
      <c r="F13" s="26">
        <v>7301000</v>
      </c>
      <c r="G13" s="24">
        <v>252</v>
      </c>
      <c r="H13" s="25" t="s">
        <v>31</v>
      </c>
      <c r="I13" s="26">
        <v>17221000</v>
      </c>
    </row>
    <row x14ac:dyDescent="0.25" r="14" customHeight="1" ht="39" customFormat="1" s="111">
      <c r="A14" s="155">
        <v>10</v>
      </c>
      <c r="B14" s="22" t="s">
        <v>32</v>
      </c>
      <c r="C14" s="23" t="s">
        <v>33</v>
      </c>
      <c r="D14" s="24">
        <v>130</v>
      </c>
      <c r="E14" s="56">
        <v>56700</v>
      </c>
      <c r="F14" s="26">
        <v>7371000</v>
      </c>
      <c r="G14" s="24">
        <v>400</v>
      </c>
      <c r="H14" s="25">
        <v>72500</v>
      </c>
      <c r="I14" s="26">
        <v>29000000</v>
      </c>
    </row>
    <row x14ac:dyDescent="0.25" r="15" customHeight="1" ht="39" customFormat="1" s="111">
      <c r="A15" s="24">
        <v>11</v>
      </c>
      <c r="B15" s="31" t="s">
        <v>34</v>
      </c>
      <c r="C15" s="32" t="s">
        <v>35</v>
      </c>
      <c r="D15" s="24">
        <v>500</v>
      </c>
      <c r="E15" s="56" t="s">
        <v>155</v>
      </c>
      <c r="F15" s="26">
        <v>28187750</v>
      </c>
      <c r="G15" s="24">
        <f>100+803</f>
      </c>
      <c r="H15" s="25" t="s">
        <v>36</v>
      </c>
      <c r="I15" s="26">
        <f>7573500+61429500</f>
      </c>
    </row>
    <row x14ac:dyDescent="0.25" r="16" customHeight="1" ht="39" customFormat="1" s="111">
      <c r="A16" s="155">
        <v>12</v>
      </c>
      <c r="B16" s="22" t="s">
        <v>37</v>
      </c>
      <c r="C16" s="23" t="s">
        <v>38</v>
      </c>
      <c r="D16" s="24">
        <v>437</v>
      </c>
      <c r="E16" s="56" t="s">
        <v>156</v>
      </c>
      <c r="F16" s="26">
        <v>24435570</v>
      </c>
      <c r="G16" s="24">
        <v>850</v>
      </c>
      <c r="H16" s="25">
        <v>79000</v>
      </c>
      <c r="I16" s="26">
        <v>67150000</v>
      </c>
    </row>
    <row x14ac:dyDescent="0.25" r="17" customHeight="1" ht="39" customFormat="1" s="111">
      <c r="A17" s="24">
        <v>13</v>
      </c>
      <c r="B17" s="31" t="s">
        <v>39</v>
      </c>
      <c r="C17" s="32" t="s">
        <v>40</v>
      </c>
      <c r="D17" s="24">
        <v>3385</v>
      </c>
      <c r="E17" s="56" t="s">
        <v>157</v>
      </c>
      <c r="F17" s="26">
        <v>187446960</v>
      </c>
      <c r="G17" s="24">
        <f>203+2550</f>
      </c>
      <c r="H17" s="25" t="s">
        <v>41</v>
      </c>
      <c r="I17" s="26">
        <f>16062000+202725000</f>
      </c>
    </row>
    <row x14ac:dyDescent="0.25" r="18" customHeight="1" ht="39" customFormat="1" s="111">
      <c r="A18" s="155">
        <v>14</v>
      </c>
      <c r="B18" s="22" t="s">
        <v>42</v>
      </c>
      <c r="C18" s="23" t="s">
        <v>43</v>
      </c>
      <c r="D18" s="24">
        <v>373</v>
      </c>
      <c r="E18" s="56" t="s">
        <v>158</v>
      </c>
      <c r="F18" s="26">
        <v>26519820</v>
      </c>
      <c r="G18" s="24">
        <v>700</v>
      </c>
      <c r="H18" s="25">
        <v>100000</v>
      </c>
      <c r="I18" s="26">
        <v>70000000</v>
      </c>
    </row>
    <row x14ac:dyDescent="0.25" r="19" customHeight="1" ht="39" customFormat="1" s="111">
      <c r="A19" s="24">
        <v>15</v>
      </c>
      <c r="B19" s="22" t="s">
        <v>44</v>
      </c>
      <c r="C19" s="23" t="s">
        <v>45</v>
      </c>
      <c r="D19" s="24">
        <v>2531</v>
      </c>
      <c r="E19" s="56" t="s">
        <v>159</v>
      </c>
      <c r="F19" s="26">
        <v>154332260</v>
      </c>
      <c r="G19" s="24">
        <v>3020</v>
      </c>
      <c r="H19" s="25">
        <v>84500</v>
      </c>
      <c r="I19" s="26">
        <v>255190000</v>
      </c>
    </row>
    <row x14ac:dyDescent="0.25" r="20" customHeight="1" ht="39" customFormat="1" s="111">
      <c r="A20" s="155">
        <v>16</v>
      </c>
      <c r="B20" s="22" t="s">
        <v>46</v>
      </c>
      <c r="C20" s="23" t="s">
        <v>47</v>
      </c>
      <c r="D20" s="24">
        <v>3150</v>
      </c>
      <c r="E20" s="56" t="s">
        <v>160</v>
      </c>
      <c r="F20" s="26">
        <v>203730100</v>
      </c>
      <c r="G20" s="24">
        <v>3650</v>
      </c>
      <c r="H20" s="25">
        <v>90000</v>
      </c>
      <c r="I20" s="26">
        <v>328500000</v>
      </c>
    </row>
    <row x14ac:dyDescent="0.25" r="21" customHeight="1" ht="39" customFormat="1" s="111">
      <c r="A21" s="24">
        <v>17</v>
      </c>
      <c r="B21" s="22" t="s">
        <v>48</v>
      </c>
      <c r="C21" s="23" t="s">
        <v>49</v>
      </c>
      <c r="D21" s="24">
        <v>112</v>
      </c>
      <c r="E21" s="56">
        <v>65500</v>
      </c>
      <c r="F21" s="26">
        <v>7198450</v>
      </c>
      <c r="G21" s="24">
        <v>150</v>
      </c>
      <c r="H21" s="25">
        <v>101000</v>
      </c>
      <c r="I21" s="26">
        <v>15150000</v>
      </c>
    </row>
    <row x14ac:dyDescent="0.25" r="22" customHeight="1" ht="39">
      <c r="A22" s="155">
        <v>18</v>
      </c>
      <c r="B22" s="22" t="s">
        <v>50</v>
      </c>
      <c r="C22" s="23" t="s">
        <v>51</v>
      </c>
      <c r="D22" s="24">
        <v>170</v>
      </c>
      <c r="E22" s="56">
        <v>66500</v>
      </c>
      <c r="F22" s="26">
        <v>11078900</v>
      </c>
      <c r="G22" s="24">
        <v>218</v>
      </c>
      <c r="H22" s="30">
        <v>102000</v>
      </c>
      <c r="I22" s="26">
        <v>22236000</v>
      </c>
    </row>
    <row x14ac:dyDescent="0.25" r="23" customHeight="1" ht="39" customFormat="1" s="111">
      <c r="A23" s="24">
        <v>19</v>
      </c>
      <c r="B23" s="22" t="s">
        <v>52</v>
      </c>
      <c r="C23" s="23" t="s">
        <v>53</v>
      </c>
      <c r="D23" s="24">
        <v>712</v>
      </c>
      <c r="E23" s="56" t="s">
        <v>161</v>
      </c>
      <c r="F23" s="26">
        <v>68959200</v>
      </c>
      <c r="G23" s="24">
        <v>1150</v>
      </c>
      <c r="H23" s="25">
        <v>134000</v>
      </c>
      <c r="I23" s="26">
        <v>154100000</v>
      </c>
    </row>
    <row x14ac:dyDescent="0.25" r="24" customHeight="1" ht="39" customFormat="1" s="111">
      <c r="A24" s="155">
        <v>20</v>
      </c>
      <c r="B24" s="22" t="s">
        <v>54</v>
      </c>
      <c r="C24" s="23" t="s">
        <v>55</v>
      </c>
      <c r="D24" s="24">
        <v>280</v>
      </c>
      <c r="E24" s="56" t="s">
        <v>162</v>
      </c>
      <c r="F24" s="26">
        <v>28599360</v>
      </c>
      <c r="G24" s="24">
        <v>500</v>
      </c>
      <c r="H24" s="25">
        <v>136000</v>
      </c>
      <c r="I24" s="26">
        <v>68000000</v>
      </c>
    </row>
    <row x14ac:dyDescent="0.25" r="25" customHeight="1" ht="39" customFormat="1" s="111">
      <c r="A25" s="24">
        <v>21</v>
      </c>
      <c r="B25" s="22" t="s">
        <v>56</v>
      </c>
      <c r="C25" s="23" t="s">
        <v>57</v>
      </c>
      <c r="D25" s="24">
        <v>395</v>
      </c>
      <c r="E25" s="56" t="s">
        <v>163</v>
      </c>
      <c r="F25" s="26">
        <v>43261920</v>
      </c>
      <c r="G25" s="24">
        <v>450</v>
      </c>
      <c r="H25" s="25">
        <v>159000</v>
      </c>
      <c r="I25" s="26">
        <v>71550000</v>
      </c>
    </row>
    <row x14ac:dyDescent="0.25" r="26" customHeight="1" ht="39" customFormat="1" s="111">
      <c r="A26" s="155">
        <v>22</v>
      </c>
      <c r="B26" s="31" t="s">
        <v>58</v>
      </c>
      <c r="C26" s="32" t="s">
        <v>59</v>
      </c>
      <c r="D26" s="24">
        <v>1172</v>
      </c>
      <c r="E26" s="56" t="s">
        <v>164</v>
      </c>
      <c r="F26" s="26">
        <v>93810600</v>
      </c>
      <c r="G26" s="24">
        <f>456+1300</f>
      </c>
      <c r="H26" s="25" t="s">
        <v>60</v>
      </c>
      <c r="I26" s="26">
        <f>53568000+153400000</f>
      </c>
    </row>
    <row x14ac:dyDescent="0.25" r="27" customHeight="1" ht="39" customFormat="1" s="111">
      <c r="A27" s="24">
        <v>23</v>
      </c>
      <c r="B27" s="31" t="s">
        <v>61</v>
      </c>
      <c r="C27" s="32" t="s">
        <v>62</v>
      </c>
      <c r="D27" s="24">
        <v>3111</v>
      </c>
      <c r="E27" s="56" t="s">
        <v>165</v>
      </c>
      <c r="F27" s="26">
        <v>252006840</v>
      </c>
      <c r="G27" s="24">
        <f>2412+1450</f>
      </c>
      <c r="H27" s="25" t="s">
        <v>63</v>
      </c>
      <c r="I27" s="26">
        <f>286548000+172550000</f>
      </c>
    </row>
    <row x14ac:dyDescent="0.25" r="28" customHeight="1" ht="39" customFormat="1" s="111">
      <c r="A28" s="155">
        <v>24</v>
      </c>
      <c r="B28" s="31" t="s">
        <v>64</v>
      </c>
      <c r="C28" s="32" t="s">
        <v>65</v>
      </c>
      <c r="D28" s="24">
        <v>1253</v>
      </c>
      <c r="E28" s="56" t="s">
        <v>166</v>
      </c>
      <c r="F28" s="26">
        <v>110820250</v>
      </c>
      <c r="G28" s="24">
        <f>516+799</f>
      </c>
      <c r="H28" s="25" t="s">
        <v>66</v>
      </c>
      <c r="I28" s="26">
        <f>65598000+102272000</f>
      </c>
    </row>
    <row x14ac:dyDescent="0.25" r="29" customHeight="1" ht="39" customFormat="1" s="111">
      <c r="A29" s="24">
        <v>25</v>
      </c>
      <c r="B29" s="22" t="s">
        <v>67</v>
      </c>
      <c r="C29" s="23" t="s">
        <v>68</v>
      </c>
      <c r="D29" s="24"/>
      <c r="E29" s="56"/>
      <c r="F29" s="26"/>
      <c r="G29" s="24">
        <v>3</v>
      </c>
      <c r="H29" s="25">
        <v>87000</v>
      </c>
      <c r="I29" s="26">
        <v>261000</v>
      </c>
    </row>
    <row x14ac:dyDescent="0.25" r="30" customHeight="1" ht="39" customFormat="1" s="111">
      <c r="A30" s="155">
        <v>26</v>
      </c>
      <c r="B30" s="22" t="s">
        <v>69</v>
      </c>
      <c r="C30" s="23" t="s">
        <v>70</v>
      </c>
      <c r="D30" s="24">
        <v>297</v>
      </c>
      <c r="E30" s="56">
        <v>98000</v>
      </c>
      <c r="F30" s="26">
        <v>28819840</v>
      </c>
      <c r="G30" s="24">
        <v>271</v>
      </c>
      <c r="H30" s="25" t="s">
        <v>71</v>
      </c>
      <c r="I30" s="26">
        <v>37898000</v>
      </c>
    </row>
    <row x14ac:dyDescent="0.25" r="31" customHeight="1" ht="39" customFormat="1" s="111">
      <c r="A31" s="24">
        <v>27</v>
      </c>
      <c r="B31" s="22" t="s">
        <v>72</v>
      </c>
      <c r="C31" s="23" t="s">
        <v>73</v>
      </c>
      <c r="D31" s="24">
        <v>1103</v>
      </c>
      <c r="E31" s="56" t="s">
        <v>167</v>
      </c>
      <c r="F31" s="26">
        <v>108030230</v>
      </c>
      <c r="G31" s="24">
        <v>1780</v>
      </c>
      <c r="H31" s="25">
        <v>134500</v>
      </c>
      <c r="I31" s="26">
        <v>239410000</v>
      </c>
    </row>
    <row x14ac:dyDescent="0.25" r="32" customHeight="1" ht="39" customFormat="1" s="111">
      <c r="A32" s="155">
        <v>28</v>
      </c>
      <c r="B32" s="22" t="s">
        <v>74</v>
      </c>
      <c r="C32" s="23" t="s">
        <v>75</v>
      </c>
      <c r="D32" s="24">
        <v>4525</v>
      </c>
      <c r="E32" s="56" t="s">
        <v>168</v>
      </c>
      <c r="F32" s="26">
        <v>451389500</v>
      </c>
      <c r="G32" s="24">
        <v>5115</v>
      </c>
      <c r="H32" s="25">
        <v>139000</v>
      </c>
      <c r="I32" s="26">
        <v>710985000</v>
      </c>
    </row>
    <row x14ac:dyDescent="0.25" r="33" customHeight="1" ht="39" customFormat="1" s="111">
      <c r="A33" s="24">
        <v>29</v>
      </c>
      <c r="B33" s="22" t="s">
        <v>76</v>
      </c>
      <c r="C33" s="23" t="s">
        <v>77</v>
      </c>
      <c r="D33" s="24">
        <v>897</v>
      </c>
      <c r="E33" s="56" t="s">
        <v>169</v>
      </c>
      <c r="F33" s="26">
        <v>105089610</v>
      </c>
      <c r="G33" s="24">
        <v>1290</v>
      </c>
      <c r="H33" s="25">
        <v>168000</v>
      </c>
      <c r="I33" s="26">
        <v>216720000</v>
      </c>
    </row>
    <row x14ac:dyDescent="0.25" r="34" customHeight="1" ht="39" customFormat="1" s="111">
      <c r="A34" s="155">
        <v>30</v>
      </c>
      <c r="B34" s="22" t="s">
        <v>78</v>
      </c>
      <c r="C34" s="23" t="s">
        <v>79</v>
      </c>
      <c r="D34" s="24">
        <v>2792</v>
      </c>
      <c r="E34" s="56" t="s">
        <v>170</v>
      </c>
      <c r="F34" s="26">
        <v>350986680</v>
      </c>
      <c r="G34" s="24">
        <v>2967</v>
      </c>
      <c r="H34" s="25">
        <v>171000</v>
      </c>
      <c r="I34" s="26">
        <v>507357000</v>
      </c>
    </row>
    <row x14ac:dyDescent="0.25" r="35" customHeight="1" ht="39" customFormat="1" s="111">
      <c r="A35" s="24">
        <v>31</v>
      </c>
      <c r="B35" s="22" t="s">
        <v>80</v>
      </c>
      <c r="C35" s="23" t="s">
        <v>81</v>
      </c>
      <c r="D35" s="24">
        <v>679</v>
      </c>
      <c r="E35" s="56" t="s">
        <v>171</v>
      </c>
      <c r="F35" s="26">
        <v>91267800</v>
      </c>
      <c r="G35" s="24">
        <v>870</v>
      </c>
      <c r="H35" s="25">
        <v>190500</v>
      </c>
      <c r="I35" s="26">
        <v>165735000</v>
      </c>
    </row>
    <row x14ac:dyDescent="0.25" r="36" customHeight="1" ht="39" customFormat="1" s="111">
      <c r="A36" s="155">
        <v>32</v>
      </c>
      <c r="B36" s="22" t="s">
        <v>82</v>
      </c>
      <c r="C36" s="23" t="s">
        <v>83</v>
      </c>
      <c r="D36" s="24">
        <v>707</v>
      </c>
      <c r="E36" s="56" t="s">
        <v>172</v>
      </c>
      <c r="F36" s="26">
        <v>107787010</v>
      </c>
      <c r="G36" s="24">
        <v>900</v>
      </c>
      <c r="H36" s="25">
        <v>206000</v>
      </c>
      <c r="I36" s="26">
        <v>185400000</v>
      </c>
    </row>
    <row x14ac:dyDescent="0.25" r="37" customHeight="1" ht="39" customFormat="1" s="111">
      <c r="A37" s="24">
        <v>33</v>
      </c>
      <c r="B37" s="22" t="s">
        <v>84</v>
      </c>
      <c r="C37" s="23" t="s">
        <v>85</v>
      </c>
      <c r="D37" s="24">
        <v>1225</v>
      </c>
      <c r="E37" s="56" t="s">
        <v>172</v>
      </c>
      <c r="F37" s="26">
        <v>181227390</v>
      </c>
      <c r="G37" s="24">
        <v>1000</v>
      </c>
      <c r="H37" s="25">
        <v>206000</v>
      </c>
      <c r="I37" s="26">
        <v>206000000</v>
      </c>
    </row>
    <row x14ac:dyDescent="0.25" r="38" customHeight="1" ht="39" customFormat="1" s="111">
      <c r="A38" s="155">
        <v>34</v>
      </c>
      <c r="B38" s="22" t="s">
        <v>86</v>
      </c>
      <c r="C38" s="23" t="s">
        <v>87</v>
      </c>
      <c r="D38" s="24">
        <v>4220</v>
      </c>
      <c r="E38" s="56" t="s">
        <v>173</v>
      </c>
      <c r="F38" s="26">
        <v>662597100</v>
      </c>
      <c r="G38" s="24">
        <v>3875</v>
      </c>
      <c r="H38" s="25">
        <v>213500</v>
      </c>
      <c r="I38" s="26">
        <v>827312500</v>
      </c>
    </row>
    <row x14ac:dyDescent="0.25" r="39" customHeight="1" ht="39" customFormat="1" s="111">
      <c r="A39" s="24">
        <v>35</v>
      </c>
      <c r="B39" s="31" t="s">
        <v>88</v>
      </c>
      <c r="C39" s="32" t="s">
        <v>89</v>
      </c>
      <c r="D39" s="24">
        <v>712</v>
      </c>
      <c r="E39" s="56" t="s">
        <v>174</v>
      </c>
      <c r="F39" s="26">
        <v>117500800</v>
      </c>
      <c r="G39" s="24">
        <v>1050</v>
      </c>
      <c r="H39" s="25" t="s">
        <v>90</v>
      </c>
      <c r="I39" s="26">
        <v>228513000</v>
      </c>
    </row>
    <row x14ac:dyDescent="0.25" r="40" customHeight="1" ht="39" customFormat="1" s="111">
      <c r="A40" s="155">
        <v>36</v>
      </c>
      <c r="B40" s="22" t="s">
        <v>92</v>
      </c>
      <c r="C40" s="23" t="s">
        <v>93</v>
      </c>
      <c r="D40" s="24">
        <v>247</v>
      </c>
      <c r="E40" s="56" t="s">
        <v>175</v>
      </c>
      <c r="F40" s="26">
        <v>21360600</v>
      </c>
      <c r="G40" s="24">
        <v>310</v>
      </c>
      <c r="H40" s="25">
        <v>128500</v>
      </c>
      <c r="I40" s="26">
        <v>39835000</v>
      </c>
    </row>
    <row x14ac:dyDescent="0.25" r="41" customHeight="1" ht="39" customFormat="1" s="111">
      <c r="A41" s="24">
        <v>37</v>
      </c>
      <c r="B41" s="31" t="s">
        <v>94</v>
      </c>
      <c r="C41" s="32" t="s">
        <v>95</v>
      </c>
      <c r="D41" s="24">
        <v>87</v>
      </c>
      <c r="E41" s="56">
        <v>191200</v>
      </c>
      <c r="F41" s="26">
        <v>16634400</v>
      </c>
      <c r="G41" s="24">
        <f>29+272</f>
      </c>
      <c r="H41" s="25" t="s">
        <v>96</v>
      </c>
      <c r="I41" s="26">
        <f>7093000+67184000</f>
      </c>
    </row>
    <row x14ac:dyDescent="0.25" r="42" customHeight="1" ht="39" customFormat="1" s="111">
      <c r="A42" s="155">
        <v>38</v>
      </c>
      <c r="B42" s="22" t="s">
        <v>97</v>
      </c>
      <c r="C42" s="23" t="s">
        <v>98</v>
      </c>
      <c r="D42" s="24">
        <v>1573</v>
      </c>
      <c r="E42" s="56" t="s">
        <v>176</v>
      </c>
      <c r="F42" s="26">
        <v>293043720</v>
      </c>
      <c r="G42" s="24">
        <v>1400</v>
      </c>
      <c r="H42" s="25">
        <v>256000</v>
      </c>
      <c r="I42" s="26">
        <v>358400000</v>
      </c>
    </row>
    <row x14ac:dyDescent="0.25" r="43" customHeight="1" ht="39" customFormat="1" s="111">
      <c r="A43" s="24">
        <v>39</v>
      </c>
      <c r="B43" s="22" t="s">
        <v>99</v>
      </c>
      <c r="C43" s="23" t="s">
        <v>100</v>
      </c>
      <c r="D43" s="24">
        <v>139</v>
      </c>
      <c r="E43" s="56">
        <v>198800</v>
      </c>
      <c r="F43" s="26">
        <v>27633200</v>
      </c>
      <c r="G43" s="24">
        <v>230</v>
      </c>
      <c r="H43" s="25">
        <v>257500</v>
      </c>
      <c r="I43" s="26">
        <v>59225000</v>
      </c>
    </row>
    <row x14ac:dyDescent="0.25" r="44" customHeight="1" ht="39" customFormat="1" s="111">
      <c r="A44" s="155">
        <v>40</v>
      </c>
      <c r="B44" s="31" t="s">
        <v>101</v>
      </c>
      <c r="C44" s="32" t="s">
        <v>102</v>
      </c>
      <c r="D44" s="24">
        <v>89</v>
      </c>
      <c r="E44" s="56" t="s">
        <v>178</v>
      </c>
      <c r="F44" s="26">
        <v>17354090</v>
      </c>
      <c r="G44" s="24">
        <f>71+100</f>
      </c>
      <c r="H44" s="25" t="s">
        <v>103</v>
      </c>
      <c r="I44" s="26">
        <f>19724500+27900000</f>
      </c>
    </row>
    <row x14ac:dyDescent="0.25" r="45" customHeight="1" ht="39" customFormat="1" s="111">
      <c r="A45" s="24">
        <v>41</v>
      </c>
      <c r="B45" s="31" t="s">
        <v>104</v>
      </c>
      <c r="C45" s="32" t="s">
        <v>105</v>
      </c>
      <c r="D45" s="24">
        <v>166</v>
      </c>
      <c r="E45" s="56">
        <v>186000</v>
      </c>
      <c r="F45" s="26">
        <v>30258480</v>
      </c>
      <c r="G45" s="24">
        <f>11+91</f>
      </c>
      <c r="H45" s="25" t="s">
        <v>106</v>
      </c>
      <c r="I45" s="26">
        <f>2781000+23614500</f>
      </c>
    </row>
    <row x14ac:dyDescent="0.25" r="46" customHeight="1" ht="39" customFormat="1" s="111">
      <c r="A46" s="155">
        <v>42</v>
      </c>
      <c r="B46" s="22" t="s">
        <v>107</v>
      </c>
      <c r="C46" s="23" t="s">
        <v>108</v>
      </c>
      <c r="D46" s="24">
        <v>494</v>
      </c>
      <c r="E46" s="56" t="s">
        <v>179</v>
      </c>
      <c r="F46" s="26">
        <v>99075580</v>
      </c>
      <c r="G46" s="24">
        <v>770</v>
      </c>
      <c r="H46" s="25">
        <v>274500</v>
      </c>
      <c r="I46" s="26">
        <v>211365000</v>
      </c>
    </row>
    <row x14ac:dyDescent="0.25" r="47" customHeight="1" ht="39" customFormat="1" s="111">
      <c r="A47" s="24">
        <v>43</v>
      </c>
      <c r="B47" s="22" t="s">
        <v>109</v>
      </c>
      <c r="C47" s="23" t="s">
        <v>110</v>
      </c>
      <c r="D47" s="24">
        <v>387</v>
      </c>
      <c r="E47" s="56" t="s">
        <v>180</v>
      </c>
      <c r="F47" s="26">
        <v>78126920</v>
      </c>
      <c r="G47" s="24">
        <v>133</v>
      </c>
      <c r="H47" s="25" t="s">
        <v>111</v>
      </c>
      <c r="I47" s="26">
        <v>37426000</v>
      </c>
    </row>
    <row x14ac:dyDescent="0.25" r="48" customHeight="1" ht="39" customFormat="1" s="111">
      <c r="A48" s="155">
        <v>44</v>
      </c>
      <c r="B48" s="22" t="s">
        <v>112</v>
      </c>
      <c r="C48" s="23" t="s">
        <v>113</v>
      </c>
      <c r="D48" s="24">
        <v>1130</v>
      </c>
      <c r="E48" s="56" t="s">
        <v>181</v>
      </c>
      <c r="F48" s="26">
        <v>97035300</v>
      </c>
      <c r="G48" s="24">
        <v>1723</v>
      </c>
      <c r="H48" s="25">
        <v>122000</v>
      </c>
      <c r="I48" s="26">
        <v>210206000</v>
      </c>
    </row>
    <row x14ac:dyDescent="0.25" r="49" customHeight="1" ht="39" customFormat="1" s="111">
      <c r="A49" s="24">
        <v>45</v>
      </c>
      <c r="B49" s="22" t="s">
        <v>114</v>
      </c>
      <c r="C49" s="23" t="s">
        <v>115</v>
      </c>
      <c r="D49" s="24">
        <v>221</v>
      </c>
      <c r="E49" s="56" t="s">
        <v>182</v>
      </c>
      <c r="F49" s="26">
        <v>54330640</v>
      </c>
      <c r="G49" s="24">
        <v>369</v>
      </c>
      <c r="H49" s="25">
        <v>340500</v>
      </c>
      <c r="I49" s="26">
        <v>125644500</v>
      </c>
    </row>
    <row x14ac:dyDescent="0.25" r="50" customHeight="1" ht="39">
      <c r="A50" s="155">
        <v>46</v>
      </c>
      <c r="B50" s="22" t="s">
        <v>116</v>
      </c>
      <c r="C50" s="23" t="s">
        <v>117</v>
      </c>
      <c r="D50" s="24">
        <v>1</v>
      </c>
      <c r="E50" s="56">
        <v>272900</v>
      </c>
      <c r="F50" s="26">
        <v>272900</v>
      </c>
      <c r="G50" s="24">
        <v>80</v>
      </c>
      <c r="H50" s="30">
        <v>353900</v>
      </c>
      <c r="I50" s="26">
        <v>28312000</v>
      </c>
    </row>
    <row x14ac:dyDescent="0.25" r="51" customHeight="1" ht="39" customFormat="1" s="111">
      <c r="A51" s="24">
        <v>47</v>
      </c>
      <c r="B51" s="31" t="s">
        <v>118</v>
      </c>
      <c r="C51" s="32" t="s">
        <v>119</v>
      </c>
      <c r="D51" s="24">
        <v>458</v>
      </c>
      <c r="E51" s="56" t="s">
        <v>183</v>
      </c>
      <c r="F51" s="26">
        <v>119054200</v>
      </c>
      <c r="G51" s="24">
        <f>117+408</f>
      </c>
      <c r="H51" s="25" t="s">
        <v>120</v>
      </c>
      <c r="I51" s="26">
        <f>41987000+148308000</f>
      </c>
    </row>
    <row x14ac:dyDescent="0.25" r="52" customHeight="1" ht="39" customFormat="1" s="111">
      <c r="A52" s="155">
        <v>48</v>
      </c>
      <c r="B52" s="31" t="s">
        <v>121</v>
      </c>
      <c r="C52" s="32" t="s">
        <v>122</v>
      </c>
      <c r="D52" s="24">
        <v>135</v>
      </c>
      <c r="E52" s="56" t="s">
        <v>184</v>
      </c>
      <c r="F52" s="26">
        <v>22257960</v>
      </c>
      <c r="G52" s="24">
        <f>80+150</f>
      </c>
      <c r="H52" s="25" t="s">
        <v>123</v>
      </c>
      <c r="I52" s="26">
        <f>17205000+33300000</f>
      </c>
    </row>
    <row x14ac:dyDescent="0.25" r="53" customHeight="1" ht="39" customFormat="1" s="111">
      <c r="A53" s="24">
        <v>49</v>
      </c>
      <c r="B53" s="22" t="s">
        <v>124</v>
      </c>
      <c r="C53" s="23" t="s">
        <v>125</v>
      </c>
      <c r="D53" s="24">
        <v>40</v>
      </c>
      <c r="E53" s="56">
        <v>185000</v>
      </c>
      <c r="F53" s="26">
        <v>7400000</v>
      </c>
      <c r="G53" s="24">
        <v>310</v>
      </c>
      <c r="H53" s="25">
        <v>234500</v>
      </c>
      <c r="I53" s="26">
        <v>72695000</v>
      </c>
    </row>
    <row x14ac:dyDescent="0.25" r="54" customHeight="1" ht="39" customFormat="1" s="111">
      <c r="A54" s="155">
        <v>50</v>
      </c>
      <c r="B54" s="22" t="s">
        <v>126</v>
      </c>
      <c r="C54" s="23" t="s">
        <v>127</v>
      </c>
      <c r="D54" s="24">
        <v>174</v>
      </c>
      <c r="E54" s="56" t="s">
        <v>185</v>
      </c>
      <c r="F54" s="26">
        <v>40491200</v>
      </c>
      <c r="G54" s="24">
        <v>145</v>
      </c>
      <c r="H54" s="25">
        <v>312500</v>
      </c>
      <c r="I54" s="26">
        <v>45312500</v>
      </c>
    </row>
    <row x14ac:dyDescent="0.25" r="55" customHeight="1" ht="39" customFormat="1" s="111">
      <c r="A55" s="24">
        <v>51</v>
      </c>
      <c r="B55" s="31" t="s">
        <v>128</v>
      </c>
      <c r="C55" s="32" t="s">
        <v>129</v>
      </c>
      <c r="D55" s="24">
        <v>260</v>
      </c>
      <c r="E55" s="56" t="s">
        <v>186</v>
      </c>
      <c r="F55" s="26">
        <v>63612100</v>
      </c>
      <c r="G55" s="24">
        <f>96+410</f>
      </c>
      <c r="H55" s="25" t="s">
        <v>130</v>
      </c>
      <c r="I55" s="26">
        <f>31998000+138990000</f>
      </c>
    </row>
    <row x14ac:dyDescent="0.25" r="56" customHeight="1" ht="39">
      <c r="A56" s="155">
        <v>52</v>
      </c>
      <c r="B56" s="22" t="s">
        <v>116</v>
      </c>
      <c r="C56" s="23" t="s">
        <v>117</v>
      </c>
      <c r="D56" s="24">
        <v>1</v>
      </c>
      <c r="E56" s="56">
        <v>272900</v>
      </c>
      <c r="F56" s="26">
        <v>272900</v>
      </c>
      <c r="G56" s="24">
        <v>80</v>
      </c>
      <c r="H56" s="30">
        <v>353900</v>
      </c>
      <c r="I56" s="26">
        <v>28312000</v>
      </c>
    </row>
    <row x14ac:dyDescent="0.25" r="57" customHeight="1" ht="39" customFormat="1" s="111">
      <c r="A57" s="24">
        <v>53</v>
      </c>
      <c r="B57" s="31" t="s">
        <v>131</v>
      </c>
      <c r="C57" s="32" t="s">
        <v>132</v>
      </c>
      <c r="D57" s="24">
        <v>55</v>
      </c>
      <c r="E57" s="56" t="s">
        <v>237</v>
      </c>
      <c r="F57" s="26">
        <v>7142200</v>
      </c>
      <c r="G57" s="24">
        <f>19+71</f>
      </c>
      <c r="H57" s="25" t="s">
        <v>133</v>
      </c>
      <c r="I57" s="26">
        <f>3307000+12531500</f>
      </c>
    </row>
    <row x14ac:dyDescent="0.25" r="58" customHeight="1" ht="39" customFormat="1" s="111">
      <c r="A58" s="155">
        <v>54</v>
      </c>
      <c r="B58" s="22" t="s">
        <v>134</v>
      </c>
      <c r="C58" s="23" t="s">
        <v>135</v>
      </c>
      <c r="D58" s="24">
        <v>109</v>
      </c>
      <c r="E58" s="56" t="s">
        <v>187</v>
      </c>
      <c r="F58" s="26">
        <v>20007000</v>
      </c>
      <c r="G58" s="24">
        <v>82</v>
      </c>
      <c r="H58" s="25" t="s">
        <v>136</v>
      </c>
      <c r="I58" s="26">
        <v>19310000</v>
      </c>
    </row>
    <row x14ac:dyDescent="0.25" r="59" customHeight="1" ht="39" customFormat="1" s="111">
      <c r="A59" s="24">
        <v>55</v>
      </c>
      <c r="B59" s="22" t="s">
        <v>137</v>
      </c>
      <c r="C59" s="23" t="s">
        <v>138</v>
      </c>
      <c r="D59" s="24">
        <v>14</v>
      </c>
      <c r="E59" s="56">
        <v>200000</v>
      </c>
      <c r="F59" s="26">
        <v>2512000</v>
      </c>
      <c r="G59" s="24">
        <v>191</v>
      </c>
      <c r="H59" s="25">
        <v>271500</v>
      </c>
      <c r="I59" s="26">
        <v>51785000</v>
      </c>
    </row>
    <row x14ac:dyDescent="0.25" r="60" customHeight="1" ht="39" customFormat="1" s="111">
      <c r="A60" s="155">
        <v>56</v>
      </c>
      <c r="B60" s="22" t="s">
        <v>139</v>
      </c>
      <c r="C60" s="23" t="s">
        <v>140</v>
      </c>
      <c r="D60" s="24">
        <v>3507</v>
      </c>
      <c r="E60" s="56" t="s">
        <v>188</v>
      </c>
      <c r="F60" s="26">
        <v>142338610</v>
      </c>
      <c r="G60" s="24">
        <v>4671</v>
      </c>
      <c r="H60" s="25">
        <v>55500</v>
      </c>
      <c r="I60" s="26">
        <v>259240500</v>
      </c>
    </row>
    <row x14ac:dyDescent="0.25" r="61" customHeight="1" ht="39" customFormat="1" s="111">
      <c r="A61" s="24">
        <v>57</v>
      </c>
      <c r="B61" s="31" t="s">
        <v>141</v>
      </c>
      <c r="C61" s="32" t="s">
        <v>142</v>
      </c>
      <c r="D61" s="24">
        <v>123</v>
      </c>
      <c r="E61" s="56">
        <v>105000</v>
      </c>
      <c r="F61" s="26">
        <v>12915000</v>
      </c>
      <c r="G61" s="24">
        <f>77+215</f>
      </c>
      <c r="H61" s="25" t="s">
        <v>143</v>
      </c>
      <c r="I61" s="26">
        <f>10672500+29992500</f>
      </c>
    </row>
    <row x14ac:dyDescent="0.25" r="62" customHeight="1" ht="39">
      <c r="A62" s="155">
        <v>58</v>
      </c>
      <c r="B62" s="22" t="s">
        <v>144</v>
      </c>
      <c r="C62" s="23" t="s">
        <v>145</v>
      </c>
      <c r="D62" s="24"/>
      <c r="E62" s="59"/>
      <c r="F62" s="26"/>
      <c r="G62" s="24">
        <v>300</v>
      </c>
      <c r="H62" s="25">
        <v>165000</v>
      </c>
      <c r="I62" s="26">
        <v>49500000</v>
      </c>
    </row>
    <row x14ac:dyDescent="0.25" r="63" customHeight="1" ht="39">
      <c r="A63" s="152" t="s">
        <v>194</v>
      </c>
      <c r="B63" s="156"/>
      <c r="C63" s="157"/>
      <c r="D63" s="9">
        <f>SUM(D7:D62)</f>
      </c>
      <c r="E63" s="59"/>
      <c r="F63" s="35">
        <f>SUM(F7:F62)</f>
      </c>
      <c r="G63" s="9">
        <f>SUM(G7:G62)</f>
      </c>
      <c r="H63" s="30"/>
      <c r="I63" s="35">
        <f>SUM(I7:I62)</f>
      </c>
    </row>
    <row x14ac:dyDescent="0.25" r="64" customHeight="1" ht="39">
      <c r="A64" s="40"/>
      <c r="B64" s="40"/>
      <c r="C64" s="72"/>
      <c r="D64" s="40"/>
      <c r="E64" s="41"/>
      <c r="F64" s="38"/>
      <c r="G64" s="40"/>
      <c r="H64" s="41"/>
      <c r="I64" s="42"/>
    </row>
    <row x14ac:dyDescent="0.25" r="65" customHeight="1" ht="39">
      <c r="A65" s="38"/>
      <c r="B65" s="39"/>
      <c r="C65" s="5"/>
      <c r="D65" s="38"/>
      <c r="E65" s="38"/>
      <c r="F65" s="38"/>
      <c r="G65" s="40"/>
      <c r="H65" s="41"/>
      <c r="I65" s="42"/>
    </row>
    <row x14ac:dyDescent="0.25" r="66" customHeight="1" ht="39">
      <c r="A66" s="38"/>
      <c r="B66" s="39"/>
      <c r="C66" s="5"/>
      <c r="D66" s="38"/>
      <c r="E66" s="38"/>
      <c r="F66" s="38"/>
      <c r="G66" s="40"/>
      <c r="H66" s="41"/>
      <c r="I66" s="40"/>
    </row>
    <row x14ac:dyDescent="0.25" r="67" customHeight="1" ht="39">
      <c r="A67" s="38"/>
      <c r="B67" s="39"/>
      <c r="C67" s="5"/>
      <c r="D67" s="38"/>
      <c r="E67" s="38"/>
      <c r="F67" s="38"/>
      <c r="G67" s="40"/>
      <c r="H67" s="41"/>
      <c r="I67" s="42"/>
    </row>
    <row x14ac:dyDescent="0.25" r="68" customHeight="1" ht="39">
      <c r="A68" s="38"/>
      <c r="B68" s="39"/>
      <c r="C68" s="5"/>
      <c r="D68" s="38"/>
      <c r="E68" s="38"/>
      <c r="F68" s="38"/>
      <c r="G68" s="40"/>
      <c r="H68" s="41"/>
      <c r="I68" s="42"/>
    </row>
    <row x14ac:dyDescent="0.25" r="69" customHeight="1" ht="39">
      <c r="A69" s="38"/>
      <c r="B69" s="39"/>
      <c r="C69" s="5"/>
      <c r="D69" s="38"/>
      <c r="E69" s="38"/>
      <c r="F69" s="38"/>
      <c r="G69" s="40"/>
      <c r="H69" s="41"/>
      <c r="I69" s="40"/>
    </row>
    <row x14ac:dyDescent="0.25" r="70" customHeight="1" ht="39">
      <c r="A70" s="38"/>
      <c r="B70" s="39"/>
      <c r="C70" s="5"/>
      <c r="D70" s="38"/>
      <c r="E70" s="38"/>
      <c r="F70" s="38"/>
      <c r="G70" s="40"/>
      <c r="H70" s="41"/>
      <c r="I70" s="42"/>
    </row>
    <row x14ac:dyDescent="0.25" r="71" customHeight="1" ht="39">
      <c r="A71" s="38"/>
      <c r="B71" s="39"/>
      <c r="C71" s="5"/>
      <c r="D71" s="38"/>
      <c r="E71" s="38"/>
      <c r="F71" s="38"/>
      <c r="G71" s="40"/>
      <c r="H71" s="41"/>
      <c r="I71" s="42"/>
    </row>
    <row x14ac:dyDescent="0.25" r="72" customHeight="1" ht="39">
      <c r="A72" s="38"/>
      <c r="B72" s="39"/>
      <c r="C72" s="5"/>
      <c r="D72" s="38"/>
      <c r="E72" s="38"/>
      <c r="F72" s="38"/>
      <c r="G72" s="40"/>
      <c r="H72" s="41"/>
      <c r="I72" s="42"/>
    </row>
    <row x14ac:dyDescent="0.25" r="73" customHeight="1" ht="39">
      <c r="A73" s="38"/>
      <c r="B73" s="39"/>
      <c r="C73" s="5"/>
      <c r="D73" s="38"/>
      <c r="E73" s="38"/>
      <c r="F73" s="38"/>
      <c r="G73" s="40"/>
      <c r="H73" s="41"/>
      <c r="I73" s="42"/>
    </row>
    <row x14ac:dyDescent="0.25" r="74" customHeight="1" ht="39">
      <c r="A74" s="38"/>
      <c r="B74" s="39"/>
      <c r="C74" s="5"/>
      <c r="D74" s="38"/>
      <c r="E74" s="38"/>
      <c r="F74" s="38"/>
      <c r="G74" s="40"/>
      <c r="H74" s="41"/>
      <c r="I74" s="42"/>
    </row>
    <row x14ac:dyDescent="0.25" r="75" customHeight="1" ht="39">
      <c r="A75" s="38"/>
      <c r="B75" s="39"/>
      <c r="C75" s="5"/>
      <c r="D75" s="38"/>
      <c r="E75" s="38"/>
      <c r="F75" s="38"/>
      <c r="G75" s="40"/>
      <c r="H75" s="41"/>
      <c r="I75" s="42"/>
    </row>
    <row x14ac:dyDescent="0.25" r="76" customHeight="1" ht="39">
      <c r="A76" s="38"/>
      <c r="B76" s="39"/>
      <c r="C76" s="5"/>
      <c r="D76" s="38"/>
      <c r="E76" s="38"/>
      <c r="F76" s="38"/>
      <c r="G76" s="40"/>
      <c r="H76" s="41"/>
      <c r="I76" s="42"/>
    </row>
    <row x14ac:dyDescent="0.25" r="77" customHeight="1" ht="39">
      <c r="A77" s="38"/>
      <c r="B77" s="39"/>
      <c r="C77" s="5"/>
      <c r="D77" s="38"/>
      <c r="E77" s="38"/>
      <c r="F77" s="38"/>
      <c r="G77" s="40"/>
      <c r="H77" s="41"/>
      <c r="I77" s="42"/>
    </row>
    <row x14ac:dyDescent="0.25" r="78" customHeight="1" ht="39">
      <c r="A78" s="38"/>
      <c r="B78" s="39"/>
      <c r="C78" s="5"/>
      <c r="D78" s="38"/>
      <c r="E78" s="38"/>
      <c r="F78" s="38"/>
      <c r="G78" s="40"/>
      <c r="H78" s="41"/>
      <c r="I78" s="42"/>
    </row>
    <row x14ac:dyDescent="0.25" r="79" customHeight="1" ht="39">
      <c r="A79" s="38"/>
      <c r="B79" s="39"/>
      <c r="C79" s="5"/>
      <c r="D79" s="38"/>
      <c r="E79" s="38"/>
      <c r="F79" s="38"/>
      <c r="G79" s="40"/>
      <c r="H79" s="41"/>
      <c r="I79" s="42"/>
    </row>
    <row x14ac:dyDescent="0.25" r="80" customHeight="1" ht="39">
      <c r="A80" s="38"/>
      <c r="B80" s="39"/>
      <c r="C80" s="5"/>
      <c r="D80" s="38"/>
      <c r="E80" s="38"/>
      <c r="F80" s="38"/>
      <c r="G80" s="40"/>
      <c r="H80" s="41"/>
      <c r="I80" s="42"/>
    </row>
    <row x14ac:dyDescent="0.25" r="81" customHeight="1" ht="39">
      <c r="A81" s="38"/>
      <c r="B81" s="39"/>
      <c r="C81" s="5"/>
      <c r="D81" s="38"/>
      <c r="E81" s="38"/>
      <c r="F81" s="38"/>
      <c r="G81" s="40"/>
      <c r="H81" s="41"/>
      <c r="I81" s="42"/>
    </row>
    <row x14ac:dyDescent="0.25" r="82" customHeight="1" ht="39">
      <c r="A82" s="38"/>
      <c r="B82" s="39"/>
      <c r="C82" s="5"/>
      <c r="D82" s="38"/>
      <c r="E82" s="38"/>
      <c r="F82" s="38"/>
      <c r="G82" s="40"/>
      <c r="H82" s="41"/>
      <c r="I82" s="42"/>
    </row>
    <row x14ac:dyDescent="0.25" r="83" customHeight="1" ht="39">
      <c r="A83" s="38"/>
      <c r="B83" s="39"/>
      <c r="C83" s="5"/>
      <c r="D83" s="38"/>
      <c r="E83" s="38"/>
      <c r="F83" s="38"/>
      <c r="G83" s="40"/>
      <c r="H83" s="41"/>
      <c r="I83" s="42"/>
    </row>
    <row x14ac:dyDescent="0.25" r="84" customHeight="1" ht="39">
      <c r="A84" s="38"/>
      <c r="B84" s="39"/>
      <c r="C84" s="5"/>
      <c r="D84" s="38"/>
      <c r="E84" s="38"/>
      <c r="F84" s="38"/>
      <c r="G84" s="40"/>
      <c r="H84" s="41"/>
      <c r="I84" s="42"/>
    </row>
    <row x14ac:dyDescent="0.25" r="85" customHeight="1" ht="39">
      <c r="A85" s="38"/>
      <c r="B85" s="39"/>
      <c r="C85" s="5"/>
      <c r="D85" s="38"/>
      <c r="E85" s="38"/>
      <c r="F85" s="38"/>
      <c r="G85" s="40"/>
      <c r="H85" s="41"/>
      <c r="I85" s="42"/>
    </row>
    <row x14ac:dyDescent="0.25" r="86" customHeight="1" ht="39">
      <c r="A86" s="38"/>
      <c r="B86" s="39"/>
      <c r="C86" s="5"/>
      <c r="D86" s="38"/>
      <c r="E86" s="38"/>
      <c r="F86" s="38"/>
      <c r="G86" s="40"/>
      <c r="H86" s="41"/>
      <c r="I86" s="42"/>
    </row>
    <row x14ac:dyDescent="0.25" r="87" customHeight="1" ht="39">
      <c r="A87" s="38"/>
      <c r="B87" s="39"/>
      <c r="C87" s="5"/>
      <c r="D87" s="38"/>
      <c r="E87" s="38"/>
      <c r="F87" s="38"/>
      <c r="G87" s="40"/>
      <c r="H87" s="41"/>
      <c r="I87" s="42"/>
    </row>
    <row x14ac:dyDescent="0.25" r="88" customHeight="1" ht="39">
      <c r="A88" s="38"/>
      <c r="B88" s="39"/>
      <c r="C88" s="5"/>
      <c r="D88" s="38"/>
      <c r="E88" s="38"/>
      <c r="F88" s="38"/>
      <c r="G88" s="40"/>
      <c r="H88" s="41"/>
      <c r="I88" s="42"/>
    </row>
    <row x14ac:dyDescent="0.25" r="89" customHeight="1" ht="39">
      <c r="A89" s="38"/>
      <c r="B89" s="39"/>
      <c r="C89" s="5"/>
      <c r="D89" s="38"/>
      <c r="E89" s="38"/>
      <c r="F89" s="38"/>
      <c r="G89" s="40"/>
      <c r="H89" s="41"/>
      <c r="I89" s="42"/>
    </row>
    <row x14ac:dyDescent="0.25" r="90" customHeight="1" ht="39">
      <c r="A90" s="38"/>
      <c r="B90" s="39"/>
      <c r="C90" s="5"/>
      <c r="D90" s="38"/>
      <c r="E90" s="38"/>
      <c r="F90" s="38"/>
      <c r="G90" s="40"/>
      <c r="H90" s="41"/>
      <c r="I90" s="42"/>
    </row>
    <row x14ac:dyDescent="0.25" r="91" customHeight="1" ht="39">
      <c r="A91" s="38"/>
      <c r="B91" s="39"/>
      <c r="C91" s="5"/>
      <c r="D91" s="38"/>
      <c r="E91" s="38"/>
      <c r="F91" s="38"/>
      <c r="G91" s="40"/>
      <c r="H91" s="41"/>
      <c r="I91" s="42"/>
    </row>
    <row x14ac:dyDescent="0.25" r="92" customHeight="1" ht="39">
      <c r="A92" s="38"/>
      <c r="B92" s="39"/>
      <c r="C92" s="5"/>
      <c r="D92" s="38"/>
      <c r="E92" s="38"/>
      <c r="F92" s="38"/>
      <c r="G92" s="40"/>
      <c r="H92" s="41"/>
      <c r="I92" s="42"/>
    </row>
    <row x14ac:dyDescent="0.25" r="93" customHeight="1" ht="39">
      <c r="A93" s="38"/>
      <c r="B93" s="39"/>
      <c r="C93" s="5"/>
      <c r="D93" s="38"/>
      <c r="E93" s="38"/>
      <c r="F93" s="38"/>
      <c r="G93" s="38"/>
      <c r="H93" s="41"/>
      <c r="I93" s="38"/>
    </row>
  </sheetData>
  <mergeCells count="8">
    <mergeCell ref="A1:I1"/>
    <mergeCell ref="F2:I2"/>
    <mergeCell ref="A3:A4"/>
    <mergeCell ref="B3:B4"/>
    <mergeCell ref="C3:C4"/>
    <mergeCell ref="D3:F3"/>
    <mergeCell ref="G3:I3"/>
    <mergeCell ref="A63:C6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P125"/>
  <sheetViews>
    <sheetView workbookViewId="0" tabSelected="1"/>
  </sheetViews>
  <sheetFormatPr defaultRowHeight="15" x14ac:dyDescent="0.25"/>
  <cols>
    <col min="1" max="1" style="45" width="6.005" customWidth="1" bestFit="1"/>
    <col min="2" max="2" style="46" width="7.719285714285714" customWidth="1" bestFit="1"/>
    <col min="3" max="3" style="47" width="39.86214285714286" customWidth="1" bestFit="1"/>
    <col min="4" max="4" style="45" width="6.433571428571429" customWidth="1" bestFit="1"/>
    <col min="5" max="5" style="45" width="8.719285714285713" customWidth="1" bestFit="1"/>
    <col min="6" max="6" style="45" width="14.147857142857141" customWidth="1" bestFit="1"/>
    <col min="7" max="7" style="109" width="10.576428571428572" customWidth="1" bestFit="1"/>
    <col min="8" max="8" style="45" width="5.576428571428571" customWidth="1" bestFit="1"/>
    <col min="9" max="9" style="45" width="7.862142857142857" customWidth="1" bestFit="1"/>
    <col min="10" max="10" style="45" width="12.147857142857141" customWidth="1" bestFit="1"/>
    <col min="11" max="11" style="45" width="6.433571428571429" customWidth="1" bestFit="1"/>
    <col min="12" max="12" style="45" width="8.719285714285713" customWidth="1" bestFit="1"/>
    <col min="13" max="13" style="45" width="11.862142857142858" customWidth="1" bestFit="1"/>
    <col min="14" max="14" style="109" width="9.147857142857141" customWidth="1" bestFit="1"/>
    <col min="15" max="15" style="45" width="5.576428571428571" customWidth="1" bestFit="1"/>
    <col min="16" max="16" style="45" width="7.862142857142857" customWidth="1" bestFit="1"/>
    <col min="17" max="17" style="45" width="12.147857142857141" customWidth="1" bestFit="1"/>
    <col min="18" max="18" style="45" width="6.433571428571429" customWidth="1" bestFit="1"/>
    <col min="19" max="19" style="45" width="8.719285714285713" customWidth="1" bestFit="1"/>
    <col min="20" max="20" style="45" width="14.005" customWidth="1" bestFit="1"/>
    <col min="21" max="21" style="109" width="8.719285714285713" customWidth="1" bestFit="1"/>
    <col min="22" max="22" style="45" width="5.576428571428571" customWidth="1" bestFit="1"/>
    <col min="23" max="23" style="45" width="7.862142857142857" customWidth="1" bestFit="1"/>
    <col min="24" max="24" style="45" width="12.147857142857141" customWidth="1" bestFit="1"/>
    <col min="25" max="25" style="45" width="6.433571428571429" customWidth="1" bestFit="1"/>
    <col min="26" max="26" style="45" width="8.719285714285713" customWidth="1" bestFit="1"/>
    <col min="27" max="27" style="45" width="13.43357142857143" customWidth="1" bestFit="1"/>
    <col min="28" max="28" style="45" width="5.576428571428571" customWidth="1" bestFit="1"/>
    <col min="29" max="29" style="45" width="7.862142857142857" customWidth="1" bestFit="1"/>
    <col min="30" max="30" style="45" width="12.147857142857141" customWidth="1" bestFit="1"/>
    <col min="31" max="31" style="45" width="6.433571428571429" customWidth="1" bestFit="1"/>
    <col min="32" max="32" style="45" width="9.005" customWidth="1" bestFit="1"/>
    <col min="33" max="33" style="45" width="13.719285714285713" customWidth="1" bestFit="1"/>
    <col min="34" max="34" style="45" width="5.576428571428571" customWidth="1" bestFit="1"/>
    <col min="35" max="35" style="45" width="7.862142857142857" customWidth="1" bestFit="1"/>
    <col min="36" max="36" style="45" width="12.147857142857141" customWidth="1" bestFit="1"/>
    <col min="37" max="37" style="45" width="6.433571428571429" customWidth="1" bestFit="1"/>
    <col min="38" max="38" style="45" width="9.005" customWidth="1" bestFit="1"/>
    <col min="39" max="39" style="45" width="11.862142857142858" customWidth="1" bestFit="1"/>
    <col min="40" max="40" style="45" width="5.576428571428571" customWidth="1" bestFit="1"/>
    <col min="41" max="41" style="45" width="7.862142857142857" customWidth="1" bestFit="1"/>
    <col min="42" max="42" style="45" width="13.862142857142858" customWidth="1" bestFit="1"/>
  </cols>
  <sheetData>
    <row x14ac:dyDescent="0.25" r="1" customHeight="1" ht="23.25">
      <c r="A1" s="116" t="s">
        <v>232</v>
      </c>
      <c r="B1" s="117"/>
      <c r="C1" s="118"/>
      <c r="D1" s="116"/>
      <c r="E1" s="116"/>
      <c r="F1" s="116"/>
      <c r="G1" s="119"/>
      <c r="H1" s="116"/>
      <c r="I1" s="116"/>
      <c r="J1" s="116"/>
      <c r="K1" s="116"/>
      <c r="L1" s="116"/>
      <c r="M1" s="116"/>
      <c r="N1" s="119"/>
      <c r="O1" s="116"/>
      <c r="P1" s="116"/>
      <c r="Q1" s="116"/>
      <c r="R1" s="116"/>
      <c r="S1" s="116"/>
      <c r="T1" s="116"/>
      <c r="U1" s="119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</row>
    <row x14ac:dyDescent="0.25" r="2" customHeight="1" ht="23.25">
      <c r="A2" s="116"/>
      <c r="B2" s="120"/>
      <c r="C2" s="118"/>
      <c r="D2" s="4"/>
      <c r="E2" s="110"/>
      <c r="F2" s="38"/>
      <c r="G2" s="79"/>
      <c r="H2" s="4"/>
      <c r="I2" s="110"/>
      <c r="J2" s="38"/>
      <c r="K2" s="4"/>
      <c r="L2" s="80"/>
      <c r="M2" s="42"/>
      <c r="N2" s="77"/>
      <c r="O2" s="38"/>
      <c r="P2" s="121"/>
      <c r="Q2" s="38"/>
      <c r="R2" s="4"/>
      <c r="S2" s="121"/>
      <c r="T2" s="38"/>
      <c r="U2" s="79"/>
      <c r="V2" s="38"/>
      <c r="W2" s="121"/>
      <c r="X2" s="38"/>
      <c r="Y2" s="4"/>
      <c r="Z2" s="121"/>
      <c r="AA2" s="38"/>
      <c r="AB2" s="38"/>
      <c r="AC2" s="121"/>
      <c r="AD2" s="38"/>
      <c r="AE2" s="38"/>
      <c r="AF2" s="110"/>
      <c r="AG2" s="38"/>
      <c r="AH2" s="38"/>
      <c r="AI2" s="121"/>
      <c r="AJ2" s="38"/>
      <c r="AK2" s="4"/>
      <c r="AL2" s="110"/>
      <c r="AM2" s="38"/>
      <c r="AN2" s="38"/>
      <c r="AO2" s="110"/>
      <c r="AP2" s="38"/>
    </row>
    <row x14ac:dyDescent="0.25" r="3" customHeight="1" ht="27">
      <c r="A3" s="122" t="s">
        <v>191</v>
      </c>
      <c r="B3" s="123" t="s">
        <v>2</v>
      </c>
      <c r="C3" s="124" t="s">
        <v>3</v>
      </c>
      <c r="D3" s="125">
        <v>44197</v>
      </c>
      <c r="E3" s="125"/>
      <c r="F3" s="125"/>
      <c r="G3" s="125"/>
      <c r="H3" s="126">
        <v>44562</v>
      </c>
      <c r="I3" s="126"/>
      <c r="J3" s="126"/>
      <c r="K3" s="125">
        <v>44593</v>
      </c>
      <c r="L3" s="125"/>
      <c r="M3" s="125"/>
      <c r="N3" s="125"/>
      <c r="O3" s="126">
        <v>44593</v>
      </c>
      <c r="P3" s="126"/>
      <c r="Q3" s="126"/>
      <c r="R3" s="125">
        <v>44621</v>
      </c>
      <c r="S3" s="125"/>
      <c r="T3" s="125"/>
      <c r="U3" s="125"/>
      <c r="V3" s="126">
        <v>44621</v>
      </c>
      <c r="W3" s="126"/>
      <c r="X3" s="126"/>
      <c r="Y3" s="125">
        <v>44652</v>
      </c>
      <c r="Z3" s="125"/>
      <c r="AA3" s="125"/>
      <c r="AB3" s="126">
        <v>44652</v>
      </c>
      <c r="AC3" s="126"/>
      <c r="AD3" s="126"/>
      <c r="AE3" s="125">
        <v>44682</v>
      </c>
      <c r="AF3" s="125"/>
      <c r="AG3" s="125"/>
      <c r="AH3" s="126">
        <v>44682</v>
      </c>
      <c r="AI3" s="126"/>
      <c r="AJ3" s="126"/>
      <c r="AK3" s="125">
        <v>44713</v>
      </c>
      <c r="AL3" s="125"/>
      <c r="AM3" s="125"/>
      <c r="AN3" s="126">
        <v>44713</v>
      </c>
      <c r="AO3" s="126"/>
      <c r="AP3" s="126"/>
    </row>
    <row x14ac:dyDescent="0.25" r="4" customHeight="1" ht="38.25" customFormat="1" s="111">
      <c r="A4" s="127"/>
      <c r="B4" s="127"/>
      <c r="C4" s="128"/>
      <c r="D4" s="13" t="s">
        <v>9</v>
      </c>
      <c r="E4" s="55" t="s">
        <v>10</v>
      </c>
      <c r="F4" s="13" t="s">
        <v>11</v>
      </c>
      <c r="G4" s="87" t="s">
        <v>197</v>
      </c>
      <c r="H4" s="129" t="s">
        <v>9</v>
      </c>
      <c r="I4" s="130" t="s">
        <v>10</v>
      </c>
      <c r="J4" s="129" t="s">
        <v>11</v>
      </c>
      <c r="K4" s="13" t="s">
        <v>9</v>
      </c>
      <c r="L4" s="55" t="s">
        <v>10</v>
      </c>
      <c r="M4" s="13" t="s">
        <v>11</v>
      </c>
      <c r="N4" s="87" t="s">
        <v>197</v>
      </c>
      <c r="O4" s="129" t="s">
        <v>9</v>
      </c>
      <c r="P4" s="130" t="s">
        <v>10</v>
      </c>
      <c r="Q4" s="129" t="s">
        <v>11</v>
      </c>
      <c r="R4" s="13" t="s">
        <v>9</v>
      </c>
      <c r="S4" s="55" t="s">
        <v>10</v>
      </c>
      <c r="T4" s="13" t="s">
        <v>11</v>
      </c>
      <c r="U4" s="87" t="s">
        <v>197</v>
      </c>
      <c r="V4" s="129" t="s">
        <v>9</v>
      </c>
      <c r="W4" s="130" t="s">
        <v>10</v>
      </c>
      <c r="X4" s="129" t="s">
        <v>11</v>
      </c>
      <c r="Y4" s="13" t="s">
        <v>9</v>
      </c>
      <c r="Z4" s="55" t="s">
        <v>10</v>
      </c>
      <c r="AA4" s="13" t="s">
        <v>11</v>
      </c>
      <c r="AB4" s="129" t="s">
        <v>9</v>
      </c>
      <c r="AC4" s="130" t="s">
        <v>10</v>
      </c>
      <c r="AD4" s="129" t="s">
        <v>11</v>
      </c>
      <c r="AE4" s="13" t="s">
        <v>9</v>
      </c>
      <c r="AF4" s="55" t="s">
        <v>10</v>
      </c>
      <c r="AG4" s="13" t="s">
        <v>11</v>
      </c>
      <c r="AH4" s="129" t="s">
        <v>9</v>
      </c>
      <c r="AI4" s="130" t="s">
        <v>10</v>
      </c>
      <c r="AJ4" s="129" t="s">
        <v>11</v>
      </c>
      <c r="AK4" s="13" t="s">
        <v>9</v>
      </c>
      <c r="AL4" s="55" t="s">
        <v>10</v>
      </c>
      <c r="AM4" s="13" t="s">
        <v>11</v>
      </c>
      <c r="AN4" s="129" t="s">
        <v>9</v>
      </c>
      <c r="AO4" s="130" t="s">
        <v>10</v>
      </c>
      <c r="AP4" s="129" t="s">
        <v>11</v>
      </c>
    </row>
    <row x14ac:dyDescent="0.25" r="5" customHeight="1" ht="23.25">
      <c r="A5" s="131">
        <v>1</v>
      </c>
      <c r="B5" s="132" t="s">
        <v>12</v>
      </c>
      <c r="C5" s="133" t="s">
        <v>200</v>
      </c>
      <c r="D5" s="24">
        <v>110</v>
      </c>
      <c r="E5" s="57">
        <v>15000</v>
      </c>
      <c r="F5" s="26">
        <f>D5*E5*98%</f>
      </c>
      <c r="G5" s="90">
        <v>0.02</v>
      </c>
      <c r="H5" s="134">
        <v>100</v>
      </c>
      <c r="I5" s="135">
        <v>20000</v>
      </c>
      <c r="J5" s="136">
        <f>H5*I5</f>
      </c>
      <c r="K5" s="24"/>
      <c r="L5" s="57"/>
      <c r="M5" s="26"/>
      <c r="N5" s="90"/>
      <c r="O5" s="134">
        <v>50</v>
      </c>
      <c r="P5" s="135">
        <v>20000</v>
      </c>
      <c r="Q5" s="136">
        <f>O5*P5</f>
      </c>
      <c r="R5" s="21">
        <v>30</v>
      </c>
      <c r="S5" s="57">
        <v>15000</v>
      </c>
      <c r="T5" s="21">
        <f>R5*S5*98%</f>
      </c>
      <c r="U5" s="90">
        <v>0.02</v>
      </c>
      <c r="V5" s="134">
        <v>100</v>
      </c>
      <c r="W5" s="135">
        <v>20000</v>
      </c>
      <c r="X5" s="136">
        <f>V5*W5</f>
      </c>
      <c r="Y5" s="21"/>
      <c r="Z5" s="57"/>
      <c r="AA5" s="21"/>
      <c r="AB5" s="134">
        <v>170</v>
      </c>
      <c r="AC5" s="135">
        <v>20000</v>
      </c>
      <c r="AD5" s="136">
        <f>AB5*AC5</f>
      </c>
      <c r="AE5" s="21">
        <v>150</v>
      </c>
      <c r="AF5" s="57">
        <v>15000</v>
      </c>
      <c r="AG5" s="21">
        <f>AE5*AF5</f>
      </c>
      <c r="AH5" s="134">
        <v>34</v>
      </c>
      <c r="AI5" s="135">
        <v>20000</v>
      </c>
      <c r="AJ5" s="136">
        <f>AH5*AI5</f>
      </c>
      <c r="AK5" s="24">
        <v>120</v>
      </c>
      <c r="AL5" s="57">
        <v>15000</v>
      </c>
      <c r="AM5" s="26">
        <f>AK5*AL5</f>
      </c>
      <c r="AN5" s="134">
        <v>176</v>
      </c>
      <c r="AO5" s="135">
        <v>20000</v>
      </c>
      <c r="AP5" s="134">
        <f>AN5*AO5</f>
      </c>
    </row>
    <row x14ac:dyDescent="0.25" r="6" customHeight="1" ht="23.25">
      <c r="A6" s="131">
        <v>2</v>
      </c>
      <c r="B6" s="132" t="s">
        <v>14</v>
      </c>
      <c r="C6" s="133" t="s">
        <v>201</v>
      </c>
      <c r="D6" s="24">
        <v>50</v>
      </c>
      <c r="E6" s="57">
        <v>14000</v>
      </c>
      <c r="F6" s="26">
        <f>D6*E6*98%</f>
      </c>
      <c r="G6" s="90">
        <v>0.02</v>
      </c>
      <c r="H6" s="134">
        <v>50</v>
      </c>
      <c r="I6" s="135">
        <v>20000</v>
      </c>
      <c r="J6" s="136">
        <f>H6*I6</f>
      </c>
      <c r="K6" s="24"/>
      <c r="L6" s="57"/>
      <c r="M6" s="26"/>
      <c r="N6" s="90"/>
      <c r="O6" s="134"/>
      <c r="P6" s="135"/>
      <c r="Q6" s="136"/>
      <c r="R6" s="21">
        <v>30</v>
      </c>
      <c r="S6" s="57">
        <v>14000</v>
      </c>
      <c r="T6" s="21">
        <f>R6*S6*98%</f>
      </c>
      <c r="U6" s="90">
        <v>0.02</v>
      </c>
      <c r="V6" s="134">
        <v>50</v>
      </c>
      <c r="W6" s="135">
        <v>20000</v>
      </c>
      <c r="X6" s="136">
        <f>V6*W6</f>
      </c>
      <c r="Y6" s="21"/>
      <c r="Z6" s="57"/>
      <c r="AA6" s="21"/>
      <c r="AB6" s="134">
        <v>19</v>
      </c>
      <c r="AC6" s="135">
        <v>20000</v>
      </c>
      <c r="AD6" s="136">
        <f>AB6*AC6</f>
      </c>
      <c r="AE6" s="21">
        <v>100</v>
      </c>
      <c r="AF6" s="57">
        <v>14000</v>
      </c>
      <c r="AG6" s="21">
        <f>AE6*AF6</f>
      </c>
      <c r="AH6" s="134">
        <v>41</v>
      </c>
      <c r="AI6" s="135">
        <v>20000</v>
      </c>
      <c r="AJ6" s="136">
        <f>AH6*AI6</f>
      </c>
      <c r="AK6" s="24">
        <v>110</v>
      </c>
      <c r="AL6" s="57">
        <v>14000</v>
      </c>
      <c r="AM6" s="26">
        <f>AK6*AL6</f>
      </c>
      <c r="AN6" s="134">
        <v>100</v>
      </c>
      <c r="AO6" s="135">
        <v>20000</v>
      </c>
      <c r="AP6" s="134">
        <f>AN6*AO6</f>
      </c>
    </row>
    <row x14ac:dyDescent="0.25" r="7" customHeight="1" ht="24.75">
      <c r="A7" s="131">
        <v>3</v>
      </c>
      <c r="B7" s="132" t="s">
        <v>17</v>
      </c>
      <c r="C7" s="133" t="s">
        <v>18</v>
      </c>
      <c r="D7" s="13"/>
      <c r="E7" s="55"/>
      <c r="F7" s="13"/>
      <c r="G7" s="87"/>
      <c r="H7" s="129"/>
      <c r="I7" s="130"/>
      <c r="J7" s="129"/>
      <c r="K7" s="24">
        <v>130</v>
      </c>
      <c r="L7" s="57">
        <v>36500</v>
      </c>
      <c r="M7" s="26">
        <f>K7*L7*98%</f>
      </c>
      <c r="N7" s="90">
        <v>0.02</v>
      </c>
      <c r="O7" s="134">
        <v>127</v>
      </c>
      <c r="P7" s="135">
        <v>52500</v>
      </c>
      <c r="Q7" s="136">
        <f>O7*P7</f>
      </c>
      <c r="R7" s="21">
        <f>50+30+20</f>
      </c>
      <c r="S7" s="57">
        <v>36500</v>
      </c>
      <c r="T7" s="21">
        <f>R7*S7*98%</f>
      </c>
      <c r="U7" s="90">
        <v>0.02</v>
      </c>
      <c r="V7" s="134">
        <v>23</v>
      </c>
      <c r="W7" s="135">
        <v>52500</v>
      </c>
      <c r="X7" s="136">
        <f>V7*W7</f>
      </c>
      <c r="Y7" s="13"/>
      <c r="Z7" s="55"/>
      <c r="AA7" s="13"/>
      <c r="AB7" s="134">
        <v>50</v>
      </c>
      <c r="AC7" s="135">
        <v>52500</v>
      </c>
      <c r="AD7" s="136">
        <f>AB7*AC7</f>
      </c>
      <c r="AE7" s="13"/>
      <c r="AF7" s="55"/>
      <c r="AG7" s="13"/>
      <c r="AH7" s="129"/>
      <c r="AI7" s="130"/>
      <c r="AJ7" s="129"/>
      <c r="AK7" s="24">
        <v>40</v>
      </c>
      <c r="AL7" s="57">
        <v>40200</v>
      </c>
      <c r="AM7" s="26">
        <f>AK7*AL7</f>
      </c>
      <c r="AN7" s="129">
        <v>50</v>
      </c>
      <c r="AO7" s="130">
        <v>52500</v>
      </c>
      <c r="AP7" s="134">
        <f>AN7*AO7</f>
      </c>
    </row>
    <row x14ac:dyDescent="0.25" r="8" customHeight="1" ht="23.25">
      <c r="A8" s="131">
        <v>4</v>
      </c>
      <c r="B8" s="132" t="s">
        <v>19</v>
      </c>
      <c r="C8" s="133" t="s">
        <v>20</v>
      </c>
      <c r="D8" s="24">
        <v>1030</v>
      </c>
      <c r="E8" s="57">
        <v>37000</v>
      </c>
      <c r="F8" s="26">
        <f>D8*E8*98%</f>
      </c>
      <c r="G8" s="90">
        <v>0.02</v>
      </c>
      <c r="H8" s="134">
        <v>518</v>
      </c>
      <c r="I8" s="135">
        <v>53000</v>
      </c>
      <c r="J8" s="136">
        <f>H8*I8</f>
      </c>
      <c r="K8" s="24">
        <v>390</v>
      </c>
      <c r="L8" s="57">
        <v>37000</v>
      </c>
      <c r="M8" s="26">
        <f>K8*L8*98%</f>
      </c>
      <c r="N8" s="90">
        <v>0.02</v>
      </c>
      <c r="O8" s="134">
        <v>293</v>
      </c>
      <c r="P8" s="135">
        <v>53000</v>
      </c>
      <c r="Q8" s="136">
        <f>O8*P8</f>
      </c>
      <c r="R8" s="21">
        <f>20+30+30+30+10+20+30+8+30+30+20+15+15+15+10</f>
      </c>
      <c r="S8" s="57">
        <v>37000</v>
      </c>
      <c r="T8" s="21">
        <f>R8*S8*98%</f>
      </c>
      <c r="U8" s="90">
        <v>0.02</v>
      </c>
      <c r="V8" s="134">
        <v>416</v>
      </c>
      <c r="W8" s="135">
        <v>53000</v>
      </c>
      <c r="X8" s="136">
        <f>V8*W8</f>
      </c>
      <c r="Y8" s="21">
        <v>267</v>
      </c>
      <c r="Z8" s="57">
        <v>37000</v>
      </c>
      <c r="AA8" s="21">
        <f>Y8*Z8</f>
      </c>
      <c r="AB8" s="134">
        <v>262</v>
      </c>
      <c r="AC8" s="135">
        <v>53000</v>
      </c>
      <c r="AD8" s="136">
        <f>AB8*AC8</f>
      </c>
      <c r="AE8" s="21">
        <v>603</v>
      </c>
      <c r="AF8" s="57">
        <v>40700</v>
      </c>
      <c r="AG8" s="21">
        <f>AE8*AF8</f>
      </c>
      <c r="AH8" s="134">
        <v>262</v>
      </c>
      <c r="AI8" s="135">
        <v>53000</v>
      </c>
      <c r="AJ8" s="136">
        <f>AH8*AI8</f>
      </c>
      <c r="AK8" s="24">
        <v>555</v>
      </c>
      <c r="AL8" s="57">
        <v>40700</v>
      </c>
      <c r="AM8" s="26">
        <f>AK8*AL8</f>
      </c>
      <c r="AN8" s="134">
        <v>150</v>
      </c>
      <c r="AO8" s="135">
        <v>53000</v>
      </c>
      <c r="AP8" s="134">
        <f>AN8*AO8</f>
      </c>
    </row>
    <row x14ac:dyDescent="0.25" r="9" customHeight="1" ht="23.25">
      <c r="A9" s="131">
        <v>5</v>
      </c>
      <c r="B9" s="132" t="s">
        <v>21</v>
      </c>
      <c r="C9" s="133" t="s">
        <v>202</v>
      </c>
      <c r="D9" s="24">
        <v>265</v>
      </c>
      <c r="E9" s="57">
        <v>42500</v>
      </c>
      <c r="F9" s="26">
        <f>D9*E9*98%</f>
      </c>
      <c r="G9" s="90">
        <v>0.02</v>
      </c>
      <c r="H9" s="134">
        <v>199</v>
      </c>
      <c r="I9" s="135">
        <v>62500</v>
      </c>
      <c r="J9" s="136">
        <f>H9*I9</f>
      </c>
      <c r="K9" s="24">
        <v>80</v>
      </c>
      <c r="L9" s="57">
        <v>42500</v>
      </c>
      <c r="M9" s="26">
        <f>K9*L9*98%</f>
      </c>
      <c r="N9" s="90">
        <v>0.02</v>
      </c>
      <c r="O9" s="134">
        <v>41</v>
      </c>
      <c r="P9" s="135">
        <v>62500</v>
      </c>
      <c r="Q9" s="136">
        <f>O9*P9</f>
      </c>
      <c r="R9" s="21">
        <f>8+30+30+15+25</f>
      </c>
      <c r="S9" s="57">
        <v>42500</v>
      </c>
      <c r="T9" s="21">
        <f>R9*S9*98%</f>
      </c>
      <c r="U9" s="90">
        <v>0.02</v>
      </c>
      <c r="V9" s="134">
        <v>250</v>
      </c>
      <c r="W9" s="135">
        <v>62500</v>
      </c>
      <c r="X9" s="136">
        <f>V9*W9</f>
      </c>
      <c r="Y9" s="21">
        <v>150</v>
      </c>
      <c r="Z9" s="57">
        <v>42500</v>
      </c>
      <c r="AA9" s="21">
        <f>Y9*Z9</f>
      </c>
      <c r="AB9" s="134">
        <v>100</v>
      </c>
      <c r="AC9" s="135">
        <v>62500</v>
      </c>
      <c r="AD9" s="136">
        <f>AB9*AC9</f>
      </c>
      <c r="AE9" s="21">
        <v>270</v>
      </c>
      <c r="AF9" s="57">
        <v>46800</v>
      </c>
      <c r="AG9" s="21">
        <f>AE9*AF9</f>
      </c>
      <c r="AH9" s="134">
        <v>139</v>
      </c>
      <c r="AI9" s="135">
        <v>62500</v>
      </c>
      <c r="AJ9" s="136">
        <f>AH9*AI9</f>
      </c>
      <c r="AK9" s="24">
        <v>130</v>
      </c>
      <c r="AL9" s="57">
        <v>46800</v>
      </c>
      <c r="AM9" s="26">
        <f>AK9*AL9</f>
      </c>
      <c r="AN9" s="134">
        <v>211</v>
      </c>
      <c r="AO9" s="135">
        <v>62500</v>
      </c>
      <c r="AP9" s="134">
        <f>AN9*AO9</f>
      </c>
    </row>
    <row x14ac:dyDescent="0.25" r="10" customHeight="1" ht="23.25">
      <c r="A10" s="131">
        <v>6</v>
      </c>
      <c r="B10" s="132" t="s">
        <v>23</v>
      </c>
      <c r="C10" s="133" t="s">
        <v>203</v>
      </c>
      <c r="D10" s="24"/>
      <c r="E10" s="57"/>
      <c r="F10" s="26"/>
      <c r="G10" s="90"/>
      <c r="H10" s="134">
        <v>9</v>
      </c>
      <c r="I10" s="135">
        <v>90500</v>
      </c>
      <c r="J10" s="136">
        <f>H10*I10</f>
      </c>
      <c r="K10" s="24"/>
      <c r="L10" s="57"/>
      <c r="M10" s="26"/>
      <c r="N10" s="90"/>
      <c r="O10" s="134"/>
      <c r="P10" s="135"/>
      <c r="Q10" s="136"/>
      <c r="R10" s="21">
        <v>4</v>
      </c>
      <c r="S10" s="57">
        <v>52000</v>
      </c>
      <c r="T10" s="21">
        <f>R10*S10*98%</f>
      </c>
      <c r="U10" s="90">
        <v>0.02</v>
      </c>
      <c r="V10" s="134">
        <v>9</v>
      </c>
      <c r="W10" s="135">
        <v>90500</v>
      </c>
      <c r="X10" s="136">
        <f>V10*W10</f>
      </c>
      <c r="Y10" s="21"/>
      <c r="Z10" s="57"/>
      <c r="AA10" s="21"/>
      <c r="AB10" s="134">
        <v>50</v>
      </c>
      <c r="AC10" s="135">
        <v>90500</v>
      </c>
      <c r="AD10" s="136">
        <f>AB10*AC10</f>
      </c>
      <c r="AE10" s="21"/>
      <c r="AF10" s="57"/>
      <c r="AG10" s="21"/>
      <c r="AH10" s="134"/>
      <c r="AI10" s="135"/>
      <c r="AJ10" s="136"/>
      <c r="AK10" s="24">
        <v>76</v>
      </c>
      <c r="AL10" s="57">
        <v>62400</v>
      </c>
      <c r="AM10" s="26">
        <f>AK10*AL10</f>
      </c>
      <c r="AN10" s="134">
        <v>12</v>
      </c>
      <c r="AO10" s="135">
        <v>90500</v>
      </c>
      <c r="AP10" s="134">
        <f>AN10*AO10</f>
      </c>
    </row>
    <row x14ac:dyDescent="0.25" r="11" customHeight="1" ht="23.25">
      <c r="A11" s="131">
        <v>7</v>
      </c>
      <c r="B11" s="132" t="s">
        <v>25</v>
      </c>
      <c r="C11" s="133" t="s">
        <v>26</v>
      </c>
      <c r="D11" s="24"/>
      <c r="E11" s="57"/>
      <c r="F11" s="26"/>
      <c r="G11" s="90"/>
      <c r="H11" s="134">
        <v>50</v>
      </c>
      <c r="I11" s="135">
        <v>64000</v>
      </c>
      <c r="J11" s="136">
        <f>H11*I11</f>
      </c>
      <c r="K11" s="24"/>
      <c r="L11" s="57"/>
      <c r="M11" s="26"/>
      <c r="N11" s="90"/>
      <c r="O11" s="134"/>
      <c r="P11" s="135"/>
      <c r="Q11" s="136"/>
      <c r="R11" s="21">
        <v>1</v>
      </c>
      <c r="S11" s="57">
        <v>43500</v>
      </c>
      <c r="T11" s="21">
        <f>R11*S11*98%</f>
      </c>
      <c r="U11" s="90">
        <v>0.02</v>
      </c>
      <c r="V11" s="134">
        <v>78</v>
      </c>
      <c r="W11" s="135">
        <v>64000</v>
      </c>
      <c r="X11" s="136">
        <f>V11*W11</f>
      </c>
      <c r="Y11" s="21"/>
      <c r="Z11" s="57"/>
      <c r="AA11" s="21"/>
      <c r="AB11" s="134">
        <v>41</v>
      </c>
      <c r="AC11" s="135">
        <v>64000</v>
      </c>
      <c r="AD11" s="136">
        <f>AB11*AC11</f>
      </c>
      <c r="AE11" s="21"/>
      <c r="AF11" s="57"/>
      <c r="AG11" s="21"/>
      <c r="AH11" s="134">
        <v>31</v>
      </c>
      <c r="AI11" s="135">
        <v>64000</v>
      </c>
      <c r="AJ11" s="136">
        <f>AH11*AI11</f>
      </c>
      <c r="AK11" s="24">
        <v>40</v>
      </c>
      <c r="AL11" s="57">
        <v>47900</v>
      </c>
      <c r="AM11" s="26">
        <f>AK11*AL11</f>
      </c>
      <c r="AN11" s="134"/>
      <c r="AO11" s="135"/>
      <c r="AP11" s="134">
        <f>AN11*AO11</f>
      </c>
    </row>
    <row x14ac:dyDescent="0.25" r="12" customHeight="1" ht="23.25">
      <c r="A12" s="131">
        <v>8</v>
      </c>
      <c r="B12" s="132" t="s">
        <v>27</v>
      </c>
      <c r="C12" s="133" t="s">
        <v>28</v>
      </c>
      <c r="D12" s="24">
        <v>80</v>
      </c>
      <c r="E12" s="57">
        <v>44000</v>
      </c>
      <c r="F12" s="26">
        <f>D12*E12*98%</f>
      </c>
      <c r="G12" s="90">
        <v>0.02</v>
      </c>
      <c r="H12" s="134">
        <v>193</v>
      </c>
      <c r="I12" s="135">
        <v>64500</v>
      </c>
      <c r="J12" s="136">
        <f>H12*I12</f>
      </c>
      <c r="K12" s="24"/>
      <c r="L12" s="57"/>
      <c r="M12" s="26"/>
      <c r="N12" s="90"/>
      <c r="O12" s="134">
        <v>134</v>
      </c>
      <c r="P12" s="135">
        <v>64500</v>
      </c>
      <c r="Q12" s="136">
        <f>O12*P12</f>
      </c>
      <c r="R12" s="21">
        <f>19+11+25+31+2+10+25</f>
      </c>
      <c r="S12" s="57">
        <v>44000</v>
      </c>
      <c r="T12" s="21">
        <f>R12*S12*98%</f>
      </c>
      <c r="U12" s="90">
        <v>0.02</v>
      </c>
      <c r="V12" s="134">
        <v>200</v>
      </c>
      <c r="W12" s="135">
        <v>64500</v>
      </c>
      <c r="X12" s="136">
        <f>V12*W12</f>
      </c>
      <c r="Y12" s="21">
        <v>78</v>
      </c>
      <c r="Z12" s="57">
        <v>44000</v>
      </c>
      <c r="AA12" s="21">
        <f>Y12*Z12</f>
      </c>
      <c r="AB12" s="134">
        <v>151</v>
      </c>
      <c r="AC12" s="135">
        <v>64500</v>
      </c>
      <c r="AD12" s="136">
        <f>AB12*AC12</f>
      </c>
      <c r="AE12" s="21">
        <v>340</v>
      </c>
      <c r="AF12" s="57">
        <v>48400</v>
      </c>
      <c r="AG12" s="21">
        <f>AE12*AF12</f>
      </c>
      <c r="AH12" s="134">
        <v>72</v>
      </c>
      <c r="AI12" s="135">
        <v>64500</v>
      </c>
      <c r="AJ12" s="136">
        <f>AH12*AI12</f>
      </c>
      <c r="AK12" s="24">
        <v>92</v>
      </c>
      <c r="AL12" s="57">
        <v>48400</v>
      </c>
      <c r="AM12" s="26">
        <f>AK12*AL12</f>
      </c>
      <c r="AN12" s="134"/>
      <c r="AO12" s="135"/>
      <c r="AP12" s="134">
        <f>AN12*AO12</f>
      </c>
    </row>
    <row x14ac:dyDescent="0.25" r="13" customHeight="1" ht="23.25">
      <c r="A13" s="131">
        <v>9</v>
      </c>
      <c r="B13" s="132" t="s">
        <v>29</v>
      </c>
      <c r="C13" s="133" t="s">
        <v>30</v>
      </c>
      <c r="D13" s="24">
        <v>50</v>
      </c>
      <c r="E13" s="57">
        <v>49000</v>
      </c>
      <c r="F13" s="26">
        <f>D13*E13*98%</f>
      </c>
      <c r="G13" s="90">
        <v>0.02</v>
      </c>
      <c r="H13" s="134"/>
      <c r="I13" s="135"/>
      <c r="J13" s="136"/>
      <c r="K13" s="24"/>
      <c r="L13" s="57"/>
      <c r="M13" s="26"/>
      <c r="N13" s="90"/>
      <c r="O13" s="134"/>
      <c r="P13" s="135"/>
      <c r="Q13" s="136"/>
      <c r="R13" s="21"/>
      <c r="S13" s="57"/>
      <c r="T13" s="21"/>
      <c r="U13" s="90"/>
      <c r="V13" s="134"/>
      <c r="W13" s="135"/>
      <c r="X13" s="136"/>
      <c r="Y13" s="21"/>
      <c r="Z13" s="57"/>
      <c r="AA13" s="21"/>
      <c r="AB13" s="134"/>
      <c r="AC13" s="135"/>
      <c r="AD13" s="136"/>
      <c r="AE13" s="21"/>
      <c r="AF13" s="57"/>
      <c r="AG13" s="21"/>
      <c r="AH13" s="134"/>
      <c r="AI13" s="135"/>
      <c r="AJ13" s="136"/>
      <c r="AK13" s="24"/>
      <c r="AL13" s="57"/>
      <c r="AM13" s="26"/>
      <c r="AN13" s="134"/>
      <c r="AO13" s="135"/>
      <c r="AP13" s="134">
        <f>AN13*AO13</f>
      </c>
    </row>
    <row x14ac:dyDescent="0.25" r="14" customHeight="1" ht="23.25">
      <c r="A14" s="131">
        <v>10</v>
      </c>
      <c r="B14" s="132" t="s">
        <v>32</v>
      </c>
      <c r="C14" s="133" t="s">
        <v>33</v>
      </c>
      <c r="D14" s="24"/>
      <c r="E14" s="57"/>
      <c r="F14" s="26"/>
      <c r="G14" s="90"/>
      <c r="H14" s="134">
        <v>67</v>
      </c>
      <c r="I14" s="135">
        <v>72500</v>
      </c>
      <c r="J14" s="136">
        <f>H14*I14</f>
      </c>
      <c r="K14" s="24"/>
      <c r="L14" s="57"/>
      <c r="M14" s="26"/>
      <c r="N14" s="90"/>
      <c r="O14" s="134"/>
      <c r="P14" s="135"/>
      <c r="Q14" s="136"/>
      <c r="R14" s="21"/>
      <c r="S14" s="57"/>
      <c r="T14" s="21"/>
      <c r="U14" s="90"/>
      <c r="V14" s="134">
        <v>33</v>
      </c>
      <c r="W14" s="135">
        <v>72500</v>
      </c>
      <c r="X14" s="136">
        <f>V14*W14</f>
      </c>
      <c r="Y14" s="21"/>
      <c r="Z14" s="57"/>
      <c r="AA14" s="21"/>
      <c r="AB14" s="134"/>
      <c r="AC14" s="135"/>
      <c r="AD14" s="136"/>
      <c r="AE14" s="21"/>
      <c r="AF14" s="57"/>
      <c r="AG14" s="21"/>
      <c r="AH14" s="134">
        <v>19</v>
      </c>
      <c r="AI14" s="135">
        <v>72500</v>
      </c>
      <c r="AJ14" s="136">
        <f>AH14*AI14</f>
      </c>
      <c r="AK14" s="24">
        <v>100</v>
      </c>
      <c r="AL14" s="57">
        <v>56700</v>
      </c>
      <c r="AM14" s="26">
        <f>AK14*AL14</f>
      </c>
      <c r="AN14" s="134">
        <v>19</v>
      </c>
      <c r="AO14" s="135">
        <v>72500</v>
      </c>
      <c r="AP14" s="134">
        <f>AN14*AO14</f>
      </c>
    </row>
    <row x14ac:dyDescent="0.25" r="15" customHeight="1" ht="23.25">
      <c r="A15" s="131">
        <v>11</v>
      </c>
      <c r="B15" s="132" t="s">
        <v>34</v>
      </c>
      <c r="C15" s="133" t="s">
        <v>35</v>
      </c>
      <c r="D15" s="24"/>
      <c r="E15" s="57"/>
      <c r="F15" s="26"/>
      <c r="G15" s="90"/>
      <c r="H15" s="134">
        <v>88</v>
      </c>
      <c r="I15" s="135">
        <v>76500</v>
      </c>
      <c r="J15" s="136">
        <f>H15*I15</f>
      </c>
      <c r="K15" s="24">
        <v>26</v>
      </c>
      <c r="L15" s="57">
        <v>54500</v>
      </c>
      <c r="M15" s="26">
        <f>K15*L15*98%</f>
      </c>
      <c r="N15" s="90">
        <v>0.02</v>
      </c>
      <c r="O15" s="134">
        <v>51</v>
      </c>
      <c r="P15" s="135">
        <v>76500</v>
      </c>
      <c r="Q15" s="136">
        <f>O15*P15</f>
      </c>
      <c r="R15" s="21"/>
      <c r="S15" s="57"/>
      <c r="T15" s="21"/>
      <c r="U15" s="90"/>
      <c r="V15" s="134">
        <v>31</v>
      </c>
      <c r="W15" s="135">
        <v>76500</v>
      </c>
      <c r="X15" s="136">
        <f>V15*W15</f>
      </c>
      <c r="Y15" s="21"/>
      <c r="Z15" s="57"/>
      <c r="AA15" s="21"/>
      <c r="AB15" s="134">
        <v>50</v>
      </c>
      <c r="AC15" s="135">
        <v>76500</v>
      </c>
      <c r="AD15" s="136">
        <f>AB15*AC15</f>
      </c>
      <c r="AE15" s="21">
        <v>105</v>
      </c>
      <c r="AF15" s="57">
        <v>60000</v>
      </c>
      <c r="AG15" s="21">
        <f>AE15*AF15</f>
      </c>
      <c r="AH15" s="134">
        <v>30</v>
      </c>
      <c r="AI15" s="135">
        <v>76500</v>
      </c>
      <c r="AJ15" s="136">
        <f>AH15*AI15</f>
      </c>
      <c r="AK15" s="24">
        <v>25</v>
      </c>
      <c r="AL15" s="57">
        <v>60000</v>
      </c>
      <c r="AM15" s="26">
        <f>AK15*AL15</f>
      </c>
      <c r="AN15" s="134"/>
      <c r="AO15" s="135"/>
      <c r="AP15" s="134">
        <f>AN15*AO15</f>
      </c>
    </row>
    <row x14ac:dyDescent="0.25" r="16" customHeight="1" ht="23.25">
      <c r="A16" s="131">
        <v>12</v>
      </c>
      <c r="B16" s="132" t="s">
        <v>37</v>
      </c>
      <c r="C16" s="133" t="s">
        <v>38</v>
      </c>
      <c r="D16" s="24"/>
      <c r="E16" s="57"/>
      <c r="F16" s="26"/>
      <c r="G16" s="90"/>
      <c r="H16" s="134">
        <v>20</v>
      </c>
      <c r="I16" s="135">
        <v>79000</v>
      </c>
      <c r="J16" s="136">
        <f>H16*I16</f>
      </c>
      <c r="K16" s="24"/>
      <c r="L16" s="57"/>
      <c r="M16" s="26"/>
      <c r="N16" s="90"/>
      <c r="O16" s="134">
        <v>62</v>
      </c>
      <c r="P16" s="135">
        <v>79000</v>
      </c>
      <c r="Q16" s="136">
        <f>O16*P16</f>
      </c>
      <c r="R16" s="21">
        <f>30+16+20</f>
      </c>
      <c r="S16" s="57">
        <v>53500</v>
      </c>
      <c r="T16" s="21">
        <f>R16*S16*98%</f>
      </c>
      <c r="U16" s="90">
        <v>0.02</v>
      </c>
      <c r="V16" s="134">
        <v>56</v>
      </c>
      <c r="W16" s="135">
        <v>79000</v>
      </c>
      <c r="X16" s="136">
        <f>V16*W16</f>
      </c>
      <c r="Y16" s="21"/>
      <c r="Z16" s="57"/>
      <c r="AA16" s="21"/>
      <c r="AB16" s="134">
        <v>12</v>
      </c>
      <c r="AC16" s="135">
        <v>79000</v>
      </c>
      <c r="AD16" s="136">
        <f>AB16*AC16</f>
      </c>
      <c r="AE16" s="21"/>
      <c r="AF16" s="57"/>
      <c r="AG16" s="21"/>
      <c r="AH16" s="134">
        <v>10</v>
      </c>
      <c r="AI16" s="135">
        <v>79000</v>
      </c>
      <c r="AJ16" s="136">
        <f>AH16*AI16</f>
      </c>
      <c r="AK16" s="24">
        <v>80</v>
      </c>
      <c r="AL16" s="57">
        <v>58900</v>
      </c>
      <c r="AM16" s="26">
        <f>AK16*AL16</f>
      </c>
      <c r="AN16" s="134">
        <v>19</v>
      </c>
      <c r="AO16" s="135">
        <v>79000</v>
      </c>
      <c r="AP16" s="134">
        <f>AN16*AO16</f>
      </c>
    </row>
    <row x14ac:dyDescent="0.25" r="17" customHeight="1" ht="23.25">
      <c r="A17" s="131">
        <v>13</v>
      </c>
      <c r="B17" s="132" t="s">
        <v>39</v>
      </c>
      <c r="C17" s="133" t="s">
        <v>40</v>
      </c>
      <c r="D17" s="24">
        <v>275</v>
      </c>
      <c r="E17" s="57">
        <v>54000</v>
      </c>
      <c r="F17" s="26">
        <f>D17*E17*98%</f>
      </c>
      <c r="G17" s="90">
        <v>0.02</v>
      </c>
      <c r="H17" s="134">
        <v>50</v>
      </c>
      <c r="I17" s="135">
        <v>79500</v>
      </c>
      <c r="J17" s="136">
        <f>H17*I17</f>
      </c>
      <c r="K17" s="24">
        <v>100</v>
      </c>
      <c r="L17" s="57">
        <v>54000</v>
      </c>
      <c r="M17" s="26">
        <f>K17*L17*98%</f>
      </c>
      <c r="N17" s="90">
        <v>0.02</v>
      </c>
      <c r="O17" s="134">
        <v>120</v>
      </c>
      <c r="P17" s="135">
        <v>79500</v>
      </c>
      <c r="Q17" s="136">
        <f>O17*P17</f>
      </c>
      <c r="R17" s="21">
        <f>30+30+20+10+20+20+10+15</f>
      </c>
      <c r="S17" s="57">
        <v>54000</v>
      </c>
      <c r="T17" s="21">
        <f>R17*S17*98%</f>
      </c>
      <c r="U17" s="90">
        <v>0.02</v>
      </c>
      <c r="V17" s="134">
        <v>128</v>
      </c>
      <c r="W17" s="135">
        <v>79500</v>
      </c>
      <c r="X17" s="136">
        <f>V17*W17</f>
      </c>
      <c r="Y17" s="21">
        <v>230</v>
      </c>
      <c r="Z17" s="57">
        <v>54000</v>
      </c>
      <c r="AA17" s="21">
        <f>Y17*Z17</f>
      </c>
      <c r="AB17" s="134">
        <v>50</v>
      </c>
      <c r="AC17" s="135">
        <v>79500</v>
      </c>
      <c r="AD17" s="136">
        <f>AB17*AC17</f>
      </c>
      <c r="AE17" s="21">
        <v>115</v>
      </c>
      <c r="AF17" s="57">
        <v>59400</v>
      </c>
      <c r="AG17" s="21">
        <f>AE17*AF17</f>
      </c>
      <c r="AH17" s="134">
        <v>101</v>
      </c>
      <c r="AI17" s="135">
        <v>79500</v>
      </c>
      <c r="AJ17" s="136">
        <f>AH17*AI17</f>
      </c>
      <c r="AK17" s="24">
        <v>100</v>
      </c>
      <c r="AL17" s="57">
        <v>59400</v>
      </c>
      <c r="AM17" s="26">
        <f>AK17*AL17</f>
      </c>
      <c r="AN17" s="134">
        <v>31</v>
      </c>
      <c r="AO17" s="135">
        <v>79500</v>
      </c>
      <c r="AP17" s="134">
        <f>AN17*AO17</f>
      </c>
    </row>
    <row x14ac:dyDescent="0.25" r="18" customHeight="1" ht="23.25">
      <c r="A18" s="131">
        <v>14</v>
      </c>
      <c r="B18" s="132" t="s">
        <v>42</v>
      </c>
      <c r="C18" s="133" t="s">
        <v>43</v>
      </c>
      <c r="D18" s="24"/>
      <c r="E18" s="57"/>
      <c r="F18" s="26"/>
      <c r="G18" s="90"/>
      <c r="H18" s="134"/>
      <c r="I18" s="135"/>
      <c r="J18" s="136"/>
      <c r="K18" s="24"/>
      <c r="L18" s="57"/>
      <c r="M18" s="26"/>
      <c r="N18" s="90"/>
      <c r="O18" s="134">
        <v>30</v>
      </c>
      <c r="P18" s="135">
        <v>100000</v>
      </c>
      <c r="Q18" s="136">
        <f>O18*P18</f>
      </c>
      <c r="R18" s="21">
        <v>4</v>
      </c>
      <c r="S18" s="57">
        <v>68500</v>
      </c>
      <c r="T18" s="21">
        <f>R18*S18*98%</f>
      </c>
      <c r="U18" s="90">
        <v>0.02</v>
      </c>
      <c r="V18" s="134"/>
      <c r="W18" s="135"/>
      <c r="X18" s="136"/>
      <c r="Y18" s="21"/>
      <c r="Z18" s="57"/>
      <c r="AA18" s="21"/>
      <c r="AB18" s="134">
        <v>18</v>
      </c>
      <c r="AC18" s="135">
        <v>100000</v>
      </c>
      <c r="AD18" s="136">
        <f>AB18*AC18</f>
      </c>
      <c r="AE18" s="21"/>
      <c r="AF18" s="57"/>
      <c r="AG18" s="21"/>
      <c r="AH18" s="134">
        <v>32</v>
      </c>
      <c r="AI18" s="135">
        <v>100000</v>
      </c>
      <c r="AJ18" s="136">
        <f>AH18*AI18</f>
      </c>
      <c r="AK18" s="24">
        <v>74</v>
      </c>
      <c r="AL18" s="57">
        <v>75400</v>
      </c>
      <c r="AM18" s="26">
        <f>AK18*AL18</f>
      </c>
      <c r="AN18" s="134"/>
      <c r="AO18" s="135"/>
      <c r="AP18" s="134">
        <f>AN18*AO18</f>
      </c>
    </row>
    <row x14ac:dyDescent="0.25" r="19" customHeight="1" ht="23.25">
      <c r="A19" s="131">
        <v>15</v>
      </c>
      <c r="B19" s="132" t="s">
        <v>44</v>
      </c>
      <c r="C19" s="133" t="s">
        <v>45</v>
      </c>
      <c r="D19" s="24">
        <v>304</v>
      </c>
      <c r="E19" s="57">
        <v>59500</v>
      </c>
      <c r="F19" s="26">
        <f>D19*E19*98%</f>
      </c>
      <c r="G19" s="90">
        <v>0.02</v>
      </c>
      <c r="H19" s="134">
        <v>270</v>
      </c>
      <c r="I19" s="135">
        <v>84500</v>
      </c>
      <c r="J19" s="136">
        <f>H19*I19</f>
      </c>
      <c r="K19" s="24">
        <v>296</v>
      </c>
      <c r="L19" s="57">
        <v>59500</v>
      </c>
      <c r="M19" s="26">
        <f>K19*L19*98%</f>
      </c>
      <c r="N19" s="90">
        <v>0.02</v>
      </c>
      <c r="O19" s="134">
        <v>80</v>
      </c>
      <c r="P19" s="135">
        <v>84500</v>
      </c>
      <c r="Q19" s="136">
        <f>O19*P19</f>
      </c>
      <c r="R19" s="21">
        <f>20+15+35+50+6</f>
      </c>
      <c r="S19" s="57">
        <v>59500</v>
      </c>
      <c r="T19" s="21">
        <f>R19*S19*98%</f>
      </c>
      <c r="U19" s="90">
        <v>0.02</v>
      </c>
      <c r="V19" s="134">
        <v>250</v>
      </c>
      <c r="W19" s="135">
        <v>84500</v>
      </c>
      <c r="X19" s="136">
        <f>V19*W19</f>
      </c>
      <c r="Y19" s="21">
        <v>220</v>
      </c>
      <c r="Z19" s="57">
        <v>59500</v>
      </c>
      <c r="AA19" s="21">
        <f>Y19*Z19</f>
      </c>
      <c r="AB19" s="134">
        <v>119</v>
      </c>
      <c r="AC19" s="135">
        <v>84500</v>
      </c>
      <c r="AD19" s="136">
        <f>AB19*AC19</f>
      </c>
      <c r="AE19" s="21">
        <v>230</v>
      </c>
      <c r="AF19" s="57">
        <v>65500</v>
      </c>
      <c r="AG19" s="21">
        <f>AE19*AF19</f>
      </c>
      <c r="AH19" s="134">
        <v>31</v>
      </c>
      <c r="AI19" s="135">
        <v>84500</v>
      </c>
      <c r="AJ19" s="136">
        <f>AH19*AI19</f>
      </c>
      <c r="AK19" s="24">
        <v>300</v>
      </c>
      <c r="AL19" s="57">
        <v>65500</v>
      </c>
      <c r="AM19" s="26">
        <f>AK19*AL19</f>
      </c>
      <c r="AN19" s="134">
        <v>100</v>
      </c>
      <c r="AO19" s="135">
        <v>84500</v>
      </c>
      <c r="AP19" s="134">
        <f>AN19*AO19</f>
      </c>
    </row>
    <row x14ac:dyDescent="0.25" r="20" customHeight="1" ht="23.25">
      <c r="A20" s="131">
        <v>16</v>
      </c>
      <c r="B20" s="132" t="s">
        <v>46</v>
      </c>
      <c r="C20" s="133" t="s">
        <v>47</v>
      </c>
      <c r="D20" s="24">
        <v>420</v>
      </c>
      <c r="E20" s="57">
        <v>62500</v>
      </c>
      <c r="F20" s="26">
        <f>D20*E20*98%</f>
      </c>
      <c r="G20" s="90">
        <v>0.02</v>
      </c>
      <c r="H20" s="134">
        <v>379</v>
      </c>
      <c r="I20" s="135">
        <v>90000</v>
      </c>
      <c r="J20" s="136">
        <f>H20*I20</f>
      </c>
      <c r="K20" s="24">
        <v>300</v>
      </c>
      <c r="L20" s="57">
        <v>62500</v>
      </c>
      <c r="M20" s="26">
        <f>K20*L20*98%</f>
      </c>
      <c r="N20" s="90">
        <v>0.02</v>
      </c>
      <c r="O20" s="134">
        <v>200</v>
      </c>
      <c r="P20" s="135">
        <v>90000</v>
      </c>
      <c r="Q20" s="136">
        <f>O20*P20</f>
      </c>
      <c r="R20" s="21">
        <f>20+20+20+30+10+30+20+20+40+30+4+10+20+20+20+10+20+25+30+5</f>
      </c>
      <c r="S20" s="57">
        <v>62500</v>
      </c>
      <c r="T20" s="21">
        <f>R20*S20*98%</f>
      </c>
      <c r="U20" s="90">
        <v>0.02</v>
      </c>
      <c r="V20" s="134">
        <v>345</v>
      </c>
      <c r="W20" s="135">
        <v>90000</v>
      </c>
      <c r="X20" s="136">
        <f>V20*W20</f>
      </c>
      <c r="Y20" s="21">
        <v>166</v>
      </c>
      <c r="Z20" s="57">
        <v>62500</v>
      </c>
      <c r="AA20" s="21">
        <f>Y20*Z20</f>
      </c>
      <c r="AB20" s="134">
        <v>143</v>
      </c>
      <c r="AC20" s="135">
        <v>90000</v>
      </c>
      <c r="AD20" s="136">
        <f>AB20*AC20</f>
      </c>
      <c r="AE20" s="21">
        <v>399</v>
      </c>
      <c r="AF20" s="57">
        <v>68800</v>
      </c>
      <c r="AG20" s="21">
        <f>AE20*AF20</f>
      </c>
      <c r="AH20" s="134">
        <v>62</v>
      </c>
      <c r="AI20" s="135">
        <v>90000</v>
      </c>
      <c r="AJ20" s="136">
        <f>AH20*AI20</f>
      </c>
      <c r="AK20" s="24">
        <v>385</v>
      </c>
      <c r="AL20" s="57">
        <v>68800</v>
      </c>
      <c r="AM20" s="26">
        <f>AK20*AL20</f>
      </c>
      <c r="AN20" s="134">
        <v>150</v>
      </c>
      <c r="AO20" s="135">
        <v>90000</v>
      </c>
      <c r="AP20" s="134">
        <f>AN20*AO20</f>
      </c>
    </row>
    <row x14ac:dyDescent="0.25" r="21" customHeight="1" ht="23.25">
      <c r="A21" s="131">
        <v>17</v>
      </c>
      <c r="B21" s="132" t="s">
        <v>48</v>
      </c>
      <c r="C21" s="133" t="s">
        <v>49</v>
      </c>
      <c r="D21" s="24"/>
      <c r="E21" s="57"/>
      <c r="F21" s="26"/>
      <c r="G21" s="90"/>
      <c r="H21" s="134"/>
      <c r="I21" s="135"/>
      <c r="J21" s="136"/>
      <c r="K21" s="24"/>
      <c r="L21" s="57"/>
      <c r="M21" s="26"/>
      <c r="N21" s="90"/>
      <c r="O21" s="134"/>
      <c r="P21" s="135"/>
      <c r="Q21" s="136"/>
      <c r="R21" s="21">
        <v>6</v>
      </c>
      <c r="S21" s="57">
        <v>65500</v>
      </c>
      <c r="T21" s="21">
        <f>R21*S21*98%</f>
      </c>
      <c r="U21" s="90">
        <v>0.02</v>
      </c>
      <c r="V21" s="134"/>
      <c r="W21" s="135"/>
      <c r="X21" s="136"/>
      <c r="Y21" s="21"/>
      <c r="Z21" s="57"/>
      <c r="AA21" s="21"/>
      <c r="AB21" s="134"/>
      <c r="AC21" s="135"/>
      <c r="AD21" s="136"/>
      <c r="AE21" s="21"/>
      <c r="AF21" s="57"/>
      <c r="AG21" s="21"/>
      <c r="AH21" s="134"/>
      <c r="AI21" s="135"/>
      <c r="AJ21" s="136"/>
      <c r="AK21" s="24"/>
      <c r="AL21" s="57"/>
      <c r="AM21" s="26"/>
      <c r="AN21" s="134">
        <v>25</v>
      </c>
      <c r="AO21" s="135">
        <v>101000</v>
      </c>
      <c r="AP21" s="134">
        <f>AN21*AO21</f>
      </c>
    </row>
    <row x14ac:dyDescent="0.25" r="22" customHeight="1" ht="23.25">
      <c r="A22" s="131">
        <v>18</v>
      </c>
      <c r="B22" s="132" t="s">
        <v>50</v>
      </c>
      <c r="C22" s="137" t="s">
        <v>51</v>
      </c>
      <c r="D22" s="24"/>
      <c r="E22" s="57"/>
      <c r="F22" s="26"/>
      <c r="G22" s="90"/>
      <c r="H22" s="134"/>
      <c r="I22" s="135"/>
      <c r="J22" s="136"/>
      <c r="K22" s="24"/>
      <c r="L22" s="57"/>
      <c r="M22" s="26"/>
      <c r="N22" s="90"/>
      <c r="O22" s="134">
        <v>10</v>
      </c>
      <c r="P22" s="135">
        <v>102000</v>
      </c>
      <c r="Q22" s="136">
        <f>O22*P22</f>
      </c>
      <c r="R22" s="21">
        <v>4</v>
      </c>
      <c r="S22" s="58">
        <v>66500</v>
      </c>
      <c r="T22" s="21">
        <f>R22*S22*98%</f>
      </c>
      <c r="U22" s="90">
        <v>0.02</v>
      </c>
      <c r="V22" s="134">
        <v>20</v>
      </c>
      <c r="W22" s="135">
        <v>102000</v>
      </c>
      <c r="X22" s="136">
        <f>V22*W22</f>
      </c>
      <c r="Y22" s="21"/>
      <c r="Z22" s="57"/>
      <c r="AA22" s="21"/>
      <c r="AB22" s="134"/>
      <c r="AC22" s="135"/>
      <c r="AD22" s="136"/>
      <c r="AE22" s="21"/>
      <c r="AF22" s="57"/>
      <c r="AG22" s="21"/>
      <c r="AH22" s="134">
        <v>20</v>
      </c>
      <c r="AI22" s="135">
        <v>102000</v>
      </c>
      <c r="AJ22" s="136">
        <f>AH22*AI22</f>
      </c>
      <c r="AK22" s="24"/>
      <c r="AL22" s="57"/>
      <c r="AM22" s="26"/>
      <c r="AN22" s="134"/>
      <c r="AO22" s="135"/>
      <c r="AP22" s="134">
        <f>AN22*AO22</f>
      </c>
    </row>
    <row x14ac:dyDescent="0.25" r="23" customHeight="1" ht="23.25">
      <c r="A23" s="131">
        <v>19</v>
      </c>
      <c r="B23" s="132" t="s">
        <v>52</v>
      </c>
      <c r="C23" s="133" t="s">
        <v>53</v>
      </c>
      <c r="D23" s="24"/>
      <c r="E23" s="57"/>
      <c r="F23" s="26"/>
      <c r="G23" s="90"/>
      <c r="H23" s="134">
        <v>10</v>
      </c>
      <c r="I23" s="135">
        <v>134000</v>
      </c>
      <c r="J23" s="136">
        <f>H23*I23</f>
      </c>
      <c r="K23" s="24">
        <v>15</v>
      </c>
      <c r="L23" s="57">
        <v>91500</v>
      </c>
      <c r="M23" s="26">
        <f>K23*L23*98%</f>
      </c>
      <c r="N23" s="90">
        <v>0.02</v>
      </c>
      <c r="O23" s="134">
        <v>33</v>
      </c>
      <c r="P23" s="135">
        <v>134000</v>
      </c>
      <c r="Q23" s="136">
        <f>O23*P23</f>
      </c>
      <c r="R23" s="21">
        <f>15+5+10+20</f>
      </c>
      <c r="S23" s="57">
        <v>91500</v>
      </c>
      <c r="T23" s="21">
        <f>R23*S23*98%</f>
      </c>
      <c r="U23" s="90">
        <v>0.02</v>
      </c>
      <c r="V23" s="134">
        <v>27</v>
      </c>
      <c r="W23" s="135">
        <v>134000</v>
      </c>
      <c r="X23" s="136">
        <f>V23*W23</f>
      </c>
      <c r="Y23" s="21">
        <v>5</v>
      </c>
      <c r="Z23" s="57">
        <v>91500</v>
      </c>
      <c r="AA23" s="21">
        <f>Y23*Z23</f>
      </c>
      <c r="AB23" s="134">
        <v>19</v>
      </c>
      <c r="AC23" s="135">
        <v>134000</v>
      </c>
      <c r="AD23" s="136">
        <f>AB23*AC23</f>
      </c>
      <c r="AE23" s="21">
        <v>170</v>
      </c>
      <c r="AF23" s="57">
        <v>100700</v>
      </c>
      <c r="AG23" s="21">
        <f>AE23*AF23</f>
      </c>
      <c r="AH23" s="134">
        <v>31</v>
      </c>
      <c r="AI23" s="135">
        <v>134000</v>
      </c>
      <c r="AJ23" s="136">
        <f>AH23*AI23</f>
      </c>
      <c r="AK23" s="24"/>
      <c r="AL23" s="57"/>
      <c r="AM23" s="26"/>
      <c r="AN23" s="134">
        <v>50</v>
      </c>
      <c r="AO23" s="135">
        <v>134000</v>
      </c>
      <c r="AP23" s="134">
        <f>AN23*AO23</f>
      </c>
    </row>
    <row x14ac:dyDescent="0.25" r="24" customHeight="1" ht="23.25">
      <c r="A24" s="131">
        <v>20</v>
      </c>
      <c r="B24" s="132" t="s">
        <v>54</v>
      </c>
      <c r="C24" s="133" t="s">
        <v>55</v>
      </c>
      <c r="D24" s="24"/>
      <c r="E24" s="57"/>
      <c r="F24" s="26"/>
      <c r="G24" s="90"/>
      <c r="H24" s="134">
        <v>40</v>
      </c>
      <c r="I24" s="135">
        <v>136000</v>
      </c>
      <c r="J24" s="136">
        <f>H24*I24</f>
      </c>
      <c r="K24" s="24"/>
      <c r="L24" s="57"/>
      <c r="M24" s="26"/>
      <c r="N24" s="90"/>
      <c r="O24" s="134">
        <v>10</v>
      </c>
      <c r="P24" s="135">
        <v>136000</v>
      </c>
      <c r="Q24" s="136">
        <f>O24*P24</f>
      </c>
      <c r="R24" s="21">
        <v>6</v>
      </c>
      <c r="S24" s="57">
        <v>93000</v>
      </c>
      <c r="T24" s="21">
        <f>R24*S24*98%</f>
      </c>
      <c r="U24" s="90">
        <v>0.02</v>
      </c>
      <c r="V24" s="134">
        <v>56</v>
      </c>
      <c r="W24" s="135">
        <v>136000</v>
      </c>
      <c r="X24" s="136">
        <f>V24*W24</f>
      </c>
      <c r="Y24" s="21"/>
      <c r="Z24" s="57"/>
      <c r="AA24" s="21"/>
      <c r="AB24" s="134">
        <v>14</v>
      </c>
      <c r="AC24" s="135">
        <v>136000</v>
      </c>
      <c r="AD24" s="136">
        <f>AB24*AC24</f>
      </c>
      <c r="AE24" s="21">
        <v>60</v>
      </c>
      <c r="AF24" s="57">
        <v>102300</v>
      </c>
      <c r="AG24" s="21">
        <f>AE24*AF24</f>
      </c>
      <c r="AH24" s="134">
        <v>19</v>
      </c>
      <c r="AI24" s="135">
        <v>136000</v>
      </c>
      <c r="AJ24" s="136">
        <f>AH24*AI24</f>
      </c>
      <c r="AK24" s="24">
        <v>50</v>
      </c>
      <c r="AL24" s="57">
        <v>102300</v>
      </c>
      <c r="AM24" s="26">
        <f>AK24*AL24</f>
      </c>
      <c r="AN24" s="134">
        <v>22</v>
      </c>
      <c r="AO24" s="135">
        <v>136000</v>
      </c>
      <c r="AP24" s="134">
        <f>AN24*AO24</f>
      </c>
    </row>
    <row x14ac:dyDescent="0.25" r="25" customHeight="1" ht="23.25">
      <c r="A25" s="131">
        <v>21</v>
      </c>
      <c r="B25" s="132" t="s">
        <v>56</v>
      </c>
      <c r="C25" s="133" t="s">
        <v>57</v>
      </c>
      <c r="D25" s="24">
        <v>40</v>
      </c>
      <c r="E25" s="57">
        <v>104000</v>
      </c>
      <c r="F25" s="26">
        <f>D25*E25*98%</f>
      </c>
      <c r="G25" s="90">
        <v>0.02</v>
      </c>
      <c r="H25" s="134">
        <v>40</v>
      </c>
      <c r="I25" s="135">
        <v>159000</v>
      </c>
      <c r="J25" s="136">
        <f>H25*I25</f>
      </c>
      <c r="K25" s="24"/>
      <c r="L25" s="57"/>
      <c r="M25" s="26"/>
      <c r="N25" s="90"/>
      <c r="O25" s="134"/>
      <c r="P25" s="135"/>
      <c r="Q25" s="136"/>
      <c r="R25" s="21">
        <v>6</v>
      </c>
      <c r="S25" s="57">
        <v>104000</v>
      </c>
      <c r="T25" s="21">
        <f>R25*S25*98%</f>
      </c>
      <c r="U25" s="90">
        <v>0.02</v>
      </c>
      <c r="V25" s="134">
        <v>75</v>
      </c>
      <c r="W25" s="135">
        <v>159000</v>
      </c>
      <c r="X25" s="136">
        <f>V25*W25</f>
      </c>
      <c r="Y25" s="21"/>
      <c r="Z25" s="57"/>
      <c r="AA25" s="21"/>
      <c r="AB25" s="134"/>
      <c r="AC25" s="135"/>
      <c r="AD25" s="136"/>
      <c r="AE25" s="21">
        <v>50</v>
      </c>
      <c r="AF25" s="57">
        <v>114400</v>
      </c>
      <c r="AG25" s="21">
        <f>AE25*AF25</f>
      </c>
      <c r="AH25" s="134">
        <v>9</v>
      </c>
      <c r="AI25" s="135">
        <v>159000</v>
      </c>
      <c r="AJ25" s="136">
        <f>AH25*AI25</f>
      </c>
      <c r="AK25" s="24">
        <v>90</v>
      </c>
      <c r="AL25" s="57">
        <v>114400</v>
      </c>
      <c r="AM25" s="26">
        <f>AK25*AL25</f>
      </c>
      <c r="AN25" s="134">
        <v>16</v>
      </c>
      <c r="AO25" s="135">
        <v>159000</v>
      </c>
      <c r="AP25" s="134">
        <f>AN25*AO25</f>
      </c>
    </row>
    <row x14ac:dyDescent="0.25" r="26" customHeight="1" ht="23.25">
      <c r="A26" s="131">
        <v>22</v>
      </c>
      <c r="B26" s="132" t="s">
        <v>58</v>
      </c>
      <c r="C26" s="133" t="s">
        <v>59</v>
      </c>
      <c r="D26" s="24">
        <v>166</v>
      </c>
      <c r="E26" s="57">
        <v>78000</v>
      </c>
      <c r="F26" s="26">
        <f>D26*E26*98%</f>
      </c>
      <c r="G26" s="90">
        <v>0.02</v>
      </c>
      <c r="H26" s="134">
        <v>130</v>
      </c>
      <c r="I26" s="135">
        <v>118000</v>
      </c>
      <c r="J26" s="136">
        <f>H26*I26</f>
      </c>
      <c r="K26" s="21"/>
      <c r="L26" s="93"/>
      <c r="M26" s="48"/>
      <c r="N26" s="94"/>
      <c r="O26" s="134">
        <v>100</v>
      </c>
      <c r="P26" s="135">
        <v>118000</v>
      </c>
      <c r="Q26" s="136">
        <f>O26*P26</f>
      </c>
      <c r="R26" s="21">
        <f>18+22+20+20</f>
      </c>
      <c r="S26" s="57">
        <v>78000</v>
      </c>
      <c r="T26" s="21">
        <f>R26*S26*98%</f>
      </c>
      <c r="U26" s="90">
        <v>0.02</v>
      </c>
      <c r="V26" s="134">
        <v>168</v>
      </c>
      <c r="W26" s="135">
        <v>118000</v>
      </c>
      <c r="X26" s="136">
        <f>V26*W26</f>
      </c>
      <c r="Y26" s="21">
        <v>129</v>
      </c>
      <c r="Z26" s="57">
        <v>78000</v>
      </c>
      <c r="AA26" s="21">
        <f>Y26*Z26</f>
      </c>
      <c r="AB26" s="134">
        <v>82</v>
      </c>
      <c r="AC26" s="135">
        <v>118000</v>
      </c>
      <c r="AD26" s="136">
        <f>AB26*AC26</f>
      </c>
      <c r="AE26" s="21"/>
      <c r="AF26" s="57"/>
      <c r="AG26" s="21"/>
      <c r="AH26" s="134">
        <v>50</v>
      </c>
      <c r="AI26" s="135">
        <v>118000</v>
      </c>
      <c r="AJ26" s="136">
        <f>AH26*AI26</f>
      </c>
      <c r="AK26" s="24">
        <v>186</v>
      </c>
      <c r="AL26" s="57">
        <v>85800</v>
      </c>
      <c r="AM26" s="26">
        <f>AK26*AL26</f>
      </c>
      <c r="AN26" s="134">
        <v>50</v>
      </c>
      <c r="AO26" s="135">
        <v>118000</v>
      </c>
      <c r="AP26" s="134">
        <f>AN26*AO26</f>
      </c>
    </row>
    <row x14ac:dyDescent="0.25" r="27" customHeight="1" ht="23.25">
      <c r="A27" s="131">
        <v>23</v>
      </c>
      <c r="B27" s="132" t="s">
        <v>61</v>
      </c>
      <c r="C27" s="133" t="s">
        <v>62</v>
      </c>
      <c r="D27" s="24">
        <v>391</v>
      </c>
      <c r="E27" s="57">
        <v>79000</v>
      </c>
      <c r="F27" s="26">
        <f>D27*E27*98%</f>
      </c>
      <c r="G27" s="90">
        <v>0.02</v>
      </c>
      <c r="H27" s="134">
        <v>276</v>
      </c>
      <c r="I27" s="135">
        <v>119000</v>
      </c>
      <c r="J27" s="136">
        <f>H27*I27</f>
      </c>
      <c r="K27" s="24">
        <v>169</v>
      </c>
      <c r="L27" s="57">
        <v>79000</v>
      </c>
      <c r="M27" s="26">
        <f>K27*L27*98%</f>
      </c>
      <c r="N27" s="90">
        <v>0.02</v>
      </c>
      <c r="O27" s="134">
        <v>111</v>
      </c>
      <c r="P27" s="135">
        <v>119000</v>
      </c>
      <c r="Q27" s="136">
        <f>O27*P27</f>
      </c>
      <c r="R27" s="21">
        <f>30+20+20+30+15+20+15+10+20</f>
      </c>
      <c r="S27" s="57">
        <v>79000</v>
      </c>
      <c r="T27" s="21">
        <f>R27*S27*98%</f>
      </c>
      <c r="U27" s="90">
        <v>0.02</v>
      </c>
      <c r="V27" s="134">
        <v>175</v>
      </c>
      <c r="W27" s="135">
        <v>119000</v>
      </c>
      <c r="X27" s="136">
        <f>V27*W27</f>
      </c>
      <c r="Y27" s="21">
        <v>220</v>
      </c>
      <c r="Z27" s="57">
        <v>79000</v>
      </c>
      <c r="AA27" s="21">
        <f>Y27*Z27</f>
      </c>
      <c r="AB27" s="134">
        <v>175</v>
      </c>
      <c r="AC27" s="135">
        <v>119000</v>
      </c>
      <c r="AD27" s="136">
        <f>AB27*AC27</f>
      </c>
      <c r="AE27" s="21">
        <v>200</v>
      </c>
      <c r="AF27" s="57">
        <v>86900</v>
      </c>
      <c r="AG27" s="21">
        <f>AE27*AF27</f>
      </c>
      <c r="AH27" s="134">
        <v>72</v>
      </c>
      <c r="AI27" s="135">
        <v>119000</v>
      </c>
      <c r="AJ27" s="136">
        <f>AH27*AI27</f>
      </c>
      <c r="AK27" s="24">
        <v>50</v>
      </c>
      <c r="AL27" s="57">
        <v>86900</v>
      </c>
      <c r="AM27" s="26">
        <f>AK27*AL27</f>
      </c>
      <c r="AN27" s="134">
        <v>60</v>
      </c>
      <c r="AO27" s="135">
        <v>119000</v>
      </c>
      <c r="AP27" s="134">
        <f>AN27*AO27</f>
      </c>
    </row>
    <row x14ac:dyDescent="0.25" r="28" customHeight="1" ht="23.25">
      <c r="A28" s="131">
        <v>24</v>
      </c>
      <c r="B28" s="132" t="s">
        <v>64</v>
      </c>
      <c r="C28" s="133" t="s">
        <v>204</v>
      </c>
      <c r="D28" s="24">
        <v>77</v>
      </c>
      <c r="E28" s="57">
        <v>87500</v>
      </c>
      <c r="F28" s="26">
        <f>D28*E28*98%</f>
      </c>
      <c r="G28" s="90">
        <v>0.02</v>
      </c>
      <c r="H28" s="134">
        <v>40</v>
      </c>
      <c r="I28" s="135">
        <v>128000</v>
      </c>
      <c r="J28" s="136">
        <f>H28*I28</f>
      </c>
      <c r="K28" s="24">
        <v>60</v>
      </c>
      <c r="L28" s="57">
        <v>87500</v>
      </c>
      <c r="M28" s="26">
        <f>K28*L28*98%</f>
      </c>
      <c r="N28" s="90">
        <v>0.02</v>
      </c>
      <c r="O28" s="134">
        <v>87</v>
      </c>
      <c r="P28" s="135">
        <v>128000</v>
      </c>
      <c r="Q28" s="136">
        <f>O28*P28</f>
      </c>
      <c r="R28" s="21">
        <f>15+6+8+20</f>
      </c>
      <c r="S28" s="57">
        <v>87500</v>
      </c>
      <c r="T28" s="21">
        <f>R28*S28*98%</f>
      </c>
      <c r="U28" s="90">
        <v>0.02</v>
      </c>
      <c r="V28" s="134">
        <v>123</v>
      </c>
      <c r="W28" s="135">
        <v>128000</v>
      </c>
      <c r="X28" s="136">
        <f>V28*W28</f>
      </c>
      <c r="Y28" s="21">
        <v>142</v>
      </c>
      <c r="Z28" s="57">
        <v>87500</v>
      </c>
      <c r="AA28" s="21">
        <f>Y28*Z28</f>
      </c>
      <c r="AB28" s="134">
        <v>32</v>
      </c>
      <c r="AC28" s="135">
        <v>128000</v>
      </c>
      <c r="AD28" s="136">
        <f>AB28*AC28</f>
      </c>
      <c r="AE28" s="21"/>
      <c r="AF28" s="57"/>
      <c r="AG28" s="21"/>
      <c r="AH28" s="134">
        <f>88-20</f>
      </c>
      <c r="AI28" s="135">
        <v>128000</v>
      </c>
      <c r="AJ28" s="136">
        <f>AH28*AI28</f>
      </c>
      <c r="AK28" s="24">
        <v>150</v>
      </c>
      <c r="AL28" s="57">
        <v>96300</v>
      </c>
      <c r="AM28" s="26">
        <f>AK28*AL28</f>
      </c>
      <c r="AN28" s="134">
        <v>60</v>
      </c>
      <c r="AO28" s="135">
        <v>128000</v>
      </c>
      <c r="AP28" s="134">
        <f>AN28*AO28</f>
      </c>
    </row>
    <row x14ac:dyDescent="0.25" r="29" customHeight="1" ht="23.25">
      <c r="A29" s="131">
        <v>25</v>
      </c>
      <c r="B29" s="132" t="s">
        <v>67</v>
      </c>
      <c r="C29" s="133" t="s">
        <v>205</v>
      </c>
      <c r="D29" s="24"/>
      <c r="E29" s="57"/>
      <c r="F29" s="26"/>
      <c r="G29" s="90"/>
      <c r="H29" s="134"/>
      <c r="I29" s="135"/>
      <c r="J29" s="136"/>
      <c r="K29" s="24"/>
      <c r="L29" s="57"/>
      <c r="M29" s="26"/>
      <c r="N29" s="90"/>
      <c r="O29" s="134"/>
      <c r="P29" s="135"/>
      <c r="Q29" s="136"/>
      <c r="R29" s="21"/>
      <c r="S29" s="57"/>
      <c r="T29" s="21"/>
      <c r="U29" s="90"/>
      <c r="V29" s="134"/>
      <c r="W29" s="135"/>
      <c r="X29" s="136"/>
      <c r="Y29" s="21"/>
      <c r="Z29" s="57"/>
      <c r="AA29" s="21"/>
      <c r="AB29" s="134"/>
      <c r="AC29" s="135"/>
      <c r="AD29" s="136"/>
      <c r="AE29" s="21"/>
      <c r="AF29" s="57"/>
      <c r="AG29" s="21"/>
      <c r="AH29" s="134"/>
      <c r="AI29" s="135"/>
      <c r="AJ29" s="136"/>
      <c r="AK29" s="24"/>
      <c r="AL29" s="57"/>
      <c r="AM29" s="26"/>
      <c r="AN29" s="134"/>
      <c r="AO29" s="135"/>
      <c r="AP29" s="134">
        <f>AN29*AO29</f>
      </c>
    </row>
    <row x14ac:dyDescent="0.25" r="30" customHeight="1" ht="23.25">
      <c r="A30" s="131">
        <v>26</v>
      </c>
      <c r="B30" s="132" t="s">
        <v>69</v>
      </c>
      <c r="C30" s="133" t="s">
        <v>70</v>
      </c>
      <c r="D30" s="24"/>
      <c r="E30" s="57"/>
      <c r="F30" s="26"/>
      <c r="G30" s="90"/>
      <c r="H30" s="134">
        <v>10</v>
      </c>
      <c r="I30" s="135">
        <v>140000</v>
      </c>
      <c r="J30" s="136">
        <f>H30*I30</f>
      </c>
      <c r="K30" s="24"/>
      <c r="L30" s="57"/>
      <c r="M30" s="26"/>
      <c r="N30" s="90"/>
      <c r="O30" s="134"/>
      <c r="P30" s="135"/>
      <c r="Q30" s="136"/>
      <c r="R30" s="21"/>
      <c r="S30" s="57"/>
      <c r="T30" s="21"/>
      <c r="U30" s="90"/>
      <c r="V30" s="134">
        <v>50</v>
      </c>
      <c r="W30" s="135">
        <v>140000</v>
      </c>
      <c r="X30" s="136">
        <f>V30*W30</f>
      </c>
      <c r="Y30" s="21"/>
      <c r="Z30" s="57"/>
      <c r="AA30" s="21"/>
      <c r="AB30" s="134"/>
      <c r="AC30" s="135"/>
      <c r="AD30" s="136"/>
      <c r="AE30" s="21"/>
      <c r="AF30" s="57"/>
      <c r="AG30" s="21"/>
      <c r="AH30" s="134">
        <v>30</v>
      </c>
      <c r="AI30" s="135">
        <v>140000</v>
      </c>
      <c r="AJ30" s="136">
        <f>AH30*AI30</f>
      </c>
      <c r="AK30" s="24"/>
      <c r="AL30" s="57"/>
      <c r="AM30" s="26"/>
      <c r="AN30" s="134">
        <v>20</v>
      </c>
      <c r="AO30" s="135">
        <v>140000</v>
      </c>
      <c r="AP30" s="134">
        <f>AN30*AO30</f>
      </c>
    </row>
    <row x14ac:dyDescent="0.25" r="31" customHeight="1" ht="23.25">
      <c r="A31" s="131">
        <v>27</v>
      </c>
      <c r="B31" s="132" t="s">
        <v>72</v>
      </c>
      <c r="C31" s="133" t="s">
        <v>73</v>
      </c>
      <c r="D31" s="24">
        <v>94</v>
      </c>
      <c r="E31" s="57">
        <v>93500</v>
      </c>
      <c r="F31" s="26">
        <f>D31*E31*98%</f>
      </c>
      <c r="G31" s="90">
        <v>0.02</v>
      </c>
      <c r="H31" s="134">
        <v>100</v>
      </c>
      <c r="I31" s="135">
        <v>134500</v>
      </c>
      <c r="J31" s="136">
        <f>H31*I31</f>
      </c>
      <c r="K31" s="24"/>
      <c r="L31" s="57"/>
      <c r="M31" s="26"/>
      <c r="N31" s="90"/>
      <c r="O31" s="134">
        <v>20</v>
      </c>
      <c r="P31" s="135">
        <v>134500</v>
      </c>
      <c r="Q31" s="136">
        <f>O31*P31</f>
      </c>
      <c r="R31" s="21">
        <f>18+20+12+40+20+5+5</f>
      </c>
      <c r="S31" s="57">
        <v>93500</v>
      </c>
      <c r="T31" s="21">
        <f>R31*S31*98%</f>
      </c>
      <c r="U31" s="90">
        <v>0.02</v>
      </c>
      <c r="V31" s="134">
        <v>112</v>
      </c>
      <c r="W31" s="135">
        <v>134500</v>
      </c>
      <c r="X31" s="136">
        <f>V31*W31</f>
      </c>
      <c r="Y31" s="21">
        <v>50</v>
      </c>
      <c r="Z31" s="57">
        <v>93500</v>
      </c>
      <c r="AA31" s="21">
        <f>Y31*Z31</f>
      </c>
      <c r="AB31" s="134">
        <v>87</v>
      </c>
      <c r="AC31" s="135">
        <v>134500</v>
      </c>
      <c r="AD31" s="136">
        <f>AB31*AC31</f>
      </c>
      <c r="AE31" s="21">
        <v>50</v>
      </c>
      <c r="AF31" s="57">
        <v>102900</v>
      </c>
      <c r="AG31" s="21">
        <f>AE31*AF31</f>
      </c>
      <c r="AH31" s="134">
        <v>81</v>
      </c>
      <c r="AI31" s="135">
        <v>134500</v>
      </c>
      <c r="AJ31" s="136">
        <f>AH31*AI31</f>
      </c>
      <c r="AK31" s="24">
        <v>135</v>
      </c>
      <c r="AL31" s="57">
        <v>102900</v>
      </c>
      <c r="AM31" s="26">
        <f>AK31*AL31</f>
      </c>
      <c r="AN31" s="134">
        <v>50</v>
      </c>
      <c r="AO31" s="135">
        <v>134500</v>
      </c>
      <c r="AP31" s="134">
        <f>AN31*AO31</f>
      </c>
    </row>
    <row x14ac:dyDescent="0.25" r="32" customHeight="1" ht="23.25">
      <c r="A32" s="131">
        <v>28</v>
      </c>
      <c r="B32" s="132" t="s">
        <v>74</v>
      </c>
      <c r="C32" s="133" t="s">
        <v>75</v>
      </c>
      <c r="D32" s="24">
        <v>516</v>
      </c>
      <c r="E32" s="57">
        <v>97000</v>
      </c>
      <c r="F32" s="26">
        <f>D32*E32*98%</f>
      </c>
      <c r="G32" s="90">
        <v>0.02</v>
      </c>
      <c r="H32" s="134">
        <v>230</v>
      </c>
      <c r="I32" s="135">
        <v>139000</v>
      </c>
      <c r="J32" s="136">
        <f>H32*I32</f>
      </c>
      <c r="K32" s="24">
        <v>405</v>
      </c>
      <c r="L32" s="57">
        <v>97000</v>
      </c>
      <c r="M32" s="26">
        <f>K32*L32*98%</f>
      </c>
      <c r="N32" s="90">
        <v>0.02</v>
      </c>
      <c r="O32" s="134">
        <v>200</v>
      </c>
      <c r="P32" s="135">
        <v>139000</v>
      </c>
      <c r="Q32" s="136">
        <f>O32*P32</f>
      </c>
      <c r="R32" s="21">
        <f>20+20+30+15+20+20+40+20+8+20+30+30+20+7+20</f>
      </c>
      <c r="S32" s="57">
        <v>97000</v>
      </c>
      <c r="T32" s="21">
        <f>R32*S32*98%</f>
      </c>
      <c r="U32" s="90">
        <v>0.02</v>
      </c>
      <c r="V32" s="134">
        <v>433</v>
      </c>
      <c r="W32" s="135">
        <v>139000</v>
      </c>
      <c r="X32" s="136">
        <f>V32*W32</f>
      </c>
      <c r="Y32" s="21">
        <v>191</v>
      </c>
      <c r="Z32" s="57">
        <v>97000</v>
      </c>
      <c r="AA32" s="21">
        <f>Y32*Z32</f>
      </c>
      <c r="AB32" s="134">
        <v>236</v>
      </c>
      <c r="AC32" s="135">
        <v>139000</v>
      </c>
      <c r="AD32" s="136">
        <f>AB32*AC32</f>
      </c>
      <c r="AE32" s="21">
        <v>592</v>
      </c>
      <c r="AF32" s="57">
        <v>106700</v>
      </c>
      <c r="AG32" s="21">
        <f>AE32*AF32</f>
      </c>
      <c r="AH32" s="134">
        <v>110</v>
      </c>
      <c r="AI32" s="135">
        <v>139000</v>
      </c>
      <c r="AJ32" s="136">
        <f>AH32*AI32</f>
      </c>
      <c r="AK32" s="24">
        <v>240</v>
      </c>
      <c r="AL32" s="57">
        <v>106700</v>
      </c>
      <c r="AM32" s="26">
        <f>AK32*AL32</f>
      </c>
      <c r="AN32" s="134">
        <v>191</v>
      </c>
      <c r="AO32" s="135">
        <v>139000</v>
      </c>
      <c r="AP32" s="134">
        <f>AN32*AO32</f>
      </c>
    </row>
    <row x14ac:dyDescent="0.25" r="33" customHeight="1" ht="23.25">
      <c r="A33" s="131">
        <v>29</v>
      </c>
      <c r="B33" s="132" t="s">
        <v>76</v>
      </c>
      <c r="C33" s="133" t="s">
        <v>77</v>
      </c>
      <c r="D33" s="24">
        <v>96</v>
      </c>
      <c r="E33" s="57">
        <v>114500</v>
      </c>
      <c r="F33" s="26">
        <f>D33*E33*98%</f>
      </c>
      <c r="G33" s="90">
        <v>0.02</v>
      </c>
      <c r="H33" s="134">
        <v>108</v>
      </c>
      <c r="I33" s="135">
        <v>168000</v>
      </c>
      <c r="J33" s="136">
        <f>H33*I33</f>
      </c>
      <c r="K33" s="24">
        <v>143</v>
      </c>
      <c r="L33" s="57">
        <v>114500</v>
      </c>
      <c r="M33" s="26">
        <f>K33*L33*98%</f>
      </c>
      <c r="N33" s="90">
        <v>0.02</v>
      </c>
      <c r="O33" s="134">
        <v>110</v>
      </c>
      <c r="P33" s="135">
        <v>168000</v>
      </c>
      <c r="Q33" s="136">
        <f>O33*P33</f>
      </c>
      <c r="R33" s="21">
        <v>2</v>
      </c>
      <c r="S33" s="57">
        <v>114500</v>
      </c>
      <c r="T33" s="21">
        <f>R33*S33*98%</f>
      </c>
      <c r="U33" s="90">
        <v>0.02</v>
      </c>
      <c r="V33" s="134">
        <v>100</v>
      </c>
      <c r="W33" s="135">
        <v>168000</v>
      </c>
      <c r="X33" s="136">
        <f>V33*W33</f>
      </c>
      <c r="Y33" s="21">
        <v>9</v>
      </c>
      <c r="Z33" s="57">
        <v>114500</v>
      </c>
      <c r="AA33" s="21">
        <f>Y33*Z33</f>
      </c>
      <c r="AB33" s="134">
        <v>35</v>
      </c>
      <c r="AC33" s="135">
        <v>168000</v>
      </c>
      <c r="AD33" s="136">
        <f>AB33*AC33</f>
      </c>
      <c r="AE33" s="21">
        <v>66</v>
      </c>
      <c r="AF33" s="57">
        <v>126000</v>
      </c>
      <c r="AG33" s="21">
        <f>AE33*AF33</f>
      </c>
      <c r="AH33" s="134">
        <v>34</v>
      </c>
      <c r="AI33" s="135">
        <v>168000</v>
      </c>
      <c r="AJ33" s="136">
        <f>AH33*AI33</f>
      </c>
      <c r="AK33" s="24">
        <v>90</v>
      </c>
      <c r="AL33" s="57">
        <v>126000</v>
      </c>
      <c r="AM33" s="26">
        <f>AK33*AL33</f>
      </c>
      <c r="AN33" s="134">
        <v>61</v>
      </c>
      <c r="AO33" s="135">
        <v>168000</v>
      </c>
      <c r="AP33" s="134">
        <f>AN33*AO33</f>
      </c>
    </row>
    <row x14ac:dyDescent="0.25" r="34" customHeight="1" ht="23.25">
      <c r="A34" s="131">
        <v>30</v>
      </c>
      <c r="B34" s="132" t="s">
        <v>78</v>
      </c>
      <c r="C34" s="133" t="s">
        <v>206</v>
      </c>
      <c r="D34" s="24">
        <v>347</v>
      </c>
      <c r="E34" s="57">
        <v>122000</v>
      </c>
      <c r="F34" s="26">
        <f>D34*E34*98%</f>
      </c>
      <c r="G34" s="90">
        <v>0.02</v>
      </c>
      <c r="H34" s="134">
        <v>136</v>
      </c>
      <c r="I34" s="135">
        <v>171000</v>
      </c>
      <c r="J34" s="136">
        <f>H34*I34</f>
      </c>
      <c r="K34" s="24">
        <v>135</v>
      </c>
      <c r="L34" s="57">
        <v>122000</v>
      </c>
      <c r="M34" s="26">
        <f>K34*L34*98%</f>
      </c>
      <c r="N34" s="90">
        <v>0.02</v>
      </c>
      <c r="O34" s="134">
        <v>206</v>
      </c>
      <c r="P34" s="135">
        <v>171000</v>
      </c>
      <c r="Q34" s="136">
        <f>O34*P34</f>
      </c>
      <c r="R34" s="21">
        <f>15+20+20+20+20+15+11+20+10+10</f>
      </c>
      <c r="S34" s="57">
        <v>122000</v>
      </c>
      <c r="T34" s="21">
        <f>R34*S34*98%</f>
      </c>
      <c r="U34" s="90">
        <v>0.02</v>
      </c>
      <c r="V34" s="134">
        <v>201</v>
      </c>
      <c r="W34" s="135">
        <v>171000</v>
      </c>
      <c r="X34" s="136">
        <f>V34*W34</f>
      </c>
      <c r="Y34" s="21">
        <v>110</v>
      </c>
      <c r="Z34" s="57">
        <v>122000</v>
      </c>
      <c r="AA34" s="21">
        <f>Y34*Z34</f>
      </c>
      <c r="AB34" s="134">
        <v>122</v>
      </c>
      <c r="AC34" s="135">
        <v>171000</v>
      </c>
      <c r="AD34" s="136">
        <f>AB34*AC34</f>
      </c>
      <c r="AE34" s="21">
        <v>270</v>
      </c>
      <c r="AF34" s="57">
        <v>134200</v>
      </c>
      <c r="AG34" s="21">
        <f>AE34*AF34</f>
      </c>
      <c r="AH34" s="134">
        <v>100</v>
      </c>
      <c r="AI34" s="135">
        <v>171000</v>
      </c>
      <c r="AJ34" s="136">
        <f>AH34*AI34</f>
      </c>
      <c r="AK34" s="24">
        <v>160</v>
      </c>
      <c r="AL34" s="57">
        <v>134200</v>
      </c>
      <c r="AM34" s="26">
        <f>AK34*AL34</f>
      </c>
      <c r="AN34" s="134">
        <v>110</v>
      </c>
      <c r="AO34" s="135">
        <v>171000</v>
      </c>
      <c r="AP34" s="134">
        <f>AN34*AO34</f>
      </c>
    </row>
    <row x14ac:dyDescent="0.25" r="35" customHeight="1" ht="23.25">
      <c r="A35" s="131">
        <v>31</v>
      </c>
      <c r="B35" s="132" t="s">
        <v>80</v>
      </c>
      <c r="C35" s="133" t="s">
        <v>207</v>
      </c>
      <c r="D35" s="24">
        <v>35</v>
      </c>
      <c r="E35" s="57">
        <v>130000</v>
      </c>
      <c r="F35" s="26">
        <f>D35*E35*98%</f>
      </c>
      <c r="G35" s="90">
        <v>0.02</v>
      </c>
      <c r="H35" s="134">
        <v>30</v>
      </c>
      <c r="I35" s="135">
        <v>190500</v>
      </c>
      <c r="J35" s="136">
        <f>H35*I35</f>
      </c>
      <c r="K35" s="24">
        <v>47</v>
      </c>
      <c r="L35" s="57">
        <v>130000</v>
      </c>
      <c r="M35" s="26">
        <f>K35*L35*98%</f>
      </c>
      <c r="N35" s="90">
        <v>0.02</v>
      </c>
      <c r="O35" s="134">
        <v>20</v>
      </c>
      <c r="P35" s="135">
        <v>190500</v>
      </c>
      <c r="Q35" s="136">
        <f>O35*P35</f>
      </c>
      <c r="R35" s="21">
        <f>10+10+20+10+20+10+4</f>
      </c>
      <c r="S35" s="57">
        <v>130000</v>
      </c>
      <c r="T35" s="21">
        <f>R35*S35*98%</f>
      </c>
      <c r="U35" s="90">
        <v>0.02</v>
      </c>
      <c r="V35" s="134">
        <v>80</v>
      </c>
      <c r="W35" s="135">
        <v>190500</v>
      </c>
      <c r="X35" s="136">
        <f>V35*W35</f>
      </c>
      <c r="Y35" s="21">
        <v>26</v>
      </c>
      <c r="Z35" s="57">
        <v>130000</v>
      </c>
      <c r="AA35" s="21">
        <f>Y35*Z35</f>
      </c>
      <c r="AB35" s="134">
        <v>29</v>
      </c>
      <c r="AC35" s="135">
        <v>190500</v>
      </c>
      <c r="AD35" s="136">
        <f>AB35*AC35</f>
      </c>
      <c r="AE35" s="21">
        <v>64</v>
      </c>
      <c r="AF35" s="57">
        <v>143000</v>
      </c>
      <c r="AG35" s="21">
        <f>AE35*AF35</f>
      </c>
      <c r="AH35" s="134">
        <v>21</v>
      </c>
      <c r="AI35" s="135">
        <v>190500</v>
      </c>
      <c r="AJ35" s="136">
        <f>AH35*AI35</f>
      </c>
      <c r="AK35" s="24">
        <v>100</v>
      </c>
      <c r="AL35" s="57">
        <v>143000</v>
      </c>
      <c r="AM35" s="26">
        <f>AK35*AL35</f>
      </c>
      <c r="AN35" s="134">
        <v>10</v>
      </c>
      <c r="AO35" s="135">
        <v>190500</v>
      </c>
      <c r="AP35" s="134">
        <f>AN35*AO35</f>
      </c>
    </row>
    <row x14ac:dyDescent="0.25" r="36" customHeight="1" ht="23.25">
      <c r="A36" s="131">
        <v>32</v>
      </c>
      <c r="B36" s="132" t="s">
        <v>82</v>
      </c>
      <c r="C36" s="133" t="s">
        <v>208</v>
      </c>
      <c r="D36" s="24"/>
      <c r="E36" s="57"/>
      <c r="F36" s="26"/>
      <c r="G36" s="90"/>
      <c r="H36" s="134">
        <v>21</v>
      </c>
      <c r="I36" s="135">
        <v>206000</v>
      </c>
      <c r="J36" s="136">
        <f>H36*I36</f>
      </c>
      <c r="K36" s="24">
        <v>95</v>
      </c>
      <c r="L36" s="57">
        <v>144500</v>
      </c>
      <c r="M36" s="26">
        <f>K36*L36*98%</f>
      </c>
      <c r="N36" s="90">
        <v>0.02</v>
      </c>
      <c r="O36" s="134">
        <v>50</v>
      </c>
      <c r="P36" s="135">
        <v>206000</v>
      </c>
      <c r="Q36" s="136">
        <f>O36*P36</f>
      </c>
      <c r="R36" s="21">
        <f>2+26+10+20+20</f>
      </c>
      <c r="S36" s="57">
        <v>144500</v>
      </c>
      <c r="T36" s="21">
        <f>R36*S36*98%</f>
      </c>
      <c r="U36" s="90">
        <v>0.02</v>
      </c>
      <c r="V36" s="134">
        <v>50</v>
      </c>
      <c r="W36" s="135">
        <v>206000</v>
      </c>
      <c r="X36" s="136">
        <f>V36*W36</f>
      </c>
      <c r="Y36" s="21">
        <v>45</v>
      </c>
      <c r="Z36" s="57">
        <v>144500</v>
      </c>
      <c r="AA36" s="21">
        <f>Y36*Z36</f>
      </c>
      <c r="AB36" s="134">
        <v>50</v>
      </c>
      <c r="AC36" s="135">
        <v>206000</v>
      </c>
      <c r="AD36" s="136">
        <f>AB36*AC36</f>
      </c>
      <c r="AE36" s="21">
        <v>55</v>
      </c>
      <c r="AF36" s="57">
        <v>159000</v>
      </c>
      <c r="AG36" s="21">
        <f>AE36*AF36</f>
      </c>
      <c r="AH36" s="134">
        <v>20</v>
      </c>
      <c r="AI36" s="135">
        <v>206000</v>
      </c>
      <c r="AJ36" s="136">
        <f>AH36*AI36</f>
      </c>
      <c r="AK36" s="24">
        <v>100</v>
      </c>
      <c r="AL36" s="57">
        <v>159000</v>
      </c>
      <c r="AM36" s="26">
        <f>AK36*AL36</f>
      </c>
      <c r="AN36" s="134">
        <v>30</v>
      </c>
      <c r="AO36" s="135">
        <v>206000</v>
      </c>
      <c r="AP36" s="134">
        <f>AN36*AO36</f>
      </c>
    </row>
    <row x14ac:dyDescent="0.25" r="37" customHeight="1" ht="23.25">
      <c r="A37" s="131">
        <v>33</v>
      </c>
      <c r="B37" s="132" t="s">
        <v>84</v>
      </c>
      <c r="C37" s="133" t="s">
        <v>209</v>
      </c>
      <c r="D37" s="24">
        <v>122</v>
      </c>
      <c r="E37" s="57">
        <v>144500</v>
      </c>
      <c r="F37" s="26">
        <f>D37*E37*98%</f>
      </c>
      <c r="G37" s="90">
        <v>0.02</v>
      </c>
      <c r="H37" s="134">
        <v>72</v>
      </c>
      <c r="I37" s="135">
        <v>206000</v>
      </c>
      <c r="J37" s="136">
        <f>H37*I37</f>
      </c>
      <c r="K37" s="24">
        <v>57</v>
      </c>
      <c r="L37" s="57">
        <v>144500</v>
      </c>
      <c r="M37" s="26">
        <f>K37*L37*98%</f>
      </c>
      <c r="N37" s="90">
        <v>0.02</v>
      </c>
      <c r="O37" s="134">
        <v>106</v>
      </c>
      <c r="P37" s="135">
        <v>206000</v>
      </c>
      <c r="Q37" s="136">
        <f>O37*P37</f>
      </c>
      <c r="R37" s="21">
        <f>20+1+20</f>
      </c>
      <c r="S37" s="57">
        <v>144500</v>
      </c>
      <c r="T37" s="21">
        <f>R37*S37*98%</f>
      </c>
      <c r="U37" s="90">
        <v>0.02</v>
      </c>
      <c r="V37" s="134">
        <v>73</v>
      </c>
      <c r="W37" s="135">
        <v>206000</v>
      </c>
      <c r="X37" s="136">
        <f>V37*W37</f>
      </c>
      <c r="Y37" s="21">
        <v>105</v>
      </c>
      <c r="Z37" s="57">
        <v>144500</v>
      </c>
      <c r="AA37" s="21">
        <f>Y37*Z37</f>
      </c>
      <c r="AB37" s="134">
        <v>32</v>
      </c>
      <c r="AC37" s="135">
        <v>206000</v>
      </c>
      <c r="AD37" s="136">
        <f>AB37*AC37</f>
      </c>
      <c r="AE37" s="21">
        <v>85</v>
      </c>
      <c r="AF37" s="57">
        <v>159000</v>
      </c>
      <c r="AG37" s="21">
        <f>AE37*AF37</f>
      </c>
      <c r="AH37" s="134">
        <v>9</v>
      </c>
      <c r="AI37" s="135">
        <v>206000</v>
      </c>
      <c r="AJ37" s="136">
        <f>AH37*AI37</f>
      </c>
      <c r="AK37" s="24">
        <v>135</v>
      </c>
      <c r="AL37" s="57">
        <v>159000</v>
      </c>
      <c r="AM37" s="26">
        <f>AK37*AL37</f>
      </c>
      <c r="AN37" s="134">
        <v>18</v>
      </c>
      <c r="AO37" s="135">
        <v>206000</v>
      </c>
      <c r="AP37" s="134">
        <f>AN37*AO37</f>
      </c>
    </row>
    <row x14ac:dyDescent="0.25" r="38" customHeight="1" ht="23.25">
      <c r="A38" s="131">
        <v>34</v>
      </c>
      <c r="B38" s="132" t="s">
        <v>86</v>
      </c>
      <c r="C38" s="133" t="s">
        <v>210</v>
      </c>
      <c r="D38" s="24">
        <v>739</v>
      </c>
      <c r="E38" s="57">
        <v>153000</v>
      </c>
      <c r="F38" s="26">
        <f>D38*E38*98%</f>
      </c>
      <c r="G38" s="90">
        <v>0.02</v>
      </c>
      <c r="H38" s="134">
        <v>354</v>
      </c>
      <c r="I38" s="135">
        <v>213500</v>
      </c>
      <c r="J38" s="136">
        <f>H38*I38</f>
      </c>
      <c r="K38" s="24">
        <v>406</v>
      </c>
      <c r="L38" s="57">
        <v>153000</v>
      </c>
      <c r="M38" s="26">
        <f>K38*L38*98%</f>
      </c>
      <c r="N38" s="90">
        <v>0.02</v>
      </c>
      <c r="O38" s="134">
        <v>363</v>
      </c>
      <c r="P38" s="135">
        <v>213500</v>
      </c>
      <c r="Q38" s="136">
        <f>O38*P38</f>
      </c>
      <c r="R38" s="21">
        <v>359</v>
      </c>
      <c r="S38" s="57">
        <v>153000</v>
      </c>
      <c r="T38" s="21">
        <f>R38*S38*98%</f>
      </c>
      <c r="U38" s="90">
        <v>0.02</v>
      </c>
      <c r="V38" s="134">
        <v>421</v>
      </c>
      <c r="W38" s="135">
        <v>213500</v>
      </c>
      <c r="X38" s="136">
        <f>V38*W38</f>
      </c>
      <c r="Y38" s="21">
        <v>255</v>
      </c>
      <c r="Z38" s="57">
        <v>153000</v>
      </c>
      <c r="AA38" s="21">
        <f>Y38*Z38</f>
      </c>
      <c r="AB38" s="134">
        <v>136</v>
      </c>
      <c r="AC38" s="135">
        <v>213500</v>
      </c>
      <c r="AD38" s="136">
        <f>AB38*AC38</f>
      </c>
      <c r="AE38" s="21">
        <v>555</v>
      </c>
      <c r="AF38" s="57">
        <v>168300</v>
      </c>
      <c r="AG38" s="21">
        <f>AE38*AF38</f>
      </c>
      <c r="AH38" s="134">
        <v>126</v>
      </c>
      <c r="AI38" s="135">
        <v>213500</v>
      </c>
      <c r="AJ38" s="136">
        <f>AH38*AI38</f>
      </c>
      <c r="AK38" s="24">
        <v>255</v>
      </c>
      <c r="AL38" s="57">
        <v>168300</v>
      </c>
      <c r="AM38" s="26">
        <f>AK38*AL38</f>
      </c>
      <c r="AN38" s="134">
        <v>130</v>
      </c>
      <c r="AO38" s="135">
        <v>213500</v>
      </c>
      <c r="AP38" s="134">
        <f>AN38*AO38</f>
      </c>
    </row>
    <row x14ac:dyDescent="0.25" r="39" customHeight="1" ht="23.25">
      <c r="A39" s="131">
        <v>35</v>
      </c>
      <c r="B39" s="138" t="s">
        <v>88</v>
      </c>
      <c r="C39" s="139" t="s">
        <v>211</v>
      </c>
      <c r="D39" s="24">
        <v>51</v>
      </c>
      <c r="E39" s="57">
        <v>160000</v>
      </c>
      <c r="F39" s="26">
        <f>D39*E39*98%</f>
      </c>
      <c r="G39" s="90">
        <v>0.02</v>
      </c>
      <c r="H39" s="134">
        <v>70</v>
      </c>
      <c r="I39" s="135">
        <v>228500</v>
      </c>
      <c r="J39" s="136">
        <f>H39*I39</f>
      </c>
      <c r="K39" s="24"/>
      <c r="L39" s="57"/>
      <c r="M39" s="26"/>
      <c r="N39" s="90"/>
      <c r="O39" s="134">
        <f>140+30</f>
      </c>
      <c r="P39" s="135" t="s">
        <v>91</v>
      </c>
      <c r="Q39" s="136">
        <f>30310000+6855000</f>
      </c>
      <c r="R39" s="21">
        <f>20+20+11+6</f>
      </c>
      <c r="S39" s="57">
        <v>160000</v>
      </c>
      <c r="T39" s="21">
        <f>R39*S39*98%</f>
      </c>
      <c r="U39" s="90">
        <v>0.02</v>
      </c>
      <c r="V39" s="134">
        <v>145</v>
      </c>
      <c r="W39" s="135">
        <v>216500</v>
      </c>
      <c r="X39" s="136">
        <f>V39*W39</f>
      </c>
      <c r="Y39" s="21"/>
      <c r="Z39" s="57"/>
      <c r="AA39" s="21"/>
      <c r="AB39" s="134">
        <v>65</v>
      </c>
      <c r="AC39" s="135">
        <v>216500</v>
      </c>
      <c r="AD39" s="136">
        <f>AB39*AC39</f>
      </c>
      <c r="AE39" s="21">
        <v>64</v>
      </c>
      <c r="AF39" s="57">
        <v>176000</v>
      </c>
      <c r="AG39" s="21">
        <f>AE39*AF39</f>
      </c>
      <c r="AH39" s="134">
        <v>36</v>
      </c>
      <c r="AI39" s="135">
        <v>216500</v>
      </c>
      <c r="AJ39" s="136">
        <f>AH39*AI39</f>
      </c>
      <c r="AK39" s="24">
        <v>90</v>
      </c>
      <c r="AL39" s="57">
        <v>176000</v>
      </c>
      <c r="AM39" s="26">
        <f>AK39*AL39</f>
      </c>
      <c r="AN39" s="134">
        <v>47</v>
      </c>
      <c r="AO39" s="135">
        <v>216500</v>
      </c>
      <c r="AP39" s="134">
        <f>AN39*AO39</f>
      </c>
    </row>
    <row x14ac:dyDescent="0.25" r="40" customHeight="1" ht="23.25">
      <c r="A40" s="131">
        <v>36</v>
      </c>
      <c r="B40" s="132" t="s">
        <v>92</v>
      </c>
      <c r="C40" s="133" t="s">
        <v>212</v>
      </c>
      <c r="D40" s="24">
        <v>10</v>
      </c>
      <c r="E40" s="57">
        <v>82000</v>
      </c>
      <c r="F40" s="26">
        <f>D40*E40*98%</f>
      </c>
      <c r="G40" s="90">
        <v>0.02</v>
      </c>
      <c r="H40" s="134">
        <v>10</v>
      </c>
      <c r="I40" s="135">
        <v>128500</v>
      </c>
      <c r="J40" s="136">
        <f>H40*I40</f>
      </c>
      <c r="K40" s="24"/>
      <c r="L40" s="57"/>
      <c r="M40" s="26"/>
      <c r="N40" s="90"/>
      <c r="O40" s="134"/>
      <c r="P40" s="135"/>
      <c r="Q40" s="136"/>
      <c r="R40" s="21">
        <v>4</v>
      </c>
      <c r="S40" s="57">
        <v>82000</v>
      </c>
      <c r="T40" s="21">
        <f>R40*S40*98%</f>
      </c>
      <c r="U40" s="90">
        <v>0.02</v>
      </c>
      <c r="V40" s="134"/>
      <c r="W40" s="135"/>
      <c r="X40" s="136"/>
      <c r="Y40" s="21"/>
      <c r="Z40" s="57"/>
      <c r="AA40" s="21"/>
      <c r="AB40" s="134">
        <v>10</v>
      </c>
      <c r="AC40" s="135">
        <v>128500</v>
      </c>
      <c r="AD40" s="136">
        <f>AB40*AC40</f>
      </c>
      <c r="AE40" s="21">
        <v>30</v>
      </c>
      <c r="AF40" s="57">
        <v>91900</v>
      </c>
      <c r="AG40" s="21">
        <f>AE40*AF40</f>
      </c>
      <c r="AH40" s="134">
        <v>20</v>
      </c>
      <c r="AI40" s="135">
        <v>128500</v>
      </c>
      <c r="AJ40" s="136">
        <f>AH40*AI40</f>
      </c>
      <c r="AK40" s="24"/>
      <c r="AL40" s="57"/>
      <c r="AM40" s="26"/>
      <c r="AN40" s="134"/>
      <c r="AO40" s="135"/>
      <c r="AP40" s="134">
        <f>AN40*AO40</f>
      </c>
    </row>
    <row x14ac:dyDescent="0.25" r="41" customHeight="1" ht="23.25">
      <c r="A41" s="131">
        <v>37</v>
      </c>
      <c r="B41" s="132" t="s">
        <v>94</v>
      </c>
      <c r="C41" s="133" t="s">
        <v>95</v>
      </c>
      <c r="D41" s="24"/>
      <c r="E41" s="57"/>
      <c r="F41" s="26"/>
      <c r="G41" s="90"/>
      <c r="H41" s="134">
        <v>20</v>
      </c>
      <c r="I41" s="135">
        <v>247000</v>
      </c>
      <c r="J41" s="136">
        <f>H41*I41</f>
      </c>
      <c r="K41" s="24"/>
      <c r="L41" s="57"/>
      <c r="M41" s="26"/>
      <c r="N41" s="90"/>
      <c r="O41" s="134">
        <v>10</v>
      </c>
      <c r="P41" s="135">
        <v>247000</v>
      </c>
      <c r="Q41" s="136">
        <f>O41*P41</f>
      </c>
      <c r="R41" s="21"/>
      <c r="S41" s="57"/>
      <c r="T41" s="21"/>
      <c r="U41" s="90"/>
      <c r="V41" s="134">
        <v>30</v>
      </c>
      <c r="W41" s="135">
        <v>247000</v>
      </c>
      <c r="X41" s="136">
        <f>V41*W41</f>
      </c>
      <c r="Y41" s="21"/>
      <c r="Z41" s="57"/>
      <c r="AA41" s="21"/>
      <c r="AB41" s="134">
        <v>20</v>
      </c>
      <c r="AC41" s="135">
        <v>247000</v>
      </c>
      <c r="AD41" s="136">
        <f>AB41*AC41</f>
      </c>
      <c r="AE41" s="21"/>
      <c r="AF41" s="57"/>
      <c r="AG41" s="21"/>
      <c r="AH41" s="134"/>
      <c r="AI41" s="135"/>
      <c r="AJ41" s="136"/>
      <c r="AK41" s="24">
        <v>30</v>
      </c>
      <c r="AL41" s="57">
        <v>191200</v>
      </c>
      <c r="AM41" s="26">
        <f>AK41*AL41</f>
      </c>
      <c r="AN41" s="134">
        <v>20</v>
      </c>
      <c r="AO41" s="135">
        <v>247000</v>
      </c>
      <c r="AP41" s="134">
        <f>AN41*AO41</f>
      </c>
    </row>
    <row x14ac:dyDescent="0.25" r="42" customHeight="1" ht="23.25">
      <c r="A42" s="131">
        <v>38</v>
      </c>
      <c r="B42" s="132" t="s">
        <v>97</v>
      </c>
      <c r="C42" s="133" t="s">
        <v>213</v>
      </c>
      <c r="D42" s="24">
        <v>311</v>
      </c>
      <c r="E42" s="57">
        <v>183000</v>
      </c>
      <c r="F42" s="26">
        <f>D42*E42*98%</f>
      </c>
      <c r="G42" s="90">
        <v>0.02</v>
      </c>
      <c r="H42" s="134">
        <v>60</v>
      </c>
      <c r="I42" s="135">
        <v>256000</v>
      </c>
      <c r="J42" s="136">
        <f>H42*I42</f>
      </c>
      <c r="K42" s="24">
        <v>274</v>
      </c>
      <c r="L42" s="57">
        <v>183000</v>
      </c>
      <c r="M42" s="26">
        <f>K42*L42*98%</f>
      </c>
      <c r="N42" s="90">
        <v>0.02</v>
      </c>
      <c r="O42" s="134">
        <v>140</v>
      </c>
      <c r="P42" s="135">
        <v>256000</v>
      </c>
      <c r="Q42" s="136">
        <f>O42*P42</f>
      </c>
      <c r="R42" s="21">
        <f>126+11</f>
      </c>
      <c r="S42" s="57">
        <v>183000</v>
      </c>
      <c r="T42" s="21">
        <f>22596840+2013000</f>
      </c>
      <c r="U42" s="90">
        <v>0.02</v>
      </c>
      <c r="V42" s="134">
        <v>309</v>
      </c>
      <c r="W42" s="135">
        <v>256000</v>
      </c>
      <c r="X42" s="136">
        <f>V42*W42</f>
      </c>
      <c r="Y42" s="21">
        <v>34</v>
      </c>
      <c r="Z42" s="57">
        <v>183000</v>
      </c>
      <c r="AA42" s="21">
        <f>Y42*Z42</f>
      </c>
      <c r="AB42" s="134">
        <v>107</v>
      </c>
      <c r="AC42" s="135">
        <v>256000</v>
      </c>
      <c r="AD42" s="136">
        <f>AB42*AC42</f>
      </c>
      <c r="AE42" s="21">
        <v>286</v>
      </c>
      <c r="AF42" s="57">
        <v>197700</v>
      </c>
      <c r="AG42" s="21">
        <f>AE42*AF42</f>
      </c>
      <c r="AH42" s="134">
        <v>74</v>
      </c>
      <c r="AI42" s="135">
        <v>256000</v>
      </c>
      <c r="AJ42" s="136">
        <f>AH42*AI42</f>
      </c>
      <c r="AK42" s="24">
        <v>205</v>
      </c>
      <c r="AL42" s="57">
        <v>197700</v>
      </c>
      <c r="AM42" s="26">
        <f>AK42*AL42</f>
      </c>
      <c r="AN42" s="134">
        <v>70</v>
      </c>
      <c r="AO42" s="135">
        <v>256000</v>
      </c>
      <c r="AP42" s="134">
        <f>AN42*AO42</f>
      </c>
    </row>
    <row x14ac:dyDescent="0.25" r="43" customHeight="1" ht="23.25">
      <c r="A43" s="131">
        <v>39</v>
      </c>
      <c r="B43" s="132" t="s">
        <v>99</v>
      </c>
      <c r="C43" s="133" t="s">
        <v>214</v>
      </c>
      <c r="D43" s="24"/>
      <c r="E43" s="57"/>
      <c r="F43" s="26"/>
      <c r="G43" s="90"/>
      <c r="H43" s="134">
        <v>40</v>
      </c>
      <c r="I43" s="135">
        <v>257500</v>
      </c>
      <c r="J43" s="136">
        <f>H43*I43</f>
      </c>
      <c r="K43" s="24"/>
      <c r="L43" s="57"/>
      <c r="M43" s="26"/>
      <c r="N43" s="90"/>
      <c r="O43" s="134">
        <v>100</v>
      </c>
      <c r="P43" s="135">
        <v>257500</v>
      </c>
      <c r="Q43" s="136">
        <f>O43*P43</f>
      </c>
      <c r="R43" s="21">
        <v>1</v>
      </c>
      <c r="S43" s="57">
        <v>184000</v>
      </c>
      <c r="T43" s="21">
        <f>R43*S43*98%</f>
      </c>
      <c r="U43" s="90">
        <v>0.02</v>
      </c>
      <c r="V43" s="134">
        <v>41</v>
      </c>
      <c r="W43" s="135">
        <v>257500</v>
      </c>
      <c r="X43" s="136">
        <f>V43*W43</f>
      </c>
      <c r="Y43" s="21"/>
      <c r="Z43" s="57"/>
      <c r="AA43" s="21"/>
      <c r="AB43" s="134"/>
      <c r="AC43" s="135"/>
      <c r="AD43" s="136"/>
      <c r="AE43" s="21"/>
      <c r="AF43" s="57"/>
      <c r="AG43" s="21"/>
      <c r="AH43" s="134">
        <v>9</v>
      </c>
      <c r="AI43" s="135">
        <v>257500</v>
      </c>
      <c r="AJ43" s="136">
        <f>AH43*AI43</f>
      </c>
      <c r="AK43" s="24">
        <v>21</v>
      </c>
      <c r="AL43" s="57">
        <v>198800</v>
      </c>
      <c r="AM43" s="26">
        <f>AK43*AL43</f>
      </c>
      <c r="AN43" s="134">
        <v>40</v>
      </c>
      <c r="AO43" s="135">
        <v>257500</v>
      </c>
      <c r="AP43" s="134">
        <f>AN43*AO43</f>
      </c>
    </row>
    <row x14ac:dyDescent="0.25" r="44" customHeight="1" ht="23.25">
      <c r="A44" s="131">
        <v>40</v>
      </c>
      <c r="B44" s="132" t="s">
        <v>101</v>
      </c>
      <c r="C44" s="133" t="s">
        <v>102</v>
      </c>
      <c r="D44" s="24"/>
      <c r="E44" s="57"/>
      <c r="F44" s="26"/>
      <c r="G44" s="90"/>
      <c r="H44" s="134">
        <v>10</v>
      </c>
      <c r="I44" s="135">
        <v>279000</v>
      </c>
      <c r="J44" s="136">
        <f>H44*I44</f>
      </c>
      <c r="K44" s="24">
        <v>36</v>
      </c>
      <c r="L44" s="57">
        <v>194500</v>
      </c>
      <c r="M44" s="26">
        <f>K44*L44*98%</f>
      </c>
      <c r="N44" s="90">
        <v>0.02</v>
      </c>
      <c r="O44" s="134">
        <v>10</v>
      </c>
      <c r="P44" s="135">
        <v>279000</v>
      </c>
      <c r="Q44" s="136">
        <f>O44*P44</f>
      </c>
      <c r="R44" s="21"/>
      <c r="S44" s="93"/>
      <c r="T44" s="48"/>
      <c r="U44" s="94"/>
      <c r="V44" s="134">
        <v>10</v>
      </c>
      <c r="W44" s="135">
        <v>279000</v>
      </c>
      <c r="X44" s="136">
        <f>V44*W44</f>
      </c>
      <c r="Y44" s="21"/>
      <c r="Z44" s="57"/>
      <c r="AA44" s="21"/>
      <c r="AB44" s="134">
        <v>20</v>
      </c>
      <c r="AC44" s="135">
        <v>279000</v>
      </c>
      <c r="AD44" s="136">
        <f>AB44*AC44</f>
      </c>
      <c r="AE44" s="21"/>
      <c r="AF44" s="57"/>
      <c r="AG44" s="21"/>
      <c r="AH44" s="134"/>
      <c r="AI44" s="135"/>
      <c r="AJ44" s="136"/>
      <c r="AK44" s="24">
        <v>10</v>
      </c>
      <c r="AL44" s="57">
        <v>210100</v>
      </c>
      <c r="AM44" s="26">
        <f>AK44*AL44</f>
      </c>
      <c r="AN44" s="134">
        <v>10</v>
      </c>
      <c r="AO44" s="135">
        <v>279000</v>
      </c>
      <c r="AP44" s="134">
        <f>AN44*AO44</f>
      </c>
    </row>
    <row x14ac:dyDescent="0.25" r="45" customHeight="1" ht="23.25">
      <c r="A45" s="131">
        <v>41</v>
      </c>
      <c r="B45" s="132" t="s">
        <v>104</v>
      </c>
      <c r="C45" s="133" t="s">
        <v>215</v>
      </c>
      <c r="D45" s="24"/>
      <c r="E45" s="57"/>
      <c r="F45" s="26"/>
      <c r="G45" s="90"/>
      <c r="H45" s="134">
        <v>9</v>
      </c>
      <c r="I45" s="135">
        <v>259500</v>
      </c>
      <c r="J45" s="136">
        <f>H45*I45</f>
      </c>
      <c r="K45" s="24">
        <v>15</v>
      </c>
      <c r="L45" s="57">
        <v>186000</v>
      </c>
      <c r="M45" s="26">
        <f>K45*L45*98%</f>
      </c>
      <c r="N45" s="90">
        <v>0.02</v>
      </c>
      <c r="O45" s="134">
        <v>11</v>
      </c>
      <c r="P45" s="135">
        <v>259500</v>
      </c>
      <c r="Q45" s="136">
        <f>O45*P45</f>
      </c>
      <c r="R45" s="21"/>
      <c r="S45" s="57"/>
      <c r="T45" s="21"/>
      <c r="U45" s="90"/>
      <c r="V45" s="134">
        <v>27</v>
      </c>
      <c r="W45" s="135">
        <v>259500</v>
      </c>
      <c r="X45" s="136">
        <f>V45*W45</f>
      </c>
      <c r="Y45" s="21"/>
      <c r="Z45" s="57"/>
      <c r="AA45" s="21"/>
      <c r="AB45" s="134"/>
      <c r="AC45" s="135"/>
      <c r="AD45" s="136"/>
      <c r="AE45" s="21"/>
      <c r="AF45" s="57"/>
      <c r="AG45" s="21"/>
      <c r="AH45" s="134"/>
      <c r="AI45" s="135"/>
      <c r="AJ45" s="136"/>
      <c r="AK45" s="24"/>
      <c r="AL45" s="57"/>
      <c r="AM45" s="26"/>
      <c r="AN45" s="134"/>
      <c r="AO45" s="135"/>
      <c r="AP45" s="134">
        <f>AN45*AO45</f>
      </c>
    </row>
    <row x14ac:dyDescent="0.25" r="46" customHeight="1" ht="23.25">
      <c r="A46" s="131">
        <v>42</v>
      </c>
      <c r="B46" s="132" t="s">
        <v>107</v>
      </c>
      <c r="C46" s="133" t="s">
        <v>216</v>
      </c>
      <c r="D46" s="24">
        <v>84</v>
      </c>
      <c r="E46" s="57">
        <v>196500</v>
      </c>
      <c r="F46" s="26">
        <f>D46*E46*98%</f>
      </c>
      <c r="G46" s="90">
        <v>0.02</v>
      </c>
      <c r="H46" s="134">
        <v>50</v>
      </c>
      <c r="I46" s="135">
        <v>274500</v>
      </c>
      <c r="J46" s="136">
        <f>H46*I46</f>
      </c>
      <c r="K46" s="24">
        <v>85</v>
      </c>
      <c r="L46" s="57">
        <v>196500</v>
      </c>
      <c r="M46" s="26">
        <f>K46*L46*98%</f>
      </c>
      <c r="N46" s="90">
        <v>0.02</v>
      </c>
      <c r="O46" s="134">
        <v>91</v>
      </c>
      <c r="P46" s="135">
        <v>274500</v>
      </c>
      <c r="Q46" s="136">
        <f>O46*P46</f>
      </c>
      <c r="R46" s="21">
        <v>1</v>
      </c>
      <c r="S46" s="57">
        <v>196500</v>
      </c>
      <c r="T46" s="21">
        <f>R46*S46*98%</f>
      </c>
      <c r="U46" s="90">
        <v>0.02</v>
      </c>
      <c r="V46" s="134">
        <v>89</v>
      </c>
      <c r="W46" s="135">
        <v>274500</v>
      </c>
      <c r="X46" s="136">
        <f>V46*W46</f>
      </c>
      <c r="Y46" s="21"/>
      <c r="Z46" s="57"/>
      <c r="AA46" s="21"/>
      <c r="AB46" s="134">
        <v>35</v>
      </c>
      <c r="AC46" s="135">
        <v>274500</v>
      </c>
      <c r="AD46" s="136">
        <f>AB46*AC46</f>
      </c>
      <c r="AE46" s="21">
        <v>54</v>
      </c>
      <c r="AF46" s="57">
        <v>212300</v>
      </c>
      <c r="AG46" s="21">
        <f>AE46*AF46</f>
      </c>
      <c r="AH46" s="134">
        <v>27</v>
      </c>
      <c r="AI46" s="135">
        <v>274500</v>
      </c>
      <c r="AJ46" s="136">
        <f>AH46*AI46</f>
      </c>
      <c r="AK46" s="24">
        <v>116</v>
      </c>
      <c r="AL46" s="57">
        <v>212300</v>
      </c>
      <c r="AM46" s="26">
        <f>AK46*AL46</f>
      </c>
      <c r="AN46" s="134">
        <v>48</v>
      </c>
      <c r="AO46" s="135">
        <v>274500</v>
      </c>
      <c r="AP46" s="134">
        <f>AN46*AO46</f>
      </c>
    </row>
    <row x14ac:dyDescent="0.25" r="47" customHeight="1" ht="23.25">
      <c r="A47" s="131">
        <v>43</v>
      </c>
      <c r="B47" s="132" t="s">
        <v>109</v>
      </c>
      <c r="C47" s="133" t="s">
        <v>217</v>
      </c>
      <c r="D47" s="24"/>
      <c r="E47" s="57"/>
      <c r="F47" s="26"/>
      <c r="G47" s="90"/>
      <c r="H47" s="134">
        <v>40</v>
      </c>
      <c r="I47" s="135">
        <v>282000</v>
      </c>
      <c r="J47" s="136">
        <f>H47*I47</f>
      </c>
      <c r="K47" s="24">
        <v>18</v>
      </c>
      <c r="L47" s="57">
        <v>202000</v>
      </c>
      <c r="M47" s="26">
        <f>K47*L47*98%</f>
      </c>
      <c r="N47" s="90">
        <v>0.02</v>
      </c>
      <c r="O47" s="134">
        <v>90</v>
      </c>
      <c r="P47" s="135">
        <v>282000</v>
      </c>
      <c r="Q47" s="136">
        <f>O47*P47</f>
      </c>
      <c r="R47" s="21">
        <f>8+7+17</f>
      </c>
      <c r="S47" s="57">
        <v>202000</v>
      </c>
      <c r="T47" s="21">
        <f>R47*S47*98%</f>
      </c>
      <c r="U47" s="90">
        <v>0.02</v>
      </c>
      <c r="V47" s="134">
        <v>50</v>
      </c>
      <c r="W47" s="135">
        <v>282000</v>
      </c>
      <c r="X47" s="136">
        <f>V47*W47</f>
      </c>
      <c r="Y47" s="21"/>
      <c r="Z47" s="93"/>
      <c r="AA47" s="48"/>
      <c r="AB47" s="134"/>
      <c r="AC47" s="135"/>
      <c r="AD47" s="136"/>
      <c r="AE47" s="21"/>
      <c r="AF47" s="57"/>
      <c r="AG47" s="21"/>
      <c r="AH47" s="134"/>
      <c r="AI47" s="135"/>
      <c r="AJ47" s="136"/>
      <c r="AK47" s="24"/>
      <c r="AL47" s="57"/>
      <c r="AM47" s="26"/>
      <c r="AN47" s="134">
        <v>25</v>
      </c>
      <c r="AO47" s="135">
        <v>282000</v>
      </c>
      <c r="AP47" s="134">
        <f>AN47*AO47</f>
      </c>
    </row>
    <row x14ac:dyDescent="0.25" r="48" customHeight="1" ht="23.25">
      <c r="A48" s="131">
        <v>44</v>
      </c>
      <c r="B48" s="132" t="s">
        <v>112</v>
      </c>
      <c r="C48" s="133" t="s">
        <v>233</v>
      </c>
      <c r="D48" s="24"/>
      <c r="E48" s="57"/>
      <c r="F48" s="26"/>
      <c r="G48" s="90"/>
      <c r="H48" s="134">
        <v>90</v>
      </c>
      <c r="I48" s="135">
        <v>122000</v>
      </c>
      <c r="J48" s="136">
        <f>H48*I48</f>
      </c>
      <c r="K48" s="24">
        <v>20</v>
      </c>
      <c r="L48" s="57">
        <v>83000</v>
      </c>
      <c r="M48" s="26">
        <f>K48*L48*98%</f>
      </c>
      <c r="N48" s="90">
        <v>0.02</v>
      </c>
      <c r="O48" s="134"/>
      <c r="P48" s="135"/>
      <c r="Q48" s="136"/>
      <c r="R48" s="21">
        <f>20+20+15+20+10+20+5+15+15+15+20+10+15+5+5</f>
      </c>
      <c r="S48" s="57">
        <v>83000</v>
      </c>
      <c r="T48" s="21">
        <f>R48*S48*98%</f>
      </c>
      <c r="U48" s="90">
        <v>0.02</v>
      </c>
      <c r="V48" s="134">
        <v>110</v>
      </c>
      <c r="W48" s="135">
        <v>122000</v>
      </c>
      <c r="X48" s="136">
        <f>V48*W48</f>
      </c>
      <c r="Y48" s="21">
        <v>64</v>
      </c>
      <c r="Z48" s="57">
        <v>83000</v>
      </c>
      <c r="AA48" s="21">
        <f>Y48*Z48</f>
      </c>
      <c r="AB48" s="134">
        <v>19</v>
      </c>
      <c r="AC48" s="135">
        <v>122000</v>
      </c>
      <c r="AD48" s="136">
        <f>AB48*AC48</f>
      </c>
      <c r="AE48" s="21">
        <v>131</v>
      </c>
      <c r="AF48" s="57">
        <v>91300</v>
      </c>
      <c r="AG48" s="21">
        <f>AE48*AF48</f>
      </c>
      <c r="AH48" s="134">
        <v>41</v>
      </c>
      <c r="AI48" s="135">
        <v>122000</v>
      </c>
      <c r="AJ48" s="136">
        <f>AH48*AI48</f>
      </c>
      <c r="AK48" s="24">
        <v>50</v>
      </c>
      <c r="AL48" s="57">
        <v>91300</v>
      </c>
      <c r="AM48" s="26">
        <f>AK48*AL48</f>
      </c>
      <c r="AN48" s="134">
        <v>40</v>
      </c>
      <c r="AO48" s="135">
        <v>122000</v>
      </c>
      <c r="AP48" s="134">
        <f>AN48*AO48</f>
      </c>
    </row>
    <row x14ac:dyDescent="0.25" r="49" customHeight="1" ht="23.25">
      <c r="A49" s="131">
        <v>45</v>
      </c>
      <c r="B49" s="132" t="s">
        <v>114</v>
      </c>
      <c r="C49" s="133" t="s">
        <v>219</v>
      </c>
      <c r="D49" s="24">
        <v>11</v>
      </c>
      <c r="E49" s="57">
        <v>239000</v>
      </c>
      <c r="F49" s="26">
        <f>D49*E49*98%</f>
      </c>
      <c r="G49" s="90">
        <v>0.02</v>
      </c>
      <c r="H49" s="134">
        <v>30</v>
      </c>
      <c r="I49" s="135">
        <v>340500</v>
      </c>
      <c r="J49" s="136">
        <f>H49*I49</f>
      </c>
      <c r="K49" s="24"/>
      <c r="L49" s="57"/>
      <c r="M49" s="26"/>
      <c r="N49" s="90"/>
      <c r="O49" s="134">
        <v>60</v>
      </c>
      <c r="P49" s="135">
        <v>340500</v>
      </c>
      <c r="Q49" s="136">
        <f>O49*P49</f>
      </c>
      <c r="R49" s="21">
        <f>10+18+3+2</f>
      </c>
      <c r="S49" s="57">
        <v>239000</v>
      </c>
      <c r="T49" s="21">
        <f>R49*S49*98%</f>
      </c>
      <c r="U49" s="90">
        <v>0.02</v>
      </c>
      <c r="V49" s="134">
        <v>45</v>
      </c>
      <c r="W49" s="135">
        <v>340500</v>
      </c>
      <c r="X49" s="136">
        <f>V49*W49</f>
      </c>
      <c r="Y49" s="21"/>
      <c r="Z49" s="57"/>
      <c r="AA49" s="21"/>
      <c r="AB49" s="134">
        <v>45</v>
      </c>
      <c r="AC49" s="135">
        <v>340500</v>
      </c>
      <c r="AD49" s="136">
        <f>AB49*AC49</f>
      </c>
      <c r="AE49" s="21">
        <v>57</v>
      </c>
      <c r="AF49" s="57">
        <v>255800</v>
      </c>
      <c r="AG49" s="21">
        <f>AE49*AF49</f>
      </c>
      <c r="AH49" s="134">
        <v>20</v>
      </c>
      <c r="AI49" s="135">
        <v>340500</v>
      </c>
      <c r="AJ49" s="136">
        <f>AH49*AI49</f>
      </c>
      <c r="AK49" s="24">
        <v>14</v>
      </c>
      <c r="AL49" s="57">
        <v>255800</v>
      </c>
      <c r="AM49" s="26">
        <f>AK49*AL49</f>
      </c>
      <c r="AN49" s="134"/>
      <c r="AO49" s="135"/>
      <c r="AP49" s="134">
        <f>AN49*AO49</f>
      </c>
    </row>
    <row x14ac:dyDescent="0.25" r="50" customHeight="1" ht="23.25">
      <c r="A50" s="131">
        <v>46</v>
      </c>
      <c r="B50" s="132" t="s">
        <v>116</v>
      </c>
      <c r="C50" s="133" t="s">
        <v>220</v>
      </c>
      <c r="D50" s="24"/>
      <c r="E50" s="57"/>
      <c r="F50" s="26"/>
      <c r="G50" s="90"/>
      <c r="H50" s="134">
        <v>10</v>
      </c>
      <c r="I50" s="135">
        <v>353900</v>
      </c>
      <c r="J50" s="136">
        <f>H50*I50</f>
      </c>
      <c r="K50" s="24"/>
      <c r="L50" s="57"/>
      <c r="M50" s="26"/>
      <c r="N50" s="90"/>
      <c r="O50" s="134">
        <v>30</v>
      </c>
      <c r="P50" s="135">
        <v>353900</v>
      </c>
      <c r="Q50" s="136">
        <f>O50*P50</f>
      </c>
      <c r="R50" s="21">
        <v>2</v>
      </c>
      <c r="S50" s="57">
        <v>255000</v>
      </c>
      <c r="T50" s="21">
        <f>R50*S50*98%</f>
      </c>
      <c r="U50" s="90">
        <v>0.02</v>
      </c>
      <c r="V50" s="134">
        <v>40</v>
      </c>
      <c r="W50" s="135">
        <v>353900</v>
      </c>
      <c r="X50" s="136">
        <f>V50*W50</f>
      </c>
      <c r="Y50" s="21"/>
      <c r="Z50" s="57"/>
      <c r="AA50" s="21"/>
      <c r="AB50" s="134"/>
      <c r="AC50" s="135"/>
      <c r="AD50" s="136"/>
      <c r="AE50" s="21"/>
      <c r="AF50" s="57"/>
      <c r="AG50" s="21"/>
      <c r="AH50" s="134"/>
      <c r="AI50" s="135"/>
      <c r="AJ50" s="136"/>
      <c r="AK50" s="24"/>
      <c r="AL50" s="57"/>
      <c r="AM50" s="26"/>
      <c r="AN50" s="134">
        <v>10</v>
      </c>
      <c r="AO50" s="135">
        <v>353900</v>
      </c>
      <c r="AP50" s="134">
        <f>AN50*AO50</f>
      </c>
    </row>
    <row x14ac:dyDescent="0.25" r="51" customHeight="1" ht="23.25">
      <c r="A51" s="131">
        <v>47</v>
      </c>
      <c r="B51" s="132" t="s">
        <v>118</v>
      </c>
      <c r="C51" s="133" t="s">
        <v>221</v>
      </c>
      <c r="D51" s="24">
        <v>50</v>
      </c>
      <c r="E51" s="57">
        <v>255000</v>
      </c>
      <c r="F51" s="26">
        <f>D51*E51*98%</f>
      </c>
      <c r="G51" s="90">
        <v>0.02</v>
      </c>
      <c r="H51" s="134">
        <v>90</v>
      </c>
      <c r="I51" s="135">
        <v>363500</v>
      </c>
      <c r="J51" s="136">
        <f>H51*I51</f>
      </c>
      <c r="K51" s="24">
        <v>34</v>
      </c>
      <c r="L51" s="57">
        <v>255000</v>
      </c>
      <c r="M51" s="26">
        <f>K51*L51*98%</f>
      </c>
      <c r="N51" s="90">
        <v>0.02</v>
      </c>
      <c r="O51" s="134">
        <v>90</v>
      </c>
      <c r="P51" s="135">
        <v>363500</v>
      </c>
      <c r="Q51" s="136">
        <f>O51*P51</f>
      </c>
      <c r="R51" s="21">
        <f>6+10+10</f>
      </c>
      <c r="S51" s="57">
        <v>255000</v>
      </c>
      <c r="T51" s="21">
        <f>R51*S51*98%</f>
      </c>
      <c r="U51" s="90">
        <v>0.02</v>
      </c>
      <c r="V51" s="134">
        <v>70</v>
      </c>
      <c r="W51" s="135">
        <v>363500</v>
      </c>
      <c r="X51" s="136">
        <f>V51*W51</f>
      </c>
      <c r="Y51" s="21"/>
      <c r="Z51" s="57"/>
      <c r="AA51" s="21"/>
      <c r="AB51" s="134">
        <v>50</v>
      </c>
      <c r="AC51" s="135">
        <v>363500</v>
      </c>
      <c r="AD51" s="136">
        <f>AB51*AC51</f>
      </c>
      <c r="AE51" s="21">
        <v>60</v>
      </c>
      <c r="AF51" s="57">
        <v>272900</v>
      </c>
      <c r="AG51" s="21">
        <f>AE51*AF51</f>
      </c>
      <c r="AH51" s="134">
        <v>18</v>
      </c>
      <c r="AI51" s="135">
        <v>363500</v>
      </c>
      <c r="AJ51" s="136">
        <f>AH51*AI51</f>
      </c>
      <c r="AK51" s="24">
        <v>65</v>
      </c>
      <c r="AL51" s="57">
        <v>272900</v>
      </c>
      <c r="AM51" s="26">
        <f>AK51*AL51</f>
      </c>
      <c r="AN51" s="134">
        <v>12</v>
      </c>
      <c r="AO51" s="135">
        <v>363500</v>
      </c>
      <c r="AP51" s="134">
        <f>AN51*AO51</f>
      </c>
    </row>
    <row x14ac:dyDescent="0.25" r="52" customHeight="1" ht="23.25">
      <c r="A52" s="131">
        <v>48</v>
      </c>
      <c r="B52" s="132" t="s">
        <v>121</v>
      </c>
      <c r="C52" s="133" t="s">
        <v>222</v>
      </c>
      <c r="D52" s="24">
        <v>6</v>
      </c>
      <c r="E52" s="57">
        <v>166500</v>
      </c>
      <c r="F52" s="26">
        <f>D52*E52*93%</f>
      </c>
      <c r="G52" s="90">
        <v>0.07</v>
      </c>
      <c r="H52" s="134"/>
      <c r="I52" s="135"/>
      <c r="J52" s="136"/>
      <c r="K52" s="24"/>
      <c r="L52" s="57"/>
      <c r="M52" s="26"/>
      <c r="N52" s="90"/>
      <c r="O52" s="134">
        <v>10</v>
      </c>
      <c r="P52" s="135">
        <v>222000</v>
      </c>
      <c r="Q52" s="136">
        <f>O52*P52</f>
      </c>
      <c r="R52" s="21"/>
      <c r="S52" s="57"/>
      <c r="T52" s="21"/>
      <c r="U52" s="90"/>
      <c r="V52" s="134"/>
      <c r="W52" s="135"/>
      <c r="X52" s="136"/>
      <c r="Y52" s="21"/>
      <c r="Z52" s="57"/>
      <c r="AA52" s="21"/>
      <c r="AB52" s="134"/>
      <c r="AC52" s="135"/>
      <c r="AD52" s="136"/>
      <c r="AE52" s="21"/>
      <c r="AF52" s="57"/>
      <c r="AG52" s="21"/>
      <c r="AH52" s="134">
        <v>20</v>
      </c>
      <c r="AI52" s="135">
        <v>222000</v>
      </c>
      <c r="AJ52" s="136">
        <f>AH52*AI52</f>
      </c>
      <c r="AK52" s="24">
        <v>64</v>
      </c>
      <c r="AL52" s="57">
        <v>175000</v>
      </c>
      <c r="AM52" s="26">
        <f>AK52*AL52</f>
      </c>
      <c r="AN52" s="134">
        <v>30</v>
      </c>
      <c r="AO52" s="135">
        <v>222000</v>
      </c>
      <c r="AP52" s="134">
        <f>AN52*AO52</f>
      </c>
    </row>
    <row x14ac:dyDescent="0.25" r="53" customHeight="1" ht="23.25">
      <c r="A53" s="131">
        <v>49</v>
      </c>
      <c r="B53" s="132" t="s">
        <v>124</v>
      </c>
      <c r="C53" s="133" t="s">
        <v>223</v>
      </c>
      <c r="D53" s="48"/>
      <c r="E53" s="93"/>
      <c r="F53" s="48"/>
      <c r="G53" s="94"/>
      <c r="H53" s="134"/>
      <c r="I53" s="135"/>
      <c r="J53" s="136"/>
      <c r="K53" s="21"/>
      <c r="L53" s="93"/>
      <c r="M53" s="48"/>
      <c r="N53" s="94"/>
      <c r="O53" s="140"/>
      <c r="P53" s="141"/>
      <c r="Q53" s="140"/>
      <c r="R53" s="21"/>
      <c r="S53" s="93"/>
      <c r="T53" s="48"/>
      <c r="U53" s="94"/>
      <c r="V53" s="140"/>
      <c r="W53" s="141"/>
      <c r="X53" s="140"/>
      <c r="Y53" s="21"/>
      <c r="Z53" s="93"/>
      <c r="AA53" s="48"/>
      <c r="AB53" s="134"/>
      <c r="AC53" s="135"/>
      <c r="AD53" s="136"/>
      <c r="AE53" s="48"/>
      <c r="AF53" s="58"/>
      <c r="AG53" s="48"/>
      <c r="AH53" s="134"/>
      <c r="AI53" s="135"/>
      <c r="AJ53" s="136"/>
      <c r="AK53" s="24">
        <v>10</v>
      </c>
      <c r="AL53" s="57">
        <v>185000</v>
      </c>
      <c r="AM53" s="26">
        <f>AK53*AL53</f>
      </c>
      <c r="AN53" s="134">
        <v>15</v>
      </c>
      <c r="AO53" s="135">
        <v>234500</v>
      </c>
      <c r="AP53" s="134">
        <f>AN53*AO53</f>
      </c>
    </row>
    <row x14ac:dyDescent="0.25" r="54" customHeight="1" ht="23.25">
      <c r="A54" s="131">
        <v>50</v>
      </c>
      <c r="B54" s="132" t="s">
        <v>126</v>
      </c>
      <c r="C54" s="133" t="s">
        <v>224</v>
      </c>
      <c r="D54" s="24"/>
      <c r="E54" s="57"/>
      <c r="F54" s="26"/>
      <c r="G54" s="90"/>
      <c r="H54" s="134"/>
      <c r="I54" s="135"/>
      <c r="J54" s="136"/>
      <c r="K54" s="24"/>
      <c r="L54" s="57"/>
      <c r="M54" s="26"/>
      <c r="N54" s="90"/>
      <c r="O54" s="134">
        <v>4</v>
      </c>
      <c r="P54" s="135">
        <v>312500</v>
      </c>
      <c r="Q54" s="136">
        <f>O54*P54</f>
      </c>
      <c r="R54" s="21">
        <f>8+2</f>
      </c>
      <c r="S54" s="57">
        <v>229000</v>
      </c>
      <c r="T54" s="21">
        <f>R54*S54*93%</f>
      </c>
      <c r="U54" s="90">
        <v>0.07</v>
      </c>
      <c r="V54" s="134">
        <v>8</v>
      </c>
      <c r="W54" s="135">
        <v>312500</v>
      </c>
      <c r="X54" s="136">
        <f>V54*W54</f>
      </c>
      <c r="Y54" s="21"/>
      <c r="Z54" s="57"/>
      <c r="AA54" s="21"/>
      <c r="AB54" s="134">
        <v>12</v>
      </c>
      <c r="AC54" s="135">
        <v>312500</v>
      </c>
      <c r="AD54" s="136">
        <f>AB54*AC54</f>
      </c>
      <c r="AE54" s="21">
        <v>4</v>
      </c>
      <c r="AF54" s="57">
        <v>240500</v>
      </c>
      <c r="AG54" s="21">
        <f>AE54*AF54</f>
      </c>
      <c r="AH54" s="134">
        <v>10</v>
      </c>
      <c r="AI54" s="135">
        <v>312500</v>
      </c>
      <c r="AJ54" s="136">
        <f>AH54*AI54*90%</f>
      </c>
      <c r="AK54" s="24"/>
      <c r="AL54" s="57"/>
      <c r="AM54" s="26"/>
      <c r="AN54" s="134">
        <v>20</v>
      </c>
      <c r="AO54" s="135">
        <v>312500</v>
      </c>
      <c r="AP54" s="134">
        <f>AN54*AO54</f>
      </c>
    </row>
    <row x14ac:dyDescent="0.25" r="55" customHeight="1" ht="23.25">
      <c r="A55" s="131">
        <v>51</v>
      </c>
      <c r="B55" s="132" t="s">
        <v>128</v>
      </c>
      <c r="C55" s="133" t="s">
        <v>225</v>
      </c>
      <c r="D55" s="24"/>
      <c r="E55" s="57"/>
      <c r="F55" s="26"/>
      <c r="G55" s="90"/>
      <c r="H55" s="134">
        <v>10</v>
      </c>
      <c r="I55" s="135">
        <v>339000</v>
      </c>
      <c r="J55" s="136">
        <f>H55*I55</f>
      </c>
      <c r="K55" s="24"/>
      <c r="L55" s="57"/>
      <c r="M55" s="26"/>
      <c r="N55" s="90"/>
      <c r="O55" s="134">
        <v>10</v>
      </c>
      <c r="P55" s="135">
        <v>339000</v>
      </c>
      <c r="Q55" s="136">
        <f>O55*P55</f>
      </c>
      <c r="R55" s="21">
        <f>3+2+1</f>
      </c>
      <c r="S55" s="57">
        <v>249000</v>
      </c>
      <c r="T55" s="21">
        <f>R55*S55*93%</f>
      </c>
      <c r="U55" s="90">
        <v>0.07</v>
      </c>
      <c r="V55" s="134">
        <v>5</v>
      </c>
      <c r="W55" s="135">
        <v>339000</v>
      </c>
      <c r="X55" s="136">
        <f>V55*W55</f>
      </c>
      <c r="Y55" s="21">
        <v>59</v>
      </c>
      <c r="Z55" s="57">
        <v>249000</v>
      </c>
      <c r="AA55" s="21">
        <f>Y55*Z55</f>
      </c>
      <c r="AB55" s="134">
        <v>30</v>
      </c>
      <c r="AC55" s="135">
        <v>339000</v>
      </c>
      <c r="AD55" s="136">
        <f>AB55*AC55</f>
      </c>
      <c r="AE55" s="21"/>
      <c r="AF55" s="57"/>
      <c r="AG55" s="21"/>
      <c r="AH55" s="134">
        <v>5</v>
      </c>
      <c r="AI55" s="135">
        <v>339000</v>
      </c>
      <c r="AJ55" s="136">
        <f>AH55*AI55</f>
      </c>
      <c r="AK55" s="24"/>
      <c r="AL55" s="57"/>
      <c r="AM55" s="26"/>
      <c r="AN55" s="134">
        <v>46</v>
      </c>
      <c r="AO55" s="135">
        <v>339000</v>
      </c>
      <c r="AP55" s="134">
        <f>AN55*AO55</f>
      </c>
    </row>
    <row x14ac:dyDescent="0.25" r="56" customHeight="1" ht="23.25">
      <c r="A56" s="131">
        <v>52</v>
      </c>
      <c r="B56" s="132" t="s">
        <v>131</v>
      </c>
      <c r="C56" s="133" t="s">
        <v>226</v>
      </c>
      <c r="D56" s="24">
        <v>2</v>
      </c>
      <c r="E56" s="57">
        <v>130000</v>
      </c>
      <c r="F56" s="26">
        <f>D56*E56*93%</f>
      </c>
      <c r="G56" s="90">
        <v>0.07</v>
      </c>
      <c r="H56" s="134"/>
      <c r="I56" s="135"/>
      <c r="J56" s="136"/>
      <c r="K56" s="24"/>
      <c r="L56" s="57"/>
      <c r="M56" s="26"/>
      <c r="N56" s="90"/>
      <c r="O56" s="134"/>
      <c r="P56" s="135"/>
      <c r="Q56" s="136"/>
      <c r="R56" s="21"/>
      <c r="S56" s="57"/>
      <c r="T56" s="21"/>
      <c r="U56" s="90"/>
      <c r="V56" s="134"/>
      <c r="W56" s="135"/>
      <c r="X56" s="136"/>
      <c r="Y56" s="21"/>
      <c r="Z56" s="57"/>
      <c r="AA56" s="21"/>
      <c r="AB56" s="134">
        <v>10</v>
      </c>
      <c r="AC56" s="135">
        <v>176500</v>
      </c>
      <c r="AD56" s="136">
        <f>AB56*AC56</f>
      </c>
      <c r="AE56" s="21"/>
      <c r="AF56" s="57"/>
      <c r="AG56" s="21"/>
      <c r="AH56" s="134">
        <v>5</v>
      </c>
      <c r="AI56" s="135">
        <v>176500</v>
      </c>
      <c r="AJ56" s="136">
        <f>AH56*AI56</f>
      </c>
      <c r="AK56" s="24"/>
      <c r="AL56" s="57"/>
      <c r="AM56" s="26"/>
      <c r="AN56" s="134">
        <v>5</v>
      </c>
      <c r="AO56" s="135">
        <v>176500</v>
      </c>
      <c r="AP56" s="134">
        <f>AN56*AO56</f>
      </c>
    </row>
    <row x14ac:dyDescent="0.25" r="57" customHeight="1" ht="23.25">
      <c r="A57" s="131">
        <v>53</v>
      </c>
      <c r="B57" s="132" t="s">
        <v>134</v>
      </c>
      <c r="C57" s="133" t="s">
        <v>227</v>
      </c>
      <c r="D57" s="24">
        <v>4</v>
      </c>
      <c r="E57" s="57">
        <v>180000</v>
      </c>
      <c r="F57" s="26">
        <f>D57*E57*93%</f>
      </c>
      <c r="G57" s="90">
        <v>0.07</v>
      </c>
      <c r="H57" s="134"/>
      <c r="I57" s="135"/>
      <c r="J57" s="136"/>
      <c r="K57" s="24">
        <v>4</v>
      </c>
      <c r="L57" s="57">
        <v>180000</v>
      </c>
      <c r="M57" s="26">
        <f>K57*L57*93%</f>
      </c>
      <c r="N57" s="90">
        <v>0.07</v>
      </c>
      <c r="O57" s="134"/>
      <c r="P57" s="135"/>
      <c r="Q57" s="136"/>
      <c r="R57" s="21">
        <f>2+3</f>
      </c>
      <c r="S57" s="57">
        <v>180000</v>
      </c>
      <c r="T57" s="21">
        <f>R57*S57*93%</f>
      </c>
      <c r="U57" s="90">
        <v>0.07</v>
      </c>
      <c r="V57" s="134"/>
      <c r="W57" s="135"/>
      <c r="X57" s="136"/>
      <c r="Y57" s="21"/>
      <c r="Z57" s="57"/>
      <c r="AA57" s="21"/>
      <c r="AB57" s="134">
        <v>10</v>
      </c>
      <c r="AC57" s="135">
        <v>245000</v>
      </c>
      <c r="AD57" s="136">
        <f>AB57*AC57</f>
      </c>
      <c r="AE57" s="21">
        <v>6</v>
      </c>
      <c r="AF57" s="57">
        <v>189000</v>
      </c>
      <c r="AG57" s="21">
        <f>AE57*AF57</f>
      </c>
      <c r="AH57" s="134">
        <v>20</v>
      </c>
      <c r="AI57" s="135">
        <v>245000</v>
      </c>
      <c r="AJ57" s="136">
        <f>AH57*AI57</f>
      </c>
      <c r="AK57" s="24"/>
      <c r="AL57" s="57"/>
      <c r="AM57" s="26"/>
      <c r="AN57" s="134"/>
      <c r="AO57" s="135"/>
      <c r="AP57" s="134">
        <f>AN57*AO57</f>
      </c>
    </row>
    <row x14ac:dyDescent="0.25" r="58" customHeight="1" ht="23.25">
      <c r="A58" s="131">
        <v>54</v>
      </c>
      <c r="B58" s="132" t="s">
        <v>137</v>
      </c>
      <c r="C58" s="133" t="s">
        <v>228</v>
      </c>
      <c r="D58" s="24"/>
      <c r="E58" s="57"/>
      <c r="F58" s="26"/>
      <c r="G58" s="90"/>
      <c r="H58" s="134"/>
      <c r="I58" s="135"/>
      <c r="J58" s="136"/>
      <c r="K58" s="24"/>
      <c r="L58" s="57"/>
      <c r="M58" s="26"/>
      <c r="N58" s="90"/>
      <c r="O58" s="134"/>
      <c r="P58" s="135"/>
      <c r="Q58" s="136"/>
      <c r="R58" s="21"/>
      <c r="S58" s="57"/>
      <c r="T58" s="21"/>
      <c r="U58" s="90"/>
      <c r="V58" s="134">
        <v>6</v>
      </c>
      <c r="W58" s="135">
        <v>271500</v>
      </c>
      <c r="X58" s="136">
        <f>V58*W58</f>
      </c>
      <c r="Y58" s="21"/>
      <c r="Z58" s="57"/>
      <c r="AA58" s="21"/>
      <c r="AB58" s="134">
        <v>14</v>
      </c>
      <c r="AC58" s="135">
        <v>271500</v>
      </c>
      <c r="AD58" s="136">
        <f>AB58*AC58</f>
      </c>
      <c r="AE58" s="21"/>
      <c r="AF58" s="57"/>
      <c r="AG58" s="21"/>
      <c r="AH58" s="134">
        <v>15</v>
      </c>
      <c r="AI58" s="135">
        <v>271500</v>
      </c>
      <c r="AJ58" s="136">
        <f>AH58*AI58</f>
      </c>
      <c r="AK58" s="24"/>
      <c r="AL58" s="57"/>
      <c r="AM58" s="26"/>
      <c r="AN58" s="134">
        <v>11</v>
      </c>
      <c r="AO58" s="135">
        <v>271500</v>
      </c>
      <c r="AP58" s="134">
        <f>AN58*AO58</f>
      </c>
    </row>
    <row x14ac:dyDescent="0.25" r="59" customHeight="1" ht="23.25">
      <c r="A59" s="131">
        <v>55</v>
      </c>
      <c r="B59" s="132" t="s">
        <v>139</v>
      </c>
      <c r="C59" s="133" t="s">
        <v>229</v>
      </c>
      <c r="D59" s="24">
        <v>140</v>
      </c>
      <c r="E59" s="57">
        <v>38500</v>
      </c>
      <c r="F59" s="26">
        <f>D59*E59*98%</f>
      </c>
      <c r="G59" s="90">
        <v>0.02</v>
      </c>
      <c r="H59" s="134">
        <v>611</v>
      </c>
      <c r="I59" s="135">
        <v>55500</v>
      </c>
      <c r="J59" s="136">
        <f>H59*I59</f>
      </c>
      <c r="K59" s="24">
        <v>270</v>
      </c>
      <c r="L59" s="57">
        <v>38500</v>
      </c>
      <c r="M59" s="26">
        <f>K59*L59*98%</f>
      </c>
      <c r="N59" s="90">
        <v>0.02</v>
      </c>
      <c r="O59" s="134">
        <v>300</v>
      </c>
      <c r="P59" s="135">
        <v>55500</v>
      </c>
      <c r="Q59" s="136">
        <f>O59*P59</f>
      </c>
      <c r="R59" s="21">
        <f>50+35+30+40+9+30+40+30+40+30</f>
      </c>
      <c r="S59" s="57">
        <v>38500</v>
      </c>
      <c r="T59" s="21">
        <f>R59*S59*98%</f>
      </c>
      <c r="U59" s="90">
        <v>0.02</v>
      </c>
      <c r="V59" s="134">
        <v>654</v>
      </c>
      <c r="W59" s="135">
        <v>55500</v>
      </c>
      <c r="X59" s="136">
        <f>V59*W59</f>
      </c>
      <c r="Y59" s="21">
        <v>126</v>
      </c>
      <c r="Z59" s="57">
        <v>38500</v>
      </c>
      <c r="AA59" s="21">
        <f>Y59*Z59</f>
      </c>
      <c r="AB59" s="134">
        <v>352</v>
      </c>
      <c r="AC59" s="135">
        <v>55500</v>
      </c>
      <c r="AD59" s="136">
        <f>AB59*AC59</f>
      </c>
      <c r="AE59" s="21">
        <v>629</v>
      </c>
      <c r="AF59" s="57">
        <v>42400</v>
      </c>
      <c r="AG59" s="21">
        <f>AE59*AF59</f>
      </c>
      <c r="AH59" s="134">
        <v>294</v>
      </c>
      <c r="AI59" s="135">
        <v>55500</v>
      </c>
      <c r="AJ59" s="136">
        <f>AH59*AI59</f>
      </c>
      <c r="AK59" s="24">
        <v>305</v>
      </c>
      <c r="AL59" s="57">
        <v>42400</v>
      </c>
      <c r="AM59" s="26">
        <f>AK59*AL59</f>
      </c>
      <c r="AN59" s="134">
        <v>400</v>
      </c>
      <c r="AO59" s="135">
        <v>55500</v>
      </c>
      <c r="AP59" s="134">
        <f>AN59*AO59</f>
      </c>
    </row>
    <row x14ac:dyDescent="0.25" r="60" customHeight="1" ht="23.25">
      <c r="A60" s="131">
        <v>56</v>
      </c>
      <c r="B60" s="132" t="s">
        <v>141</v>
      </c>
      <c r="C60" s="133" t="s">
        <v>230</v>
      </c>
      <c r="D60" s="48"/>
      <c r="E60" s="93"/>
      <c r="F60" s="48"/>
      <c r="G60" s="94"/>
      <c r="H60" s="134">
        <v>10</v>
      </c>
      <c r="I60" s="135">
        <v>139500</v>
      </c>
      <c r="J60" s="136">
        <f>H60*I60</f>
      </c>
      <c r="K60" s="21"/>
      <c r="L60" s="93"/>
      <c r="M60" s="48"/>
      <c r="N60" s="94"/>
      <c r="O60" s="140"/>
      <c r="P60" s="141"/>
      <c r="Q60" s="140"/>
      <c r="R60" s="21"/>
      <c r="S60" s="93"/>
      <c r="T60" s="48"/>
      <c r="U60" s="94"/>
      <c r="V60" s="140"/>
      <c r="W60" s="141"/>
      <c r="X60" s="140"/>
      <c r="Y60" s="21"/>
      <c r="Z60" s="93"/>
      <c r="AA60" s="48"/>
      <c r="AB60" s="134"/>
      <c r="AC60" s="135"/>
      <c r="AD60" s="136"/>
      <c r="AE60" s="21">
        <v>30</v>
      </c>
      <c r="AF60" s="57">
        <v>105000</v>
      </c>
      <c r="AG60" s="21">
        <f>AE60*AF60</f>
      </c>
      <c r="AH60" s="134">
        <v>20</v>
      </c>
      <c r="AI60" s="135">
        <v>139500</v>
      </c>
      <c r="AJ60" s="136">
        <f>AH60*AI60</f>
      </c>
      <c r="AK60" s="24"/>
      <c r="AL60" s="57"/>
      <c r="AM60" s="26"/>
      <c r="AN60" s="134">
        <v>20</v>
      </c>
      <c r="AO60" s="135">
        <v>139500</v>
      </c>
      <c r="AP60" s="134">
        <f>AN60*AO60</f>
      </c>
    </row>
    <row x14ac:dyDescent="0.25" r="61" customHeight="1" ht="23.25">
      <c r="A61" s="131">
        <v>57</v>
      </c>
      <c r="B61" s="142" t="s">
        <v>144</v>
      </c>
      <c r="C61" s="143" t="s">
        <v>145</v>
      </c>
      <c r="D61" s="48"/>
      <c r="E61" s="93"/>
      <c r="F61" s="48"/>
      <c r="G61" s="94"/>
      <c r="H61" s="134"/>
      <c r="I61" s="135"/>
      <c r="J61" s="136"/>
      <c r="K61" s="21"/>
      <c r="L61" s="93"/>
      <c r="M61" s="48"/>
      <c r="N61" s="94"/>
      <c r="O61" s="140"/>
      <c r="P61" s="141"/>
      <c r="Q61" s="140"/>
      <c r="R61" s="21"/>
      <c r="S61" s="93"/>
      <c r="T61" s="48"/>
      <c r="U61" s="94"/>
      <c r="V61" s="140"/>
      <c r="W61" s="141"/>
      <c r="X61" s="140"/>
      <c r="Y61" s="21"/>
      <c r="Z61" s="93"/>
      <c r="AA61" s="48"/>
      <c r="AB61" s="134"/>
      <c r="AC61" s="135"/>
      <c r="AD61" s="136"/>
      <c r="AE61" s="48"/>
      <c r="AF61" s="58"/>
      <c r="AG61" s="48"/>
      <c r="AH61" s="134"/>
      <c r="AI61" s="135"/>
      <c r="AJ61" s="136"/>
      <c r="AK61" s="24"/>
      <c r="AL61" s="57"/>
      <c r="AM61" s="26"/>
      <c r="AN61" s="134">
        <v>20</v>
      </c>
      <c r="AO61" s="135">
        <v>165000</v>
      </c>
      <c r="AP61" s="134">
        <f>AN61*AO61</f>
      </c>
    </row>
    <row x14ac:dyDescent="0.25" r="62" customHeight="1" ht="23.25">
      <c r="A62" s="144" t="s">
        <v>146</v>
      </c>
      <c r="B62" s="145"/>
      <c r="C62" s="146"/>
      <c r="D62" s="21">
        <f>SUM(D7:D60)</f>
      </c>
      <c r="E62" s="58"/>
      <c r="F62" s="36">
        <f>SUM(F7:F60)</f>
      </c>
      <c r="G62" s="94"/>
      <c r="H62" s="129">
        <f>SUM(H7:H60)</f>
      </c>
      <c r="I62" s="130"/>
      <c r="J62" s="129">
        <f>SUM(J7:J60)</f>
      </c>
      <c r="K62" s="21">
        <f>SUM(K7:K60)</f>
      </c>
      <c r="L62" s="105"/>
      <c r="M62" s="36">
        <f>SUM(M7:M60)</f>
      </c>
      <c r="N62" s="106"/>
      <c r="O62" s="147">
        <f>SUM(O7:O60)</f>
      </c>
      <c r="P62" s="148"/>
      <c r="Q62" s="147">
        <f>SUM(Q7:Q60)</f>
      </c>
      <c r="R62" s="21">
        <f>SUM(R7:R60)</f>
      </c>
      <c r="S62" s="105"/>
      <c r="T62" s="36">
        <f>SUM(T7:T60)</f>
      </c>
      <c r="U62" s="106"/>
      <c r="V62" s="147">
        <f>SUM(V7:V60)</f>
      </c>
      <c r="W62" s="148"/>
      <c r="X62" s="147">
        <f>SUM(X7:X60)</f>
      </c>
      <c r="Y62" s="21">
        <f>SUM(Y7:Y60)</f>
      </c>
      <c r="Z62" s="105"/>
      <c r="AA62" s="36">
        <f>SUM(AA7:AA60)</f>
      </c>
      <c r="AB62" s="147">
        <f>SUM(AB7:AB60)</f>
      </c>
      <c r="AC62" s="148"/>
      <c r="AD62" s="147">
        <f>SUM(AD7:AD60)</f>
      </c>
      <c r="AE62" s="21">
        <f>SUM(AE7:AE60)</f>
      </c>
      <c r="AF62" s="58"/>
      <c r="AG62" s="36">
        <f>SUM(AG7:AG60)</f>
      </c>
      <c r="AH62" s="147">
        <f>SUM(AH7:AH60)</f>
      </c>
      <c r="AI62" s="148"/>
      <c r="AJ62" s="147">
        <f>SUM(AJ7:AJ60)</f>
      </c>
      <c r="AK62" s="21">
        <f>SUM(AK7:AK60)</f>
      </c>
      <c r="AL62" s="58"/>
      <c r="AM62" s="36">
        <f>SUM(AM7:AM60)</f>
      </c>
      <c r="AN62" s="147">
        <f>SUM(AN7:AN61)</f>
      </c>
      <c r="AO62" s="149"/>
      <c r="AP62" s="147">
        <f>SUM(AP7:AP61)</f>
      </c>
    </row>
    <row x14ac:dyDescent="0.25" r="63" customHeight="1" ht="23.25">
      <c r="A63" s="38"/>
      <c r="B63" s="39"/>
      <c r="C63" s="5"/>
      <c r="D63" s="38"/>
      <c r="E63" s="38"/>
      <c r="F63" s="38"/>
      <c r="G63" s="79"/>
      <c r="H63" s="4"/>
      <c r="I63" s="110"/>
      <c r="J63" s="4"/>
      <c r="K63" s="38"/>
      <c r="L63" s="38"/>
      <c r="M63" s="38"/>
      <c r="N63" s="79"/>
      <c r="O63" s="43"/>
      <c r="P63" s="121"/>
      <c r="Q63" s="43"/>
      <c r="R63" s="38"/>
      <c r="S63" s="38"/>
      <c r="T63" s="38"/>
      <c r="U63" s="79"/>
      <c r="V63" s="43"/>
      <c r="W63" s="121"/>
      <c r="X63" s="43"/>
      <c r="Y63" s="38"/>
      <c r="Z63" s="38"/>
      <c r="AA63" s="38"/>
      <c r="AB63" s="43"/>
      <c r="AC63" s="121"/>
      <c r="AD63" s="43"/>
      <c r="AE63" s="38"/>
      <c r="AF63" s="38"/>
      <c r="AG63" s="38"/>
      <c r="AH63" s="43"/>
      <c r="AI63" s="121"/>
      <c r="AJ63" s="43"/>
      <c r="AK63" s="38"/>
      <c r="AL63" s="38"/>
      <c r="AM63" s="38"/>
      <c r="AN63" s="43"/>
      <c r="AO63" s="110"/>
      <c r="AP63" s="43"/>
    </row>
    <row x14ac:dyDescent="0.25" r="64" customHeight="1" ht="23.25">
      <c r="A64" s="42"/>
      <c r="B64" s="44"/>
      <c r="C64" s="72"/>
      <c r="D64" s="42"/>
      <c r="E64" s="42"/>
      <c r="F64" s="38"/>
      <c r="G64" s="79"/>
      <c r="H64" s="42"/>
      <c r="I64" s="42"/>
      <c r="J64" s="42"/>
      <c r="K64" s="42"/>
      <c r="L64" s="42"/>
      <c r="M64" s="38"/>
      <c r="N64" s="79"/>
      <c r="O64" s="42"/>
      <c r="P64" s="42"/>
      <c r="Q64" s="42"/>
      <c r="R64" s="42"/>
      <c r="S64" s="42"/>
      <c r="T64" s="38"/>
      <c r="U64" s="79"/>
      <c r="V64" s="42"/>
      <c r="W64" s="42"/>
      <c r="X64" s="42"/>
      <c r="Y64" s="42"/>
      <c r="Z64" s="42"/>
      <c r="AA64" s="38"/>
      <c r="AB64" s="42"/>
      <c r="AC64" s="42"/>
      <c r="AD64" s="42"/>
      <c r="AE64" s="38"/>
      <c r="AF64" s="42"/>
      <c r="AG64" s="38"/>
      <c r="AH64" s="42"/>
      <c r="AI64" s="42"/>
      <c r="AJ64" s="42"/>
      <c r="AK64" s="42"/>
      <c r="AL64" s="42"/>
      <c r="AM64" s="38"/>
      <c r="AN64" s="42"/>
      <c r="AO64" s="42"/>
      <c r="AP64" s="42"/>
    </row>
    <row x14ac:dyDescent="0.25" r="65" customHeight="1" ht="23.25">
      <c r="A65" s="42"/>
      <c r="B65" s="44"/>
      <c r="C65" s="72"/>
      <c r="D65" s="42"/>
      <c r="E65" s="42"/>
      <c r="F65" s="38"/>
      <c r="G65" s="79"/>
      <c r="H65" s="42"/>
      <c r="I65" s="42"/>
      <c r="J65" s="42"/>
      <c r="K65" s="42"/>
      <c r="L65" s="42"/>
      <c r="M65" s="38"/>
      <c r="N65" s="79"/>
      <c r="O65" s="42"/>
      <c r="P65" s="42"/>
      <c r="Q65" s="42"/>
      <c r="R65" s="42"/>
      <c r="S65" s="42"/>
      <c r="T65" s="38"/>
      <c r="U65" s="79"/>
      <c r="V65" s="42"/>
      <c r="W65" s="42"/>
      <c r="X65" s="42"/>
      <c r="Y65" s="42"/>
      <c r="Z65" s="42"/>
      <c r="AA65" s="38"/>
      <c r="AB65" s="42"/>
      <c r="AC65" s="42"/>
      <c r="AD65" s="42"/>
      <c r="AE65" s="38"/>
      <c r="AF65" s="42"/>
      <c r="AG65" s="38"/>
      <c r="AH65" s="42"/>
      <c r="AI65" s="42"/>
      <c r="AJ65" s="42"/>
      <c r="AK65" s="42"/>
      <c r="AL65" s="42"/>
      <c r="AM65" s="38"/>
      <c r="AN65" s="42"/>
      <c r="AO65" s="42"/>
      <c r="AP65" s="42"/>
    </row>
    <row x14ac:dyDescent="0.25" r="66" customHeight="1" ht="23.25">
      <c r="A66" s="42"/>
      <c r="B66" s="44"/>
      <c r="C66" s="72"/>
      <c r="D66" s="42"/>
      <c r="E66" s="42"/>
      <c r="F66" s="38"/>
      <c r="G66" s="79"/>
      <c r="H66" s="42"/>
      <c r="I66" s="42"/>
      <c r="J66" s="42"/>
      <c r="K66" s="42"/>
      <c r="L66" s="42"/>
      <c r="M66" s="38"/>
      <c r="N66" s="79"/>
      <c r="O66" s="42"/>
      <c r="P66" s="42"/>
      <c r="Q66" s="42"/>
      <c r="R66" s="42"/>
      <c r="S66" s="42"/>
      <c r="T66" s="38"/>
      <c r="U66" s="79"/>
      <c r="V66" s="42"/>
      <c r="W66" s="42"/>
      <c r="X66" s="42"/>
      <c r="Y66" s="42"/>
      <c r="Z66" s="42"/>
      <c r="AA66" s="38"/>
      <c r="AB66" s="42"/>
      <c r="AC66" s="42"/>
      <c r="AD66" s="42"/>
      <c r="AE66" s="38"/>
      <c r="AF66" s="42"/>
      <c r="AG66" s="38"/>
      <c r="AH66" s="42"/>
      <c r="AI66" s="42"/>
      <c r="AJ66" s="42"/>
      <c r="AK66" s="42"/>
      <c r="AL66" s="42"/>
      <c r="AM66" s="38"/>
      <c r="AN66" s="42"/>
      <c r="AO66" s="42"/>
      <c r="AP66" s="42"/>
    </row>
    <row x14ac:dyDescent="0.25" r="67" customHeight="1" ht="23.25">
      <c r="A67" s="42"/>
      <c r="B67" s="44"/>
      <c r="C67" s="72"/>
      <c r="D67" s="42"/>
      <c r="E67" s="42"/>
      <c r="F67" s="38"/>
      <c r="G67" s="79"/>
      <c r="H67" s="42"/>
      <c r="I67" s="42"/>
      <c r="J67" s="42"/>
      <c r="K67" s="42"/>
      <c r="L67" s="42"/>
      <c r="M67" s="38"/>
      <c r="N67" s="79"/>
      <c r="O67" s="42"/>
      <c r="P67" s="42"/>
      <c r="Q67" s="42"/>
      <c r="R67" s="42"/>
      <c r="S67" s="42"/>
      <c r="T67" s="38"/>
      <c r="U67" s="79"/>
      <c r="V67" s="42"/>
      <c r="W67" s="42"/>
      <c r="X67" s="42"/>
      <c r="Y67" s="42"/>
      <c r="Z67" s="42"/>
      <c r="AA67" s="38"/>
      <c r="AB67" s="42"/>
      <c r="AC67" s="42"/>
      <c r="AD67" s="42"/>
      <c r="AE67" s="38"/>
      <c r="AF67" s="42"/>
      <c r="AG67" s="38"/>
      <c r="AH67" s="42"/>
      <c r="AI67" s="42"/>
      <c r="AJ67" s="42"/>
      <c r="AK67" s="42"/>
      <c r="AL67" s="42"/>
      <c r="AM67" s="38"/>
      <c r="AN67" s="42"/>
      <c r="AO67" s="42"/>
      <c r="AP67" s="42"/>
    </row>
    <row x14ac:dyDescent="0.25" r="68" customHeight="1" ht="23.25">
      <c r="A68" s="42"/>
      <c r="B68" s="44"/>
      <c r="C68" s="72"/>
      <c r="D68" s="42"/>
      <c r="E68" s="42"/>
      <c r="F68" s="38"/>
      <c r="G68" s="79"/>
      <c r="H68" s="42"/>
      <c r="I68" s="42"/>
      <c r="J68" s="42"/>
      <c r="K68" s="42"/>
      <c r="L68" s="42"/>
      <c r="M68" s="38"/>
      <c r="N68" s="79"/>
      <c r="O68" s="42"/>
      <c r="P68" s="42"/>
      <c r="Q68" s="42"/>
      <c r="R68" s="42"/>
      <c r="S68" s="42"/>
      <c r="T68" s="38"/>
      <c r="U68" s="79"/>
      <c r="V68" s="42"/>
      <c r="W68" s="42"/>
      <c r="X68" s="42"/>
      <c r="Y68" s="42"/>
      <c r="Z68" s="42"/>
      <c r="AA68" s="38"/>
      <c r="AB68" s="42"/>
      <c r="AC68" s="42"/>
      <c r="AD68" s="42"/>
      <c r="AE68" s="38"/>
      <c r="AF68" s="42"/>
      <c r="AG68" s="38"/>
      <c r="AH68" s="42"/>
      <c r="AI68" s="42"/>
      <c r="AJ68" s="42"/>
      <c r="AK68" s="42"/>
      <c r="AL68" s="42"/>
      <c r="AM68" s="38"/>
      <c r="AN68" s="42"/>
      <c r="AO68" s="42"/>
      <c r="AP68" s="42"/>
    </row>
    <row x14ac:dyDescent="0.25" r="69" customHeight="1" ht="23.25">
      <c r="A69" s="42"/>
      <c r="B69" s="44"/>
      <c r="C69" s="72"/>
      <c r="D69" s="42"/>
      <c r="E69" s="42"/>
      <c r="F69" s="38"/>
      <c r="G69" s="79"/>
      <c r="H69" s="42"/>
      <c r="I69" s="42"/>
      <c r="J69" s="42"/>
      <c r="K69" s="42"/>
      <c r="L69" s="42"/>
      <c r="M69" s="38"/>
      <c r="N69" s="79"/>
      <c r="O69" s="42"/>
      <c r="P69" s="42"/>
      <c r="Q69" s="42"/>
      <c r="R69" s="42"/>
      <c r="S69" s="42"/>
      <c r="T69" s="38"/>
      <c r="U69" s="79"/>
      <c r="V69" s="42"/>
      <c r="W69" s="42"/>
      <c r="X69" s="42"/>
      <c r="Y69" s="42"/>
      <c r="Z69" s="42"/>
      <c r="AA69" s="38"/>
      <c r="AB69" s="42"/>
      <c r="AC69" s="42"/>
      <c r="AD69" s="42"/>
      <c r="AE69" s="38"/>
      <c r="AF69" s="42"/>
      <c r="AG69" s="38"/>
      <c r="AH69" s="42"/>
      <c r="AI69" s="42"/>
      <c r="AJ69" s="42"/>
      <c r="AK69" s="42"/>
      <c r="AL69" s="42"/>
      <c r="AM69" s="38"/>
      <c r="AN69" s="42"/>
      <c r="AO69" s="42"/>
      <c r="AP69" s="42"/>
    </row>
    <row x14ac:dyDescent="0.25" r="70" customHeight="1" ht="23.25">
      <c r="A70" s="42"/>
      <c r="B70" s="44"/>
      <c r="C70" s="72"/>
      <c r="D70" s="42"/>
      <c r="E70" s="42"/>
      <c r="F70" s="38"/>
      <c r="G70" s="79"/>
      <c r="H70" s="42"/>
      <c r="I70" s="42"/>
      <c r="J70" s="42"/>
      <c r="K70" s="42"/>
      <c r="L70" s="42"/>
      <c r="M70" s="38"/>
      <c r="N70" s="79"/>
      <c r="O70" s="42"/>
      <c r="P70" s="42"/>
      <c r="Q70" s="42"/>
      <c r="R70" s="42"/>
      <c r="S70" s="42"/>
      <c r="T70" s="38"/>
      <c r="U70" s="79"/>
      <c r="V70" s="42"/>
      <c r="W70" s="42"/>
      <c r="X70" s="42"/>
      <c r="Y70" s="42"/>
      <c r="Z70" s="42"/>
      <c r="AA70" s="38"/>
      <c r="AB70" s="42"/>
      <c r="AC70" s="42"/>
      <c r="AD70" s="42"/>
      <c r="AE70" s="38"/>
      <c r="AF70" s="42"/>
      <c r="AG70" s="38"/>
      <c r="AH70" s="42"/>
      <c r="AI70" s="42"/>
      <c r="AJ70" s="42"/>
      <c r="AK70" s="42"/>
      <c r="AL70" s="42"/>
      <c r="AM70" s="38"/>
      <c r="AN70" s="42"/>
      <c r="AO70" s="42"/>
      <c r="AP70" s="42"/>
    </row>
    <row x14ac:dyDescent="0.25" r="71" customHeight="1" ht="23.25">
      <c r="A71" s="42"/>
      <c r="B71" s="44"/>
      <c r="C71" s="72"/>
      <c r="D71" s="42"/>
      <c r="E71" s="42"/>
      <c r="F71" s="38"/>
      <c r="G71" s="79"/>
      <c r="H71" s="42"/>
      <c r="I71" s="42"/>
      <c r="J71" s="42"/>
      <c r="K71" s="42"/>
      <c r="L71" s="42"/>
      <c r="M71" s="38"/>
      <c r="N71" s="79"/>
      <c r="O71" s="42"/>
      <c r="P71" s="42"/>
      <c r="Q71" s="42"/>
      <c r="R71" s="42"/>
      <c r="S71" s="42"/>
      <c r="T71" s="38"/>
      <c r="U71" s="79"/>
      <c r="V71" s="42"/>
      <c r="W71" s="42"/>
      <c r="X71" s="42"/>
      <c r="Y71" s="42"/>
      <c r="Z71" s="42"/>
      <c r="AA71" s="38"/>
      <c r="AB71" s="42"/>
      <c r="AC71" s="42"/>
      <c r="AD71" s="42"/>
      <c r="AE71" s="38"/>
      <c r="AF71" s="42"/>
      <c r="AG71" s="38"/>
      <c r="AH71" s="42"/>
      <c r="AI71" s="42"/>
      <c r="AJ71" s="42"/>
      <c r="AK71" s="42"/>
      <c r="AL71" s="42"/>
      <c r="AM71" s="38"/>
      <c r="AN71" s="42"/>
      <c r="AO71" s="42"/>
      <c r="AP71" s="42"/>
    </row>
    <row x14ac:dyDescent="0.25" r="72" customHeight="1" ht="23.25">
      <c r="A72" s="42"/>
      <c r="B72" s="44"/>
      <c r="C72" s="72"/>
      <c r="D72" s="42"/>
      <c r="E72" s="42"/>
      <c r="F72" s="38"/>
      <c r="G72" s="79"/>
      <c r="H72" s="42"/>
      <c r="I72" s="42"/>
      <c r="J72" s="42"/>
      <c r="K72" s="42"/>
      <c r="L72" s="42"/>
      <c r="M72" s="38"/>
      <c r="N72" s="79"/>
      <c r="O72" s="42"/>
      <c r="P72" s="42"/>
      <c r="Q72" s="42"/>
      <c r="R72" s="42"/>
      <c r="S72" s="42"/>
      <c r="T72" s="38"/>
      <c r="U72" s="79"/>
      <c r="V72" s="42"/>
      <c r="W72" s="42"/>
      <c r="X72" s="42"/>
      <c r="Y72" s="42"/>
      <c r="Z72" s="42"/>
      <c r="AA72" s="38"/>
      <c r="AB72" s="42"/>
      <c r="AC72" s="42"/>
      <c r="AD72" s="42"/>
      <c r="AE72" s="38"/>
      <c r="AF72" s="42"/>
      <c r="AG72" s="38"/>
      <c r="AH72" s="42"/>
      <c r="AI72" s="42"/>
      <c r="AJ72" s="42"/>
      <c r="AK72" s="42"/>
      <c r="AL72" s="42"/>
      <c r="AM72" s="38"/>
      <c r="AN72" s="42"/>
      <c r="AO72" s="42"/>
      <c r="AP72" s="42"/>
    </row>
    <row x14ac:dyDescent="0.25" r="73" customHeight="1" ht="23.25">
      <c r="A73" s="42"/>
      <c r="B73" s="44"/>
      <c r="C73" s="72"/>
      <c r="D73" s="42"/>
      <c r="E73" s="42"/>
      <c r="F73" s="38"/>
      <c r="G73" s="79"/>
      <c r="H73" s="42"/>
      <c r="I73" s="42"/>
      <c r="J73" s="42"/>
      <c r="K73" s="42"/>
      <c r="L73" s="42"/>
      <c r="M73" s="38"/>
      <c r="N73" s="79"/>
      <c r="O73" s="42"/>
      <c r="P73" s="42"/>
      <c r="Q73" s="42"/>
      <c r="R73" s="42"/>
      <c r="S73" s="42"/>
      <c r="T73" s="38"/>
      <c r="U73" s="79"/>
      <c r="V73" s="42"/>
      <c r="W73" s="42"/>
      <c r="X73" s="42"/>
      <c r="Y73" s="42"/>
      <c r="Z73" s="42"/>
      <c r="AA73" s="38"/>
      <c r="AB73" s="42"/>
      <c r="AC73" s="42"/>
      <c r="AD73" s="42"/>
      <c r="AE73" s="38"/>
      <c r="AF73" s="42"/>
      <c r="AG73" s="38"/>
      <c r="AH73" s="42"/>
      <c r="AI73" s="42"/>
      <c r="AJ73" s="42"/>
      <c r="AK73" s="42"/>
      <c r="AL73" s="42"/>
      <c r="AM73" s="38"/>
      <c r="AN73" s="42"/>
      <c r="AO73" s="42"/>
      <c r="AP73" s="42"/>
    </row>
    <row x14ac:dyDescent="0.25" r="74" customHeight="1" ht="23.25">
      <c r="A74" s="42"/>
      <c r="B74" s="44"/>
      <c r="C74" s="72"/>
      <c r="D74" s="42"/>
      <c r="E74" s="42"/>
      <c r="F74" s="38"/>
      <c r="G74" s="79"/>
      <c r="H74" s="42"/>
      <c r="I74" s="42"/>
      <c r="J74" s="42"/>
      <c r="K74" s="42"/>
      <c r="L74" s="42"/>
      <c r="M74" s="38"/>
      <c r="N74" s="79"/>
      <c r="O74" s="42"/>
      <c r="P74" s="42"/>
      <c r="Q74" s="42"/>
      <c r="R74" s="42"/>
      <c r="S74" s="42"/>
      <c r="T74" s="38"/>
      <c r="U74" s="79"/>
      <c r="V74" s="42"/>
      <c r="W74" s="42"/>
      <c r="X74" s="42"/>
      <c r="Y74" s="42"/>
      <c r="Z74" s="42"/>
      <c r="AA74" s="38"/>
      <c r="AB74" s="42"/>
      <c r="AC74" s="42"/>
      <c r="AD74" s="42"/>
      <c r="AE74" s="38"/>
      <c r="AF74" s="42"/>
      <c r="AG74" s="38"/>
      <c r="AH74" s="42"/>
      <c r="AI74" s="42"/>
      <c r="AJ74" s="42"/>
      <c r="AK74" s="42"/>
      <c r="AL74" s="42"/>
      <c r="AM74" s="38"/>
      <c r="AN74" s="42"/>
      <c r="AO74" s="42"/>
      <c r="AP74" s="42"/>
    </row>
    <row x14ac:dyDescent="0.25" r="75" customHeight="1" ht="23.25">
      <c r="A75" s="42"/>
      <c r="B75" s="44"/>
      <c r="C75" s="72"/>
      <c r="D75" s="42"/>
      <c r="E75" s="42"/>
      <c r="F75" s="38"/>
      <c r="G75" s="79"/>
      <c r="H75" s="42"/>
      <c r="I75" s="42"/>
      <c r="J75" s="42"/>
      <c r="K75" s="42"/>
      <c r="L75" s="42"/>
      <c r="M75" s="38"/>
      <c r="N75" s="79"/>
      <c r="O75" s="42"/>
      <c r="P75" s="42"/>
      <c r="Q75" s="42"/>
      <c r="R75" s="42"/>
      <c r="S75" s="42"/>
      <c r="T75" s="38"/>
      <c r="U75" s="79"/>
      <c r="V75" s="42"/>
      <c r="W75" s="42"/>
      <c r="X75" s="42"/>
      <c r="Y75" s="42"/>
      <c r="Z75" s="42"/>
      <c r="AA75" s="38"/>
      <c r="AB75" s="42"/>
      <c r="AC75" s="42"/>
      <c r="AD75" s="42"/>
      <c r="AE75" s="38"/>
      <c r="AF75" s="42"/>
      <c r="AG75" s="38"/>
      <c r="AH75" s="42"/>
      <c r="AI75" s="42"/>
      <c r="AJ75" s="42"/>
      <c r="AK75" s="42"/>
      <c r="AL75" s="42"/>
      <c r="AM75" s="38"/>
      <c r="AN75" s="42"/>
      <c r="AO75" s="42"/>
      <c r="AP75" s="42"/>
    </row>
    <row x14ac:dyDescent="0.25" r="76" customHeight="1" ht="23.25">
      <c r="A76" s="42"/>
      <c r="B76" s="44"/>
      <c r="C76" s="72"/>
      <c r="D76" s="42"/>
      <c r="E76" s="42"/>
      <c r="F76" s="38"/>
      <c r="G76" s="79"/>
      <c r="H76" s="42"/>
      <c r="I76" s="42"/>
      <c r="J76" s="42"/>
      <c r="K76" s="42"/>
      <c r="L76" s="42"/>
      <c r="M76" s="38"/>
      <c r="N76" s="79"/>
      <c r="O76" s="42"/>
      <c r="P76" s="42"/>
      <c r="Q76" s="42"/>
      <c r="R76" s="42"/>
      <c r="S76" s="42"/>
      <c r="T76" s="38"/>
      <c r="U76" s="79"/>
      <c r="V76" s="42"/>
      <c r="W76" s="42"/>
      <c r="X76" s="42"/>
      <c r="Y76" s="42"/>
      <c r="Z76" s="42"/>
      <c r="AA76" s="38"/>
      <c r="AB76" s="42"/>
      <c r="AC76" s="42"/>
      <c r="AD76" s="42"/>
      <c r="AE76" s="38"/>
      <c r="AF76" s="42"/>
      <c r="AG76" s="38"/>
      <c r="AH76" s="42"/>
      <c r="AI76" s="42"/>
      <c r="AJ76" s="42"/>
      <c r="AK76" s="42"/>
      <c r="AL76" s="42"/>
      <c r="AM76" s="38"/>
      <c r="AN76" s="42"/>
      <c r="AO76" s="42"/>
      <c r="AP76" s="42"/>
    </row>
    <row x14ac:dyDescent="0.25" r="77" customHeight="1" ht="23.25">
      <c r="A77" s="42"/>
      <c r="B77" s="44"/>
      <c r="C77" s="72"/>
      <c r="D77" s="42"/>
      <c r="E77" s="42"/>
      <c r="F77" s="38"/>
      <c r="G77" s="79"/>
      <c r="H77" s="42"/>
      <c r="I77" s="42"/>
      <c r="J77" s="42"/>
      <c r="K77" s="42"/>
      <c r="L77" s="42"/>
      <c r="M77" s="38"/>
      <c r="N77" s="79"/>
      <c r="O77" s="42"/>
      <c r="P77" s="42"/>
      <c r="Q77" s="42"/>
      <c r="R77" s="42"/>
      <c r="S77" s="42"/>
      <c r="T77" s="38"/>
      <c r="U77" s="79"/>
      <c r="V77" s="42"/>
      <c r="W77" s="42"/>
      <c r="X77" s="42"/>
      <c r="Y77" s="42"/>
      <c r="Z77" s="42"/>
      <c r="AA77" s="38"/>
      <c r="AB77" s="42"/>
      <c r="AC77" s="42"/>
      <c r="AD77" s="42"/>
      <c r="AE77" s="38"/>
      <c r="AF77" s="42"/>
      <c r="AG77" s="38"/>
      <c r="AH77" s="42"/>
      <c r="AI77" s="42"/>
      <c r="AJ77" s="42"/>
      <c r="AK77" s="42"/>
      <c r="AL77" s="42"/>
      <c r="AM77" s="38"/>
      <c r="AN77" s="42"/>
      <c r="AO77" s="42"/>
      <c r="AP77" s="42"/>
    </row>
    <row x14ac:dyDescent="0.25" r="78" customHeight="1" ht="23.25">
      <c r="A78" s="42"/>
      <c r="B78" s="44"/>
      <c r="C78" s="72"/>
      <c r="D78" s="42"/>
      <c r="E78" s="42"/>
      <c r="F78" s="38"/>
      <c r="G78" s="79"/>
      <c r="H78" s="42"/>
      <c r="I78" s="42"/>
      <c r="J78" s="42"/>
      <c r="K78" s="42"/>
      <c r="L78" s="42"/>
      <c r="M78" s="38"/>
      <c r="N78" s="79"/>
      <c r="O78" s="42"/>
      <c r="P78" s="42"/>
      <c r="Q78" s="42"/>
      <c r="R78" s="42"/>
      <c r="S78" s="42"/>
      <c r="T78" s="38"/>
      <c r="U78" s="79"/>
      <c r="V78" s="42"/>
      <c r="W78" s="42"/>
      <c r="X78" s="42"/>
      <c r="Y78" s="42"/>
      <c r="Z78" s="42"/>
      <c r="AA78" s="38"/>
      <c r="AB78" s="42"/>
      <c r="AC78" s="42"/>
      <c r="AD78" s="42"/>
      <c r="AE78" s="38"/>
      <c r="AF78" s="42"/>
      <c r="AG78" s="38"/>
      <c r="AH78" s="42"/>
      <c r="AI78" s="42"/>
      <c r="AJ78" s="42"/>
      <c r="AK78" s="42"/>
      <c r="AL78" s="42"/>
      <c r="AM78" s="38"/>
      <c r="AN78" s="42"/>
      <c r="AO78" s="42"/>
      <c r="AP78" s="42"/>
    </row>
    <row x14ac:dyDescent="0.25" r="79" customHeight="1" ht="23.25">
      <c r="A79" s="42"/>
      <c r="B79" s="44"/>
      <c r="C79" s="72"/>
      <c r="D79" s="42"/>
      <c r="E79" s="42"/>
      <c r="F79" s="38"/>
      <c r="G79" s="79"/>
      <c r="H79" s="42"/>
      <c r="I79" s="42"/>
      <c r="J79" s="42"/>
      <c r="K79" s="42"/>
      <c r="L79" s="42"/>
      <c r="M79" s="38"/>
      <c r="N79" s="79"/>
      <c r="O79" s="42"/>
      <c r="P79" s="42"/>
      <c r="Q79" s="42"/>
      <c r="R79" s="42"/>
      <c r="S79" s="42"/>
      <c r="T79" s="38"/>
      <c r="U79" s="79"/>
      <c r="V79" s="42"/>
      <c r="W79" s="42"/>
      <c r="X79" s="42"/>
      <c r="Y79" s="42"/>
      <c r="Z79" s="42"/>
      <c r="AA79" s="38"/>
      <c r="AB79" s="42"/>
      <c r="AC79" s="42"/>
      <c r="AD79" s="42"/>
      <c r="AE79" s="38"/>
      <c r="AF79" s="42"/>
      <c r="AG79" s="38"/>
      <c r="AH79" s="42"/>
      <c r="AI79" s="42"/>
      <c r="AJ79" s="42"/>
      <c r="AK79" s="42"/>
      <c r="AL79" s="42"/>
      <c r="AM79" s="38"/>
      <c r="AN79" s="42"/>
      <c r="AO79" s="42"/>
      <c r="AP79" s="42"/>
    </row>
    <row x14ac:dyDescent="0.25" r="80" customHeight="1" ht="23.25">
      <c r="A80" s="42"/>
      <c r="B80" s="44"/>
      <c r="C80" s="72"/>
      <c r="D80" s="42"/>
      <c r="E80" s="42"/>
      <c r="F80" s="38"/>
      <c r="G80" s="79"/>
      <c r="H80" s="42"/>
      <c r="I80" s="42"/>
      <c r="J80" s="42"/>
      <c r="K80" s="42"/>
      <c r="L80" s="42"/>
      <c r="M80" s="38"/>
      <c r="N80" s="79"/>
      <c r="O80" s="42"/>
      <c r="P80" s="42"/>
      <c r="Q80" s="42"/>
      <c r="R80" s="42"/>
      <c r="S80" s="42"/>
      <c r="T80" s="38"/>
      <c r="U80" s="79"/>
      <c r="V80" s="42"/>
      <c r="W80" s="42"/>
      <c r="X80" s="42"/>
      <c r="Y80" s="42"/>
      <c r="Z80" s="42"/>
      <c r="AA80" s="38"/>
      <c r="AB80" s="42"/>
      <c r="AC80" s="42"/>
      <c r="AD80" s="42"/>
      <c r="AE80" s="38"/>
      <c r="AF80" s="42"/>
      <c r="AG80" s="38"/>
      <c r="AH80" s="42"/>
      <c r="AI80" s="42"/>
      <c r="AJ80" s="42"/>
      <c r="AK80" s="42"/>
      <c r="AL80" s="42"/>
      <c r="AM80" s="38"/>
      <c r="AN80" s="42"/>
      <c r="AO80" s="42"/>
      <c r="AP80" s="42"/>
    </row>
    <row x14ac:dyDescent="0.25" r="81" customHeight="1" ht="23.25">
      <c r="A81" s="42"/>
      <c r="B81" s="44"/>
      <c r="C81" s="72"/>
      <c r="D81" s="42"/>
      <c r="E81" s="42"/>
      <c r="F81" s="38"/>
      <c r="G81" s="79"/>
      <c r="H81" s="42"/>
      <c r="I81" s="42"/>
      <c r="J81" s="42"/>
      <c r="K81" s="42"/>
      <c r="L81" s="42"/>
      <c r="M81" s="38"/>
      <c r="N81" s="79"/>
      <c r="O81" s="42"/>
      <c r="P81" s="42"/>
      <c r="Q81" s="42"/>
      <c r="R81" s="42"/>
      <c r="S81" s="42"/>
      <c r="T81" s="38"/>
      <c r="U81" s="79"/>
      <c r="V81" s="42"/>
      <c r="W81" s="42"/>
      <c r="X81" s="42"/>
      <c r="Y81" s="42"/>
      <c r="Z81" s="42"/>
      <c r="AA81" s="38"/>
      <c r="AB81" s="42"/>
      <c r="AC81" s="42"/>
      <c r="AD81" s="42"/>
      <c r="AE81" s="38"/>
      <c r="AF81" s="42"/>
      <c r="AG81" s="38"/>
      <c r="AH81" s="42"/>
      <c r="AI81" s="42"/>
      <c r="AJ81" s="42"/>
      <c r="AK81" s="42"/>
      <c r="AL81" s="42"/>
      <c r="AM81" s="38"/>
      <c r="AN81" s="42"/>
      <c r="AO81" s="42"/>
      <c r="AP81" s="42"/>
    </row>
    <row x14ac:dyDescent="0.25" r="82" customHeight="1" ht="23.25">
      <c r="A82" s="42"/>
      <c r="B82" s="44"/>
      <c r="C82" s="72"/>
      <c r="D82" s="42"/>
      <c r="E82" s="42"/>
      <c r="F82" s="38"/>
      <c r="G82" s="79"/>
      <c r="H82" s="42"/>
      <c r="I82" s="42"/>
      <c r="J82" s="42"/>
      <c r="K82" s="42"/>
      <c r="L82" s="42"/>
      <c r="M82" s="38"/>
      <c r="N82" s="79"/>
      <c r="O82" s="42"/>
      <c r="P82" s="42"/>
      <c r="Q82" s="42"/>
      <c r="R82" s="42"/>
      <c r="S82" s="42"/>
      <c r="T82" s="38"/>
      <c r="U82" s="79"/>
      <c r="V82" s="42"/>
      <c r="W82" s="42"/>
      <c r="X82" s="42"/>
      <c r="Y82" s="42"/>
      <c r="Z82" s="42"/>
      <c r="AA82" s="38"/>
      <c r="AB82" s="42"/>
      <c r="AC82" s="42"/>
      <c r="AD82" s="42"/>
      <c r="AE82" s="38"/>
      <c r="AF82" s="42"/>
      <c r="AG82" s="38"/>
      <c r="AH82" s="42"/>
      <c r="AI82" s="42"/>
      <c r="AJ82" s="42"/>
      <c r="AK82" s="42"/>
      <c r="AL82" s="42"/>
      <c r="AM82" s="38"/>
      <c r="AN82" s="42"/>
      <c r="AO82" s="42"/>
      <c r="AP82" s="42"/>
    </row>
    <row x14ac:dyDescent="0.25" r="83" customHeight="1" ht="23.25">
      <c r="A83" s="42"/>
      <c r="B83" s="44"/>
      <c r="C83" s="72"/>
      <c r="D83" s="42"/>
      <c r="E83" s="42"/>
      <c r="F83" s="38"/>
      <c r="G83" s="79"/>
      <c r="H83" s="42"/>
      <c r="I83" s="42"/>
      <c r="J83" s="42"/>
      <c r="K83" s="42"/>
      <c r="L83" s="42"/>
      <c r="M83" s="38"/>
      <c r="N83" s="79"/>
      <c r="O83" s="42"/>
      <c r="P83" s="42"/>
      <c r="Q83" s="42"/>
      <c r="R83" s="42"/>
      <c r="S83" s="42"/>
      <c r="T83" s="38"/>
      <c r="U83" s="79"/>
      <c r="V83" s="42"/>
      <c r="W83" s="42"/>
      <c r="X83" s="42"/>
      <c r="Y83" s="42"/>
      <c r="Z83" s="42"/>
      <c r="AA83" s="38"/>
      <c r="AB83" s="42"/>
      <c r="AC83" s="42"/>
      <c r="AD83" s="42"/>
      <c r="AE83" s="38"/>
      <c r="AF83" s="42"/>
      <c r="AG83" s="38"/>
      <c r="AH83" s="42"/>
      <c r="AI83" s="42"/>
      <c r="AJ83" s="42"/>
      <c r="AK83" s="42"/>
      <c r="AL83" s="42"/>
      <c r="AM83" s="38"/>
      <c r="AN83" s="42"/>
      <c r="AO83" s="42"/>
      <c r="AP83" s="42"/>
    </row>
    <row x14ac:dyDescent="0.25" r="84" customHeight="1" ht="23.25">
      <c r="A84" s="42"/>
      <c r="B84" s="44"/>
      <c r="C84" s="72"/>
      <c r="D84" s="42"/>
      <c r="E84" s="42"/>
      <c r="F84" s="38"/>
      <c r="G84" s="79"/>
      <c r="H84" s="42"/>
      <c r="I84" s="42"/>
      <c r="J84" s="42"/>
      <c r="K84" s="42"/>
      <c r="L84" s="42"/>
      <c r="M84" s="38"/>
      <c r="N84" s="79"/>
      <c r="O84" s="42"/>
      <c r="P84" s="42"/>
      <c r="Q84" s="42"/>
      <c r="R84" s="42"/>
      <c r="S84" s="42"/>
      <c r="T84" s="38"/>
      <c r="U84" s="79"/>
      <c r="V84" s="42"/>
      <c r="W84" s="42"/>
      <c r="X84" s="42"/>
      <c r="Y84" s="42"/>
      <c r="Z84" s="42"/>
      <c r="AA84" s="38"/>
      <c r="AB84" s="42"/>
      <c r="AC84" s="42"/>
      <c r="AD84" s="42"/>
      <c r="AE84" s="38"/>
      <c r="AF84" s="42"/>
      <c r="AG84" s="38"/>
      <c r="AH84" s="42"/>
      <c r="AI84" s="42"/>
      <c r="AJ84" s="42"/>
      <c r="AK84" s="42"/>
      <c r="AL84" s="42"/>
      <c r="AM84" s="38"/>
      <c r="AN84" s="42"/>
      <c r="AO84" s="42"/>
      <c r="AP84" s="42"/>
    </row>
    <row x14ac:dyDescent="0.25" r="85" customHeight="1" ht="23.25">
      <c r="A85" s="42"/>
      <c r="B85" s="44"/>
      <c r="C85" s="72"/>
      <c r="D85" s="42"/>
      <c r="E85" s="42"/>
      <c r="F85" s="38"/>
      <c r="G85" s="79"/>
      <c r="H85" s="42"/>
      <c r="I85" s="42"/>
      <c r="J85" s="42"/>
      <c r="K85" s="42"/>
      <c r="L85" s="42"/>
      <c r="M85" s="38"/>
      <c r="N85" s="79"/>
      <c r="O85" s="42"/>
      <c r="P85" s="42"/>
      <c r="Q85" s="42"/>
      <c r="R85" s="42"/>
      <c r="S85" s="42"/>
      <c r="T85" s="38"/>
      <c r="U85" s="79"/>
      <c r="V85" s="42"/>
      <c r="W85" s="42"/>
      <c r="X85" s="42"/>
      <c r="Y85" s="42"/>
      <c r="Z85" s="42"/>
      <c r="AA85" s="38"/>
      <c r="AB85" s="42"/>
      <c r="AC85" s="42"/>
      <c r="AD85" s="42"/>
      <c r="AE85" s="38"/>
      <c r="AF85" s="42"/>
      <c r="AG85" s="38"/>
      <c r="AH85" s="42"/>
      <c r="AI85" s="42"/>
      <c r="AJ85" s="42"/>
      <c r="AK85" s="42"/>
      <c r="AL85" s="42"/>
      <c r="AM85" s="38"/>
      <c r="AN85" s="42"/>
      <c r="AO85" s="42"/>
      <c r="AP85" s="42"/>
    </row>
    <row x14ac:dyDescent="0.25" r="86" customHeight="1" ht="23.25">
      <c r="A86" s="42"/>
      <c r="B86" s="44"/>
      <c r="C86" s="72"/>
      <c r="D86" s="42"/>
      <c r="E86" s="42"/>
      <c r="F86" s="38"/>
      <c r="G86" s="79"/>
      <c r="H86" s="42"/>
      <c r="I86" s="42"/>
      <c r="J86" s="42"/>
      <c r="K86" s="42"/>
      <c r="L86" s="42"/>
      <c r="M86" s="38"/>
      <c r="N86" s="79"/>
      <c r="O86" s="42"/>
      <c r="P86" s="42"/>
      <c r="Q86" s="42"/>
      <c r="R86" s="42"/>
      <c r="S86" s="42"/>
      <c r="T86" s="38"/>
      <c r="U86" s="79"/>
      <c r="V86" s="42"/>
      <c r="W86" s="42"/>
      <c r="X86" s="42"/>
      <c r="Y86" s="42"/>
      <c r="Z86" s="42"/>
      <c r="AA86" s="38"/>
      <c r="AB86" s="42"/>
      <c r="AC86" s="42"/>
      <c r="AD86" s="42"/>
      <c r="AE86" s="38"/>
      <c r="AF86" s="42"/>
      <c r="AG86" s="38"/>
      <c r="AH86" s="42"/>
      <c r="AI86" s="42"/>
      <c r="AJ86" s="42"/>
      <c r="AK86" s="42"/>
      <c r="AL86" s="42"/>
      <c r="AM86" s="38"/>
      <c r="AN86" s="42"/>
      <c r="AO86" s="42"/>
      <c r="AP86" s="42"/>
    </row>
    <row x14ac:dyDescent="0.25" r="87" customHeight="1" ht="23.25">
      <c r="A87" s="42"/>
      <c r="B87" s="44"/>
      <c r="C87" s="72"/>
      <c r="D87" s="42"/>
      <c r="E87" s="42"/>
      <c r="F87" s="38"/>
      <c r="G87" s="79"/>
      <c r="H87" s="42"/>
      <c r="I87" s="42"/>
      <c r="J87" s="42"/>
      <c r="K87" s="42"/>
      <c r="L87" s="42"/>
      <c r="M87" s="38"/>
      <c r="N87" s="79"/>
      <c r="O87" s="42"/>
      <c r="P87" s="42"/>
      <c r="Q87" s="42"/>
      <c r="R87" s="42"/>
      <c r="S87" s="42"/>
      <c r="T87" s="38"/>
      <c r="U87" s="79"/>
      <c r="V87" s="42"/>
      <c r="W87" s="42"/>
      <c r="X87" s="42"/>
      <c r="Y87" s="42"/>
      <c r="Z87" s="42"/>
      <c r="AA87" s="38"/>
      <c r="AB87" s="42"/>
      <c r="AC87" s="42"/>
      <c r="AD87" s="42"/>
      <c r="AE87" s="38"/>
      <c r="AF87" s="42"/>
      <c r="AG87" s="38"/>
      <c r="AH87" s="42"/>
      <c r="AI87" s="42"/>
      <c r="AJ87" s="42"/>
      <c r="AK87" s="42"/>
      <c r="AL87" s="42"/>
      <c r="AM87" s="38"/>
      <c r="AN87" s="42"/>
      <c r="AO87" s="42"/>
      <c r="AP87" s="42"/>
    </row>
    <row x14ac:dyDescent="0.25" r="88" customHeight="1" ht="23.25">
      <c r="A88" s="42"/>
      <c r="B88" s="44"/>
      <c r="C88" s="72"/>
      <c r="D88" s="42"/>
      <c r="E88" s="42"/>
      <c r="F88" s="38"/>
      <c r="G88" s="79"/>
      <c r="H88" s="42"/>
      <c r="I88" s="42"/>
      <c r="J88" s="42"/>
      <c r="K88" s="42"/>
      <c r="L88" s="42"/>
      <c r="M88" s="38"/>
      <c r="N88" s="79"/>
      <c r="O88" s="42"/>
      <c r="P88" s="42"/>
      <c r="Q88" s="42"/>
      <c r="R88" s="42"/>
      <c r="S88" s="42"/>
      <c r="T88" s="38"/>
      <c r="U88" s="79"/>
      <c r="V88" s="42"/>
      <c r="W88" s="42"/>
      <c r="X88" s="42"/>
      <c r="Y88" s="42"/>
      <c r="Z88" s="42"/>
      <c r="AA88" s="38"/>
      <c r="AB88" s="42"/>
      <c r="AC88" s="42"/>
      <c r="AD88" s="42"/>
      <c r="AE88" s="38"/>
      <c r="AF88" s="42"/>
      <c r="AG88" s="38"/>
      <c r="AH88" s="42"/>
      <c r="AI88" s="42"/>
      <c r="AJ88" s="42"/>
      <c r="AK88" s="42"/>
      <c r="AL88" s="42"/>
      <c r="AM88" s="38"/>
      <c r="AN88" s="42"/>
      <c r="AO88" s="42"/>
      <c r="AP88" s="42"/>
    </row>
    <row x14ac:dyDescent="0.25" r="89" customHeight="1" ht="23.25">
      <c r="A89" s="42"/>
      <c r="B89" s="44"/>
      <c r="C89" s="72"/>
      <c r="D89" s="42"/>
      <c r="E89" s="42"/>
      <c r="F89" s="38"/>
      <c r="G89" s="79"/>
      <c r="H89" s="42"/>
      <c r="I89" s="42"/>
      <c r="J89" s="42"/>
      <c r="K89" s="42"/>
      <c r="L89" s="42"/>
      <c r="M89" s="38"/>
      <c r="N89" s="79"/>
      <c r="O89" s="42"/>
      <c r="P89" s="42"/>
      <c r="Q89" s="42"/>
      <c r="R89" s="42"/>
      <c r="S89" s="42"/>
      <c r="T89" s="38"/>
      <c r="U89" s="79"/>
      <c r="V89" s="42"/>
      <c r="W89" s="42"/>
      <c r="X89" s="42"/>
      <c r="Y89" s="42"/>
      <c r="Z89" s="42"/>
      <c r="AA89" s="38"/>
      <c r="AB89" s="42"/>
      <c r="AC89" s="42"/>
      <c r="AD89" s="42"/>
      <c r="AE89" s="38"/>
      <c r="AF89" s="42"/>
      <c r="AG89" s="38"/>
      <c r="AH89" s="42"/>
      <c r="AI89" s="42"/>
      <c r="AJ89" s="42"/>
      <c r="AK89" s="42"/>
      <c r="AL89" s="42"/>
      <c r="AM89" s="38"/>
      <c r="AN89" s="42"/>
      <c r="AO89" s="42"/>
      <c r="AP89" s="42"/>
    </row>
    <row x14ac:dyDescent="0.25" r="90" customHeight="1" ht="23.25">
      <c r="A90" s="42"/>
      <c r="B90" s="44"/>
      <c r="C90" s="72"/>
      <c r="D90" s="42"/>
      <c r="E90" s="42"/>
      <c r="F90" s="38"/>
      <c r="G90" s="79"/>
      <c r="H90" s="42"/>
      <c r="I90" s="42"/>
      <c r="J90" s="42"/>
      <c r="K90" s="42"/>
      <c r="L90" s="42"/>
      <c r="M90" s="38"/>
      <c r="N90" s="79"/>
      <c r="O90" s="42"/>
      <c r="P90" s="42"/>
      <c r="Q90" s="42"/>
      <c r="R90" s="42"/>
      <c r="S90" s="42"/>
      <c r="T90" s="38"/>
      <c r="U90" s="79"/>
      <c r="V90" s="42"/>
      <c r="W90" s="42"/>
      <c r="X90" s="42"/>
      <c r="Y90" s="42"/>
      <c r="Z90" s="42"/>
      <c r="AA90" s="38"/>
      <c r="AB90" s="42"/>
      <c r="AC90" s="42"/>
      <c r="AD90" s="42"/>
      <c r="AE90" s="38"/>
      <c r="AF90" s="42"/>
      <c r="AG90" s="38"/>
      <c r="AH90" s="42"/>
      <c r="AI90" s="42"/>
      <c r="AJ90" s="42"/>
      <c r="AK90" s="42"/>
      <c r="AL90" s="42"/>
      <c r="AM90" s="38"/>
      <c r="AN90" s="42"/>
      <c r="AO90" s="42"/>
      <c r="AP90" s="42"/>
    </row>
    <row x14ac:dyDescent="0.25" r="91" customHeight="1" ht="23.25">
      <c r="A91" s="42"/>
      <c r="B91" s="44"/>
      <c r="C91" s="72"/>
      <c r="D91" s="42"/>
      <c r="E91" s="42"/>
      <c r="F91" s="38"/>
      <c r="G91" s="79"/>
      <c r="H91" s="42"/>
      <c r="I91" s="42"/>
      <c r="J91" s="42"/>
      <c r="K91" s="42"/>
      <c r="L91" s="42"/>
      <c r="M91" s="38"/>
      <c r="N91" s="79"/>
      <c r="O91" s="42"/>
      <c r="P91" s="42"/>
      <c r="Q91" s="42"/>
      <c r="R91" s="42"/>
      <c r="S91" s="42"/>
      <c r="T91" s="38"/>
      <c r="U91" s="79"/>
      <c r="V91" s="42"/>
      <c r="W91" s="42"/>
      <c r="X91" s="42"/>
      <c r="Y91" s="42"/>
      <c r="Z91" s="42"/>
      <c r="AA91" s="38"/>
      <c r="AB91" s="42"/>
      <c r="AC91" s="42"/>
      <c r="AD91" s="42"/>
      <c r="AE91" s="38"/>
      <c r="AF91" s="42"/>
      <c r="AG91" s="38"/>
      <c r="AH91" s="42"/>
      <c r="AI91" s="42"/>
      <c r="AJ91" s="42"/>
      <c r="AK91" s="42"/>
      <c r="AL91" s="42"/>
      <c r="AM91" s="38"/>
      <c r="AN91" s="42"/>
      <c r="AO91" s="42"/>
      <c r="AP91" s="42"/>
    </row>
    <row x14ac:dyDescent="0.25" r="92" customHeight="1" ht="23.25">
      <c r="A92" s="42"/>
      <c r="B92" s="44"/>
      <c r="C92" s="72"/>
      <c r="D92" s="42"/>
      <c r="E92" s="42"/>
      <c r="F92" s="38"/>
      <c r="G92" s="79"/>
      <c r="H92" s="42"/>
      <c r="I92" s="42"/>
      <c r="J92" s="42"/>
      <c r="K92" s="42"/>
      <c r="L92" s="42"/>
      <c r="M92" s="38"/>
      <c r="N92" s="79"/>
      <c r="O92" s="42"/>
      <c r="P92" s="42"/>
      <c r="Q92" s="42"/>
      <c r="R92" s="42"/>
      <c r="S92" s="42"/>
      <c r="T92" s="38"/>
      <c r="U92" s="79"/>
      <c r="V92" s="42"/>
      <c r="W92" s="42"/>
      <c r="X92" s="42"/>
      <c r="Y92" s="42"/>
      <c r="Z92" s="42"/>
      <c r="AA92" s="38"/>
      <c r="AB92" s="42"/>
      <c r="AC92" s="42"/>
      <c r="AD92" s="42"/>
      <c r="AE92" s="38"/>
      <c r="AF92" s="42"/>
      <c r="AG92" s="38"/>
      <c r="AH92" s="42"/>
      <c r="AI92" s="42"/>
      <c r="AJ92" s="42"/>
      <c r="AK92" s="42"/>
      <c r="AL92" s="42"/>
      <c r="AM92" s="38"/>
      <c r="AN92" s="42"/>
      <c r="AO92" s="42"/>
      <c r="AP92" s="42"/>
    </row>
    <row x14ac:dyDescent="0.25" r="93" customHeight="1" ht="23.25">
      <c r="A93" s="42"/>
      <c r="B93" s="44"/>
      <c r="C93" s="72"/>
      <c r="D93" s="42"/>
      <c r="E93" s="42"/>
      <c r="F93" s="38"/>
      <c r="G93" s="79"/>
      <c r="H93" s="42"/>
      <c r="I93" s="42"/>
      <c r="J93" s="42"/>
      <c r="K93" s="42"/>
      <c r="L93" s="42"/>
      <c r="M93" s="38"/>
      <c r="N93" s="79"/>
      <c r="O93" s="42"/>
      <c r="P93" s="42"/>
      <c r="Q93" s="42"/>
      <c r="R93" s="42"/>
      <c r="S93" s="42"/>
      <c r="T93" s="38"/>
      <c r="U93" s="79"/>
      <c r="V93" s="42"/>
      <c r="W93" s="42"/>
      <c r="X93" s="42"/>
      <c r="Y93" s="42"/>
      <c r="Z93" s="42"/>
      <c r="AA93" s="38"/>
      <c r="AB93" s="42"/>
      <c r="AC93" s="42"/>
      <c r="AD93" s="42"/>
      <c r="AE93" s="38"/>
      <c r="AF93" s="42"/>
      <c r="AG93" s="38"/>
      <c r="AH93" s="42"/>
      <c r="AI93" s="42"/>
      <c r="AJ93" s="42"/>
      <c r="AK93" s="42"/>
      <c r="AL93" s="42"/>
      <c r="AM93" s="38"/>
      <c r="AN93" s="42"/>
      <c r="AO93" s="42"/>
      <c r="AP93" s="42"/>
    </row>
    <row x14ac:dyDescent="0.25" r="94" customHeight="1" ht="23.25">
      <c r="A94" s="42"/>
      <c r="B94" s="44"/>
      <c r="C94" s="72"/>
      <c r="D94" s="42"/>
      <c r="E94" s="42"/>
      <c r="F94" s="38"/>
      <c r="G94" s="79"/>
      <c r="H94" s="42"/>
      <c r="I94" s="42"/>
      <c r="J94" s="42"/>
      <c r="K94" s="42"/>
      <c r="L94" s="42"/>
      <c r="M94" s="38"/>
      <c r="N94" s="79"/>
      <c r="O94" s="42"/>
      <c r="P94" s="42"/>
      <c r="Q94" s="42"/>
      <c r="R94" s="42"/>
      <c r="S94" s="42"/>
      <c r="T94" s="38"/>
      <c r="U94" s="79"/>
      <c r="V94" s="42"/>
      <c r="W94" s="42"/>
      <c r="X94" s="42"/>
      <c r="Y94" s="42"/>
      <c r="Z94" s="42"/>
      <c r="AA94" s="38"/>
      <c r="AB94" s="42"/>
      <c r="AC94" s="42"/>
      <c r="AD94" s="42"/>
      <c r="AE94" s="38"/>
      <c r="AF94" s="42"/>
      <c r="AG94" s="38"/>
      <c r="AH94" s="42"/>
      <c r="AI94" s="42"/>
      <c r="AJ94" s="42"/>
      <c r="AK94" s="42"/>
      <c r="AL94" s="42"/>
      <c r="AM94" s="38"/>
      <c r="AN94" s="42"/>
      <c r="AO94" s="42"/>
      <c r="AP94" s="42"/>
    </row>
    <row x14ac:dyDescent="0.25" r="95" customHeight="1" ht="23.25">
      <c r="A95" s="42"/>
      <c r="B95" s="44"/>
      <c r="C95" s="72"/>
      <c r="D95" s="42"/>
      <c r="E95" s="42"/>
      <c r="F95" s="38"/>
      <c r="G95" s="79"/>
      <c r="H95" s="42"/>
      <c r="I95" s="42"/>
      <c r="J95" s="42"/>
      <c r="K95" s="42"/>
      <c r="L95" s="42"/>
      <c r="M95" s="38"/>
      <c r="N95" s="79"/>
      <c r="O95" s="42"/>
      <c r="P95" s="42"/>
      <c r="Q95" s="42"/>
      <c r="R95" s="42"/>
      <c r="S95" s="42"/>
      <c r="T95" s="38"/>
      <c r="U95" s="79"/>
      <c r="V95" s="42"/>
      <c r="W95" s="42"/>
      <c r="X95" s="42"/>
      <c r="Y95" s="42"/>
      <c r="Z95" s="42"/>
      <c r="AA95" s="38"/>
      <c r="AB95" s="42"/>
      <c r="AC95" s="42"/>
      <c r="AD95" s="42"/>
      <c r="AE95" s="38"/>
      <c r="AF95" s="42"/>
      <c r="AG95" s="38"/>
      <c r="AH95" s="42"/>
      <c r="AI95" s="42"/>
      <c r="AJ95" s="42"/>
      <c r="AK95" s="42"/>
      <c r="AL95" s="42"/>
      <c r="AM95" s="38"/>
      <c r="AN95" s="42"/>
      <c r="AO95" s="42"/>
      <c r="AP95" s="42"/>
    </row>
    <row x14ac:dyDescent="0.25" r="96" customHeight="1" ht="23.25">
      <c r="A96" s="42"/>
      <c r="B96" s="44"/>
      <c r="C96" s="72"/>
      <c r="D96" s="42"/>
      <c r="E96" s="42"/>
      <c r="F96" s="38"/>
      <c r="G96" s="79"/>
      <c r="H96" s="42"/>
      <c r="I96" s="42"/>
      <c r="J96" s="42"/>
      <c r="K96" s="42"/>
      <c r="L96" s="42"/>
      <c r="M96" s="38"/>
      <c r="N96" s="79"/>
      <c r="O96" s="42"/>
      <c r="P96" s="42"/>
      <c r="Q96" s="42"/>
      <c r="R96" s="42"/>
      <c r="S96" s="42"/>
      <c r="T96" s="38"/>
      <c r="U96" s="79"/>
      <c r="V96" s="42"/>
      <c r="W96" s="42"/>
      <c r="X96" s="42"/>
      <c r="Y96" s="42"/>
      <c r="Z96" s="42"/>
      <c r="AA96" s="38"/>
      <c r="AB96" s="42"/>
      <c r="AC96" s="42"/>
      <c r="AD96" s="42"/>
      <c r="AE96" s="38"/>
      <c r="AF96" s="42"/>
      <c r="AG96" s="38"/>
      <c r="AH96" s="42"/>
      <c r="AI96" s="42"/>
      <c r="AJ96" s="42"/>
      <c r="AK96" s="42"/>
      <c r="AL96" s="42"/>
      <c r="AM96" s="38"/>
      <c r="AN96" s="42"/>
      <c r="AO96" s="42"/>
      <c r="AP96" s="42"/>
    </row>
    <row x14ac:dyDescent="0.25" r="97" customHeight="1" ht="23.25">
      <c r="A97" s="42"/>
      <c r="B97" s="44"/>
      <c r="C97" s="72"/>
      <c r="D97" s="42"/>
      <c r="E97" s="42"/>
      <c r="F97" s="38"/>
      <c r="G97" s="79"/>
      <c r="H97" s="42"/>
      <c r="I97" s="42"/>
      <c r="J97" s="42"/>
      <c r="K97" s="42"/>
      <c r="L97" s="42"/>
      <c r="M97" s="38"/>
      <c r="N97" s="79"/>
      <c r="O97" s="42"/>
      <c r="P97" s="42"/>
      <c r="Q97" s="42"/>
      <c r="R97" s="42"/>
      <c r="S97" s="42"/>
      <c r="T97" s="38"/>
      <c r="U97" s="79"/>
      <c r="V97" s="42"/>
      <c r="W97" s="42"/>
      <c r="X97" s="42"/>
      <c r="Y97" s="42"/>
      <c r="Z97" s="42"/>
      <c r="AA97" s="38"/>
      <c r="AB97" s="42"/>
      <c r="AC97" s="42"/>
      <c r="AD97" s="42"/>
      <c r="AE97" s="38"/>
      <c r="AF97" s="42"/>
      <c r="AG97" s="38"/>
      <c r="AH97" s="42"/>
      <c r="AI97" s="42"/>
      <c r="AJ97" s="42"/>
      <c r="AK97" s="42"/>
      <c r="AL97" s="42"/>
      <c r="AM97" s="38"/>
      <c r="AN97" s="42"/>
      <c r="AO97" s="42"/>
      <c r="AP97" s="42"/>
    </row>
    <row x14ac:dyDescent="0.25" r="98" customHeight="1" ht="23.25">
      <c r="A98" s="42"/>
      <c r="B98" s="44"/>
      <c r="C98" s="72"/>
      <c r="D98" s="42"/>
      <c r="E98" s="42"/>
      <c r="F98" s="38"/>
      <c r="G98" s="79"/>
      <c r="H98" s="42"/>
      <c r="I98" s="42"/>
      <c r="J98" s="42"/>
      <c r="K98" s="42"/>
      <c r="L98" s="42"/>
      <c r="M98" s="38"/>
      <c r="N98" s="79"/>
      <c r="O98" s="42"/>
      <c r="P98" s="42"/>
      <c r="Q98" s="42"/>
      <c r="R98" s="42"/>
      <c r="S98" s="42"/>
      <c r="T98" s="38"/>
      <c r="U98" s="79"/>
      <c r="V98" s="42"/>
      <c r="W98" s="42"/>
      <c r="X98" s="42"/>
      <c r="Y98" s="42"/>
      <c r="Z98" s="42"/>
      <c r="AA98" s="38"/>
      <c r="AB98" s="42"/>
      <c r="AC98" s="42"/>
      <c r="AD98" s="42"/>
      <c r="AE98" s="38"/>
      <c r="AF98" s="42"/>
      <c r="AG98" s="38"/>
      <c r="AH98" s="42"/>
      <c r="AI98" s="42"/>
      <c r="AJ98" s="42"/>
      <c r="AK98" s="42"/>
      <c r="AL98" s="42"/>
      <c r="AM98" s="38"/>
      <c r="AN98" s="42"/>
      <c r="AO98" s="42"/>
      <c r="AP98" s="42"/>
    </row>
    <row x14ac:dyDescent="0.25" r="99" customHeight="1" ht="23.25">
      <c r="A99" s="42"/>
      <c r="B99" s="44"/>
      <c r="C99" s="72"/>
      <c r="D99" s="42"/>
      <c r="E99" s="42"/>
      <c r="F99" s="38"/>
      <c r="G99" s="79"/>
      <c r="H99" s="42"/>
      <c r="I99" s="42"/>
      <c r="J99" s="42"/>
      <c r="K99" s="42"/>
      <c r="L99" s="42"/>
      <c r="M99" s="38"/>
      <c r="N99" s="79"/>
      <c r="O99" s="42"/>
      <c r="P99" s="42"/>
      <c r="Q99" s="42"/>
      <c r="R99" s="42"/>
      <c r="S99" s="42"/>
      <c r="T99" s="38"/>
      <c r="U99" s="79"/>
      <c r="V99" s="42"/>
      <c r="W99" s="42"/>
      <c r="X99" s="42"/>
      <c r="Y99" s="42"/>
      <c r="Z99" s="42"/>
      <c r="AA99" s="38"/>
      <c r="AB99" s="42"/>
      <c r="AC99" s="42"/>
      <c r="AD99" s="42"/>
      <c r="AE99" s="38"/>
      <c r="AF99" s="42"/>
      <c r="AG99" s="38"/>
      <c r="AH99" s="42"/>
      <c r="AI99" s="42"/>
      <c r="AJ99" s="42"/>
      <c r="AK99" s="42"/>
      <c r="AL99" s="42"/>
      <c r="AM99" s="38"/>
      <c r="AN99" s="42"/>
      <c r="AO99" s="42"/>
      <c r="AP99" s="42"/>
    </row>
    <row x14ac:dyDescent="0.25" r="100" customHeight="1" ht="23.25">
      <c r="A100" s="42"/>
      <c r="B100" s="44"/>
      <c r="C100" s="72"/>
      <c r="D100" s="42"/>
      <c r="E100" s="42"/>
      <c r="F100" s="38"/>
      <c r="G100" s="79"/>
      <c r="H100" s="42"/>
      <c r="I100" s="42"/>
      <c r="J100" s="42"/>
      <c r="K100" s="42"/>
      <c r="L100" s="42"/>
      <c r="M100" s="38"/>
      <c r="N100" s="79"/>
      <c r="O100" s="42"/>
      <c r="P100" s="42"/>
      <c r="Q100" s="42"/>
      <c r="R100" s="42"/>
      <c r="S100" s="42"/>
      <c r="T100" s="38"/>
      <c r="U100" s="79"/>
      <c r="V100" s="42"/>
      <c r="W100" s="42"/>
      <c r="X100" s="42"/>
      <c r="Y100" s="42"/>
      <c r="Z100" s="42"/>
      <c r="AA100" s="38"/>
      <c r="AB100" s="42"/>
      <c r="AC100" s="42"/>
      <c r="AD100" s="42"/>
      <c r="AE100" s="38"/>
      <c r="AF100" s="42"/>
      <c r="AG100" s="38"/>
      <c r="AH100" s="42"/>
      <c r="AI100" s="42"/>
      <c r="AJ100" s="42"/>
      <c r="AK100" s="42"/>
      <c r="AL100" s="42"/>
      <c r="AM100" s="38"/>
      <c r="AN100" s="42"/>
      <c r="AO100" s="42"/>
      <c r="AP100" s="42"/>
    </row>
    <row x14ac:dyDescent="0.25" r="101" customHeight="1" ht="23.25">
      <c r="A101" s="42"/>
      <c r="B101" s="44"/>
      <c r="C101" s="72"/>
      <c r="D101" s="42"/>
      <c r="E101" s="42"/>
      <c r="F101" s="38"/>
      <c r="G101" s="79"/>
      <c r="H101" s="42"/>
      <c r="I101" s="42"/>
      <c r="J101" s="42"/>
      <c r="K101" s="42"/>
      <c r="L101" s="42"/>
      <c r="M101" s="38"/>
      <c r="N101" s="79"/>
      <c r="O101" s="42"/>
      <c r="P101" s="42"/>
      <c r="Q101" s="42"/>
      <c r="R101" s="42"/>
      <c r="S101" s="42"/>
      <c r="T101" s="38"/>
      <c r="U101" s="79"/>
      <c r="V101" s="42"/>
      <c r="W101" s="42"/>
      <c r="X101" s="42"/>
      <c r="Y101" s="42"/>
      <c r="Z101" s="42"/>
      <c r="AA101" s="38"/>
      <c r="AB101" s="42"/>
      <c r="AC101" s="42"/>
      <c r="AD101" s="42"/>
      <c r="AE101" s="38"/>
      <c r="AF101" s="42"/>
      <c r="AG101" s="38"/>
      <c r="AH101" s="42"/>
      <c r="AI101" s="42"/>
      <c r="AJ101" s="42"/>
      <c r="AK101" s="42"/>
      <c r="AL101" s="42"/>
      <c r="AM101" s="38"/>
      <c r="AN101" s="42"/>
      <c r="AO101" s="42"/>
      <c r="AP101" s="42"/>
    </row>
    <row x14ac:dyDescent="0.25" r="102" customHeight="1" ht="23.25">
      <c r="A102" s="42"/>
      <c r="B102" s="44"/>
      <c r="C102" s="72"/>
      <c r="D102" s="42"/>
      <c r="E102" s="42"/>
      <c r="F102" s="38"/>
      <c r="G102" s="79"/>
      <c r="H102" s="42"/>
      <c r="I102" s="42"/>
      <c r="J102" s="42"/>
      <c r="K102" s="42"/>
      <c r="L102" s="42"/>
      <c r="M102" s="38"/>
      <c r="N102" s="79"/>
      <c r="O102" s="42"/>
      <c r="P102" s="42"/>
      <c r="Q102" s="42"/>
      <c r="R102" s="42"/>
      <c r="S102" s="42"/>
      <c r="T102" s="38"/>
      <c r="U102" s="79"/>
      <c r="V102" s="42"/>
      <c r="W102" s="42"/>
      <c r="X102" s="42"/>
      <c r="Y102" s="42"/>
      <c r="Z102" s="42"/>
      <c r="AA102" s="38"/>
      <c r="AB102" s="42"/>
      <c r="AC102" s="42"/>
      <c r="AD102" s="42"/>
      <c r="AE102" s="38"/>
      <c r="AF102" s="42"/>
      <c r="AG102" s="38"/>
      <c r="AH102" s="42"/>
      <c r="AI102" s="42"/>
      <c r="AJ102" s="42"/>
      <c r="AK102" s="42"/>
      <c r="AL102" s="42"/>
      <c r="AM102" s="38"/>
      <c r="AN102" s="42"/>
      <c r="AO102" s="42"/>
      <c r="AP102" s="42"/>
    </row>
    <row x14ac:dyDescent="0.25" r="103" customHeight="1" ht="23.25">
      <c r="A103" s="42"/>
      <c r="B103" s="44"/>
      <c r="C103" s="72"/>
      <c r="D103" s="42"/>
      <c r="E103" s="42"/>
      <c r="F103" s="38"/>
      <c r="G103" s="79"/>
      <c r="H103" s="42"/>
      <c r="I103" s="42"/>
      <c r="J103" s="42"/>
      <c r="K103" s="42"/>
      <c r="L103" s="42"/>
      <c r="M103" s="38"/>
      <c r="N103" s="79"/>
      <c r="O103" s="42"/>
      <c r="P103" s="42"/>
      <c r="Q103" s="42"/>
      <c r="R103" s="42"/>
      <c r="S103" s="42"/>
      <c r="T103" s="38"/>
      <c r="U103" s="79"/>
      <c r="V103" s="42"/>
      <c r="W103" s="42"/>
      <c r="X103" s="42"/>
      <c r="Y103" s="42"/>
      <c r="Z103" s="42"/>
      <c r="AA103" s="38"/>
      <c r="AB103" s="42"/>
      <c r="AC103" s="42"/>
      <c r="AD103" s="42"/>
      <c r="AE103" s="38"/>
      <c r="AF103" s="42"/>
      <c r="AG103" s="38"/>
      <c r="AH103" s="42"/>
      <c r="AI103" s="42"/>
      <c r="AJ103" s="42"/>
      <c r="AK103" s="42"/>
      <c r="AL103" s="42"/>
      <c r="AM103" s="38"/>
      <c r="AN103" s="42"/>
      <c r="AO103" s="42"/>
      <c r="AP103" s="42"/>
    </row>
    <row x14ac:dyDescent="0.25" r="104" customHeight="1" ht="23.25">
      <c r="A104" s="42"/>
      <c r="B104" s="44"/>
      <c r="C104" s="72"/>
      <c r="D104" s="42"/>
      <c r="E104" s="42"/>
      <c r="F104" s="38"/>
      <c r="G104" s="79"/>
      <c r="H104" s="42"/>
      <c r="I104" s="42"/>
      <c r="J104" s="42"/>
      <c r="K104" s="42"/>
      <c r="L104" s="42"/>
      <c r="M104" s="38"/>
      <c r="N104" s="79"/>
      <c r="O104" s="42"/>
      <c r="P104" s="42"/>
      <c r="Q104" s="42"/>
      <c r="R104" s="42"/>
      <c r="S104" s="42"/>
      <c r="T104" s="38"/>
      <c r="U104" s="79"/>
      <c r="V104" s="42"/>
      <c r="W104" s="42"/>
      <c r="X104" s="42"/>
      <c r="Y104" s="42"/>
      <c r="Z104" s="42"/>
      <c r="AA104" s="38"/>
      <c r="AB104" s="42"/>
      <c r="AC104" s="42"/>
      <c r="AD104" s="42"/>
      <c r="AE104" s="38"/>
      <c r="AF104" s="42"/>
      <c r="AG104" s="38"/>
      <c r="AH104" s="42"/>
      <c r="AI104" s="42"/>
      <c r="AJ104" s="42"/>
      <c r="AK104" s="42"/>
      <c r="AL104" s="42"/>
      <c r="AM104" s="38"/>
      <c r="AN104" s="42"/>
      <c r="AO104" s="42"/>
      <c r="AP104" s="42"/>
    </row>
    <row x14ac:dyDescent="0.25" r="105" customHeight="1" ht="23.25">
      <c r="A105" s="42"/>
      <c r="B105" s="44"/>
      <c r="C105" s="72"/>
      <c r="D105" s="42"/>
      <c r="E105" s="42"/>
      <c r="F105" s="38"/>
      <c r="G105" s="79"/>
      <c r="H105" s="42"/>
      <c r="I105" s="42"/>
      <c r="J105" s="42"/>
      <c r="K105" s="42"/>
      <c r="L105" s="42"/>
      <c r="M105" s="38"/>
      <c r="N105" s="79"/>
      <c r="O105" s="42"/>
      <c r="P105" s="42"/>
      <c r="Q105" s="42"/>
      <c r="R105" s="42"/>
      <c r="S105" s="42"/>
      <c r="T105" s="38"/>
      <c r="U105" s="79"/>
      <c r="V105" s="42"/>
      <c r="W105" s="42"/>
      <c r="X105" s="42"/>
      <c r="Y105" s="42"/>
      <c r="Z105" s="42"/>
      <c r="AA105" s="38"/>
      <c r="AB105" s="42"/>
      <c r="AC105" s="42"/>
      <c r="AD105" s="42"/>
      <c r="AE105" s="38"/>
      <c r="AF105" s="42"/>
      <c r="AG105" s="38"/>
      <c r="AH105" s="42"/>
      <c r="AI105" s="42"/>
      <c r="AJ105" s="42"/>
      <c r="AK105" s="42"/>
      <c r="AL105" s="42"/>
      <c r="AM105" s="38"/>
      <c r="AN105" s="42"/>
      <c r="AO105" s="42"/>
      <c r="AP105" s="42"/>
    </row>
    <row x14ac:dyDescent="0.25" r="106" customHeight="1" ht="23.25">
      <c r="A106" s="42"/>
      <c r="B106" s="44"/>
      <c r="C106" s="72"/>
      <c r="D106" s="42"/>
      <c r="E106" s="42"/>
      <c r="F106" s="38"/>
      <c r="G106" s="79"/>
      <c r="H106" s="42"/>
      <c r="I106" s="42"/>
      <c r="J106" s="42"/>
      <c r="K106" s="42"/>
      <c r="L106" s="42"/>
      <c r="M106" s="38"/>
      <c r="N106" s="79"/>
      <c r="O106" s="42"/>
      <c r="P106" s="42"/>
      <c r="Q106" s="42"/>
      <c r="R106" s="42"/>
      <c r="S106" s="42"/>
      <c r="T106" s="38"/>
      <c r="U106" s="79"/>
      <c r="V106" s="42"/>
      <c r="W106" s="42"/>
      <c r="X106" s="42"/>
      <c r="Y106" s="42"/>
      <c r="Z106" s="42"/>
      <c r="AA106" s="38"/>
      <c r="AB106" s="42"/>
      <c r="AC106" s="42"/>
      <c r="AD106" s="42"/>
      <c r="AE106" s="38"/>
      <c r="AF106" s="42"/>
      <c r="AG106" s="38"/>
      <c r="AH106" s="42"/>
      <c r="AI106" s="42"/>
      <c r="AJ106" s="42"/>
      <c r="AK106" s="42"/>
      <c r="AL106" s="42"/>
      <c r="AM106" s="38"/>
      <c r="AN106" s="42"/>
      <c r="AO106" s="42"/>
      <c r="AP106" s="42"/>
    </row>
    <row x14ac:dyDescent="0.25" r="107" customHeight="1" ht="23.25">
      <c r="A107" s="42"/>
      <c r="B107" s="44"/>
      <c r="C107" s="72"/>
      <c r="D107" s="42"/>
      <c r="E107" s="42"/>
      <c r="F107" s="38"/>
      <c r="G107" s="79"/>
      <c r="H107" s="42"/>
      <c r="I107" s="42"/>
      <c r="J107" s="42"/>
      <c r="K107" s="42"/>
      <c r="L107" s="42"/>
      <c r="M107" s="38"/>
      <c r="N107" s="79"/>
      <c r="O107" s="42"/>
      <c r="P107" s="42"/>
      <c r="Q107" s="42"/>
      <c r="R107" s="42"/>
      <c r="S107" s="42"/>
      <c r="T107" s="38"/>
      <c r="U107" s="79"/>
      <c r="V107" s="42"/>
      <c r="W107" s="42"/>
      <c r="X107" s="42"/>
      <c r="Y107" s="42"/>
      <c r="Z107" s="42"/>
      <c r="AA107" s="38"/>
      <c r="AB107" s="42"/>
      <c r="AC107" s="42"/>
      <c r="AD107" s="42"/>
      <c r="AE107" s="38"/>
      <c r="AF107" s="42"/>
      <c r="AG107" s="38"/>
      <c r="AH107" s="42"/>
      <c r="AI107" s="42"/>
      <c r="AJ107" s="42"/>
      <c r="AK107" s="42"/>
      <c r="AL107" s="42"/>
      <c r="AM107" s="38"/>
      <c r="AN107" s="42"/>
      <c r="AO107" s="42"/>
      <c r="AP107" s="42"/>
    </row>
    <row x14ac:dyDescent="0.25" r="108" customHeight="1" ht="23.25">
      <c r="A108" s="42"/>
      <c r="B108" s="44"/>
      <c r="C108" s="72"/>
      <c r="D108" s="42"/>
      <c r="E108" s="42"/>
      <c r="F108" s="38"/>
      <c r="G108" s="79"/>
      <c r="H108" s="42"/>
      <c r="I108" s="42"/>
      <c r="J108" s="42"/>
      <c r="K108" s="42"/>
      <c r="L108" s="42"/>
      <c r="M108" s="38"/>
      <c r="N108" s="79"/>
      <c r="O108" s="42"/>
      <c r="P108" s="42"/>
      <c r="Q108" s="42"/>
      <c r="R108" s="42"/>
      <c r="S108" s="42"/>
      <c r="T108" s="38"/>
      <c r="U108" s="79"/>
      <c r="V108" s="42"/>
      <c r="W108" s="42"/>
      <c r="X108" s="42"/>
      <c r="Y108" s="42"/>
      <c r="Z108" s="42"/>
      <c r="AA108" s="38"/>
      <c r="AB108" s="42"/>
      <c r="AC108" s="42"/>
      <c r="AD108" s="42"/>
      <c r="AE108" s="38"/>
      <c r="AF108" s="42"/>
      <c r="AG108" s="38"/>
      <c r="AH108" s="42"/>
      <c r="AI108" s="42"/>
      <c r="AJ108" s="42"/>
      <c r="AK108" s="42"/>
      <c r="AL108" s="42"/>
      <c r="AM108" s="38"/>
      <c r="AN108" s="42"/>
      <c r="AO108" s="42"/>
      <c r="AP108" s="42"/>
    </row>
    <row x14ac:dyDescent="0.25" r="109" customHeight="1" ht="23.25">
      <c r="A109" s="42"/>
      <c r="B109" s="44"/>
      <c r="C109" s="72"/>
      <c r="D109" s="42"/>
      <c r="E109" s="42"/>
      <c r="F109" s="38"/>
      <c r="G109" s="79"/>
      <c r="H109" s="42"/>
      <c r="I109" s="42"/>
      <c r="J109" s="42"/>
      <c r="K109" s="42"/>
      <c r="L109" s="42"/>
      <c r="M109" s="38"/>
      <c r="N109" s="79"/>
      <c r="O109" s="42"/>
      <c r="P109" s="42"/>
      <c r="Q109" s="42"/>
      <c r="R109" s="42"/>
      <c r="S109" s="42"/>
      <c r="T109" s="38"/>
      <c r="U109" s="79"/>
      <c r="V109" s="42"/>
      <c r="W109" s="42"/>
      <c r="X109" s="42"/>
      <c r="Y109" s="42"/>
      <c r="Z109" s="42"/>
      <c r="AA109" s="38"/>
      <c r="AB109" s="42"/>
      <c r="AC109" s="42"/>
      <c r="AD109" s="42"/>
      <c r="AE109" s="38"/>
      <c r="AF109" s="42"/>
      <c r="AG109" s="38"/>
      <c r="AH109" s="42"/>
      <c r="AI109" s="42"/>
      <c r="AJ109" s="42"/>
      <c r="AK109" s="42"/>
      <c r="AL109" s="42"/>
      <c r="AM109" s="38"/>
      <c r="AN109" s="42"/>
      <c r="AO109" s="42"/>
      <c r="AP109" s="42"/>
    </row>
    <row x14ac:dyDescent="0.25" r="110" customHeight="1" ht="23.25">
      <c r="A110" s="42"/>
      <c r="B110" s="44"/>
      <c r="C110" s="72"/>
      <c r="D110" s="42"/>
      <c r="E110" s="42"/>
      <c r="F110" s="38"/>
      <c r="G110" s="79"/>
      <c r="H110" s="42"/>
      <c r="I110" s="42"/>
      <c r="J110" s="42"/>
      <c r="K110" s="42"/>
      <c r="L110" s="42"/>
      <c r="M110" s="38"/>
      <c r="N110" s="79"/>
      <c r="O110" s="42"/>
      <c r="P110" s="42"/>
      <c r="Q110" s="42"/>
      <c r="R110" s="42"/>
      <c r="S110" s="42"/>
      <c r="T110" s="38"/>
      <c r="U110" s="79"/>
      <c r="V110" s="42"/>
      <c r="W110" s="42"/>
      <c r="X110" s="42"/>
      <c r="Y110" s="42"/>
      <c r="Z110" s="42"/>
      <c r="AA110" s="38"/>
      <c r="AB110" s="42"/>
      <c r="AC110" s="42"/>
      <c r="AD110" s="42"/>
      <c r="AE110" s="38"/>
      <c r="AF110" s="42"/>
      <c r="AG110" s="38"/>
      <c r="AH110" s="42"/>
      <c r="AI110" s="42"/>
      <c r="AJ110" s="42"/>
      <c r="AK110" s="42"/>
      <c r="AL110" s="42"/>
      <c r="AM110" s="38"/>
      <c r="AN110" s="42"/>
      <c r="AO110" s="42"/>
      <c r="AP110" s="42"/>
    </row>
    <row x14ac:dyDescent="0.25" r="111" customHeight="1" ht="23.25">
      <c r="A111" s="42"/>
      <c r="B111" s="44"/>
      <c r="C111" s="72"/>
      <c r="D111" s="42"/>
      <c r="E111" s="42"/>
      <c r="F111" s="38"/>
      <c r="G111" s="79"/>
      <c r="H111" s="42"/>
      <c r="I111" s="42"/>
      <c r="J111" s="42"/>
      <c r="K111" s="42"/>
      <c r="L111" s="42"/>
      <c r="M111" s="38"/>
      <c r="N111" s="79"/>
      <c r="O111" s="42"/>
      <c r="P111" s="42"/>
      <c r="Q111" s="42"/>
      <c r="R111" s="42"/>
      <c r="S111" s="42"/>
      <c r="T111" s="38"/>
      <c r="U111" s="79"/>
      <c r="V111" s="42"/>
      <c r="W111" s="42"/>
      <c r="X111" s="42"/>
      <c r="Y111" s="42"/>
      <c r="Z111" s="42"/>
      <c r="AA111" s="38"/>
      <c r="AB111" s="42"/>
      <c r="AC111" s="42"/>
      <c r="AD111" s="42"/>
      <c r="AE111" s="38"/>
      <c r="AF111" s="42"/>
      <c r="AG111" s="38"/>
      <c r="AH111" s="42"/>
      <c r="AI111" s="42"/>
      <c r="AJ111" s="42"/>
      <c r="AK111" s="42"/>
      <c r="AL111" s="42"/>
      <c r="AM111" s="38"/>
      <c r="AN111" s="42"/>
      <c r="AO111" s="42"/>
      <c r="AP111" s="42"/>
    </row>
    <row x14ac:dyDescent="0.25" r="112" customHeight="1" ht="23.25">
      <c r="A112" s="42"/>
      <c r="B112" s="44"/>
      <c r="C112" s="72"/>
      <c r="D112" s="42"/>
      <c r="E112" s="42"/>
      <c r="F112" s="38"/>
      <c r="G112" s="79"/>
      <c r="H112" s="42"/>
      <c r="I112" s="42"/>
      <c r="J112" s="42"/>
      <c r="K112" s="42"/>
      <c r="L112" s="42"/>
      <c r="M112" s="38"/>
      <c r="N112" s="79"/>
      <c r="O112" s="42"/>
      <c r="P112" s="42"/>
      <c r="Q112" s="42"/>
      <c r="R112" s="42"/>
      <c r="S112" s="42"/>
      <c r="T112" s="38"/>
      <c r="U112" s="79"/>
      <c r="V112" s="42"/>
      <c r="W112" s="42"/>
      <c r="X112" s="42"/>
      <c r="Y112" s="42"/>
      <c r="Z112" s="42"/>
      <c r="AA112" s="38"/>
      <c r="AB112" s="42"/>
      <c r="AC112" s="42"/>
      <c r="AD112" s="42"/>
      <c r="AE112" s="38"/>
      <c r="AF112" s="42"/>
      <c r="AG112" s="38"/>
      <c r="AH112" s="42"/>
      <c r="AI112" s="42"/>
      <c r="AJ112" s="42"/>
      <c r="AK112" s="42"/>
      <c r="AL112" s="42"/>
      <c r="AM112" s="38"/>
      <c r="AN112" s="42"/>
      <c r="AO112" s="42"/>
      <c r="AP112" s="42"/>
    </row>
    <row x14ac:dyDescent="0.25" r="113" customHeight="1" ht="23.25">
      <c r="A113" s="42"/>
      <c r="B113" s="44"/>
      <c r="C113" s="72"/>
      <c r="D113" s="42"/>
      <c r="E113" s="42"/>
      <c r="F113" s="38"/>
      <c r="G113" s="79"/>
      <c r="H113" s="42"/>
      <c r="I113" s="42"/>
      <c r="J113" s="42"/>
      <c r="K113" s="42"/>
      <c r="L113" s="42"/>
      <c r="M113" s="38"/>
      <c r="N113" s="79"/>
      <c r="O113" s="42"/>
      <c r="P113" s="42"/>
      <c r="Q113" s="42"/>
      <c r="R113" s="42"/>
      <c r="S113" s="42"/>
      <c r="T113" s="38"/>
      <c r="U113" s="79"/>
      <c r="V113" s="42"/>
      <c r="W113" s="42"/>
      <c r="X113" s="42"/>
      <c r="Y113" s="42"/>
      <c r="Z113" s="42"/>
      <c r="AA113" s="38"/>
      <c r="AB113" s="42"/>
      <c r="AC113" s="42"/>
      <c r="AD113" s="42"/>
      <c r="AE113" s="38"/>
      <c r="AF113" s="42"/>
      <c r="AG113" s="38"/>
      <c r="AH113" s="42"/>
      <c r="AI113" s="42"/>
      <c r="AJ113" s="42"/>
      <c r="AK113" s="42"/>
      <c r="AL113" s="42"/>
      <c r="AM113" s="38"/>
      <c r="AN113" s="42"/>
      <c r="AO113" s="42"/>
      <c r="AP113" s="42"/>
    </row>
    <row x14ac:dyDescent="0.25" r="114" customHeight="1" ht="23.25">
      <c r="A114" s="42"/>
      <c r="B114" s="44"/>
      <c r="C114" s="72"/>
      <c r="D114" s="42"/>
      <c r="E114" s="42"/>
      <c r="F114" s="38"/>
      <c r="G114" s="79"/>
      <c r="H114" s="42"/>
      <c r="I114" s="42"/>
      <c r="J114" s="42"/>
      <c r="K114" s="42"/>
      <c r="L114" s="42"/>
      <c r="M114" s="38"/>
      <c r="N114" s="79"/>
      <c r="O114" s="42"/>
      <c r="P114" s="42"/>
      <c r="Q114" s="42"/>
      <c r="R114" s="42"/>
      <c r="S114" s="42"/>
      <c r="T114" s="38"/>
      <c r="U114" s="79"/>
      <c r="V114" s="42"/>
      <c r="W114" s="42"/>
      <c r="X114" s="42"/>
      <c r="Y114" s="42"/>
      <c r="Z114" s="42"/>
      <c r="AA114" s="38"/>
      <c r="AB114" s="42"/>
      <c r="AC114" s="42"/>
      <c r="AD114" s="42"/>
      <c r="AE114" s="38"/>
      <c r="AF114" s="42"/>
      <c r="AG114" s="38"/>
      <c r="AH114" s="42"/>
      <c r="AI114" s="42"/>
      <c r="AJ114" s="42"/>
      <c r="AK114" s="42"/>
      <c r="AL114" s="42"/>
      <c r="AM114" s="38"/>
      <c r="AN114" s="42"/>
      <c r="AO114" s="42"/>
      <c r="AP114" s="42"/>
    </row>
    <row x14ac:dyDescent="0.25" r="115" customHeight="1" ht="23.25">
      <c r="A115" s="42"/>
      <c r="B115" s="44"/>
      <c r="C115" s="72"/>
      <c r="D115" s="42"/>
      <c r="E115" s="42"/>
      <c r="F115" s="38"/>
      <c r="G115" s="79"/>
      <c r="H115" s="42"/>
      <c r="I115" s="42"/>
      <c r="J115" s="42"/>
      <c r="K115" s="42"/>
      <c r="L115" s="42"/>
      <c r="M115" s="38"/>
      <c r="N115" s="79"/>
      <c r="O115" s="42"/>
      <c r="P115" s="42"/>
      <c r="Q115" s="42"/>
      <c r="R115" s="42"/>
      <c r="S115" s="42"/>
      <c r="T115" s="38"/>
      <c r="U115" s="79"/>
      <c r="V115" s="42"/>
      <c r="W115" s="42"/>
      <c r="X115" s="42"/>
      <c r="Y115" s="42"/>
      <c r="Z115" s="42"/>
      <c r="AA115" s="38"/>
      <c r="AB115" s="42"/>
      <c r="AC115" s="42"/>
      <c r="AD115" s="42"/>
      <c r="AE115" s="38"/>
      <c r="AF115" s="42"/>
      <c r="AG115" s="38"/>
      <c r="AH115" s="42"/>
      <c r="AI115" s="42"/>
      <c r="AJ115" s="42"/>
      <c r="AK115" s="42"/>
      <c r="AL115" s="42"/>
      <c r="AM115" s="38"/>
      <c r="AN115" s="42"/>
      <c r="AO115" s="42"/>
      <c r="AP115" s="42"/>
    </row>
    <row x14ac:dyDescent="0.25" r="116" customHeight="1" ht="23.25">
      <c r="A116" s="42"/>
      <c r="B116" s="44"/>
      <c r="C116" s="72"/>
      <c r="D116" s="42"/>
      <c r="E116" s="42"/>
      <c r="F116" s="38"/>
      <c r="G116" s="79"/>
      <c r="H116" s="42"/>
      <c r="I116" s="42"/>
      <c r="J116" s="42"/>
      <c r="K116" s="42"/>
      <c r="L116" s="42"/>
      <c r="M116" s="38"/>
      <c r="N116" s="79"/>
      <c r="O116" s="42"/>
      <c r="P116" s="42"/>
      <c r="Q116" s="42"/>
      <c r="R116" s="42"/>
      <c r="S116" s="42"/>
      <c r="T116" s="38"/>
      <c r="U116" s="79"/>
      <c r="V116" s="42"/>
      <c r="W116" s="42"/>
      <c r="X116" s="42"/>
      <c r="Y116" s="42"/>
      <c r="Z116" s="42"/>
      <c r="AA116" s="38"/>
      <c r="AB116" s="42"/>
      <c r="AC116" s="42"/>
      <c r="AD116" s="42"/>
      <c r="AE116" s="38"/>
      <c r="AF116" s="42"/>
      <c r="AG116" s="38"/>
      <c r="AH116" s="42"/>
      <c r="AI116" s="42"/>
      <c r="AJ116" s="42"/>
      <c r="AK116" s="42"/>
      <c r="AL116" s="42"/>
      <c r="AM116" s="38"/>
      <c r="AN116" s="42"/>
      <c r="AO116" s="42"/>
      <c r="AP116" s="42"/>
    </row>
    <row x14ac:dyDescent="0.25" r="117" customHeight="1" ht="23.25">
      <c r="A117" s="42"/>
      <c r="B117" s="44"/>
      <c r="C117" s="72"/>
      <c r="D117" s="42"/>
      <c r="E117" s="42"/>
      <c r="F117" s="38"/>
      <c r="G117" s="79"/>
      <c r="H117" s="42"/>
      <c r="I117" s="42"/>
      <c r="J117" s="42"/>
      <c r="K117" s="42"/>
      <c r="L117" s="42"/>
      <c r="M117" s="38"/>
      <c r="N117" s="79"/>
      <c r="O117" s="42"/>
      <c r="P117" s="42"/>
      <c r="Q117" s="42"/>
      <c r="R117" s="42"/>
      <c r="S117" s="42"/>
      <c r="T117" s="38"/>
      <c r="U117" s="79"/>
      <c r="V117" s="42"/>
      <c r="W117" s="42"/>
      <c r="X117" s="42"/>
      <c r="Y117" s="42"/>
      <c r="Z117" s="42"/>
      <c r="AA117" s="38"/>
      <c r="AB117" s="42"/>
      <c r="AC117" s="42"/>
      <c r="AD117" s="42"/>
      <c r="AE117" s="38"/>
      <c r="AF117" s="42"/>
      <c r="AG117" s="38"/>
      <c r="AH117" s="42"/>
      <c r="AI117" s="42"/>
      <c r="AJ117" s="42"/>
      <c r="AK117" s="42"/>
      <c r="AL117" s="42"/>
      <c r="AM117" s="38"/>
      <c r="AN117" s="42"/>
      <c r="AO117" s="42"/>
      <c r="AP117" s="42"/>
    </row>
    <row x14ac:dyDescent="0.25" r="118" customHeight="1" ht="23.25">
      <c r="A118" s="42"/>
      <c r="B118" s="44"/>
      <c r="C118" s="72"/>
      <c r="D118" s="42"/>
      <c r="E118" s="42"/>
      <c r="F118" s="38"/>
      <c r="G118" s="79"/>
      <c r="H118" s="42"/>
      <c r="I118" s="42"/>
      <c r="J118" s="42"/>
      <c r="K118" s="42"/>
      <c r="L118" s="42"/>
      <c r="M118" s="38"/>
      <c r="N118" s="79"/>
      <c r="O118" s="42"/>
      <c r="P118" s="42"/>
      <c r="Q118" s="42"/>
      <c r="R118" s="42"/>
      <c r="S118" s="42"/>
      <c r="T118" s="38"/>
      <c r="U118" s="79"/>
      <c r="V118" s="42"/>
      <c r="W118" s="42"/>
      <c r="X118" s="42"/>
      <c r="Y118" s="42"/>
      <c r="Z118" s="42"/>
      <c r="AA118" s="38"/>
      <c r="AB118" s="42"/>
      <c r="AC118" s="42"/>
      <c r="AD118" s="42"/>
      <c r="AE118" s="38"/>
      <c r="AF118" s="42"/>
      <c r="AG118" s="38"/>
      <c r="AH118" s="42"/>
      <c r="AI118" s="42"/>
      <c r="AJ118" s="42"/>
      <c r="AK118" s="42"/>
      <c r="AL118" s="42"/>
      <c r="AM118" s="38"/>
      <c r="AN118" s="42"/>
      <c r="AO118" s="42"/>
      <c r="AP118" s="42"/>
    </row>
    <row x14ac:dyDescent="0.25" r="119" customHeight="1" ht="23.25">
      <c r="A119" s="42"/>
      <c r="B119" s="44"/>
      <c r="C119" s="72"/>
      <c r="D119" s="42"/>
      <c r="E119" s="42"/>
      <c r="F119" s="38"/>
      <c r="G119" s="79"/>
      <c r="H119" s="42"/>
      <c r="I119" s="42"/>
      <c r="J119" s="42"/>
      <c r="K119" s="42"/>
      <c r="L119" s="42"/>
      <c r="M119" s="38"/>
      <c r="N119" s="79"/>
      <c r="O119" s="42"/>
      <c r="P119" s="42"/>
      <c r="Q119" s="42"/>
      <c r="R119" s="42"/>
      <c r="S119" s="42"/>
      <c r="T119" s="38"/>
      <c r="U119" s="79"/>
      <c r="V119" s="42"/>
      <c r="W119" s="42"/>
      <c r="X119" s="42"/>
      <c r="Y119" s="42"/>
      <c r="Z119" s="42"/>
      <c r="AA119" s="38"/>
      <c r="AB119" s="42"/>
      <c r="AC119" s="42"/>
      <c r="AD119" s="42"/>
      <c r="AE119" s="38"/>
      <c r="AF119" s="42"/>
      <c r="AG119" s="38"/>
      <c r="AH119" s="42"/>
      <c r="AI119" s="42"/>
      <c r="AJ119" s="42"/>
      <c r="AK119" s="42"/>
      <c r="AL119" s="42"/>
      <c r="AM119" s="38"/>
      <c r="AN119" s="42"/>
      <c r="AO119" s="42"/>
      <c r="AP119" s="42"/>
    </row>
    <row x14ac:dyDescent="0.25" r="120" customHeight="1" ht="23.25">
      <c r="A120" s="42"/>
      <c r="B120" s="44"/>
      <c r="C120" s="72"/>
      <c r="D120" s="42"/>
      <c r="E120" s="42"/>
      <c r="F120" s="38"/>
      <c r="G120" s="79"/>
      <c r="H120" s="42"/>
      <c r="I120" s="42"/>
      <c r="J120" s="42"/>
      <c r="K120" s="42"/>
      <c r="L120" s="42"/>
      <c r="M120" s="38"/>
      <c r="N120" s="79"/>
      <c r="O120" s="42"/>
      <c r="P120" s="42"/>
      <c r="Q120" s="42"/>
      <c r="R120" s="42"/>
      <c r="S120" s="42"/>
      <c r="T120" s="38"/>
      <c r="U120" s="79"/>
      <c r="V120" s="42"/>
      <c r="W120" s="42"/>
      <c r="X120" s="42"/>
      <c r="Y120" s="42"/>
      <c r="Z120" s="42"/>
      <c r="AA120" s="38"/>
      <c r="AB120" s="42"/>
      <c r="AC120" s="42"/>
      <c r="AD120" s="42"/>
      <c r="AE120" s="38"/>
      <c r="AF120" s="42"/>
      <c r="AG120" s="38"/>
      <c r="AH120" s="42"/>
      <c r="AI120" s="42"/>
      <c r="AJ120" s="42"/>
      <c r="AK120" s="42"/>
      <c r="AL120" s="42"/>
      <c r="AM120" s="38"/>
      <c r="AN120" s="42"/>
      <c r="AO120" s="42"/>
      <c r="AP120" s="42"/>
    </row>
    <row x14ac:dyDescent="0.25" r="121" customHeight="1" ht="23.25">
      <c r="A121" s="42"/>
      <c r="B121" s="44"/>
      <c r="C121" s="72"/>
      <c r="D121" s="42"/>
      <c r="E121" s="42"/>
      <c r="F121" s="38"/>
      <c r="G121" s="79"/>
      <c r="H121" s="42"/>
      <c r="I121" s="42"/>
      <c r="J121" s="42"/>
      <c r="K121" s="42"/>
      <c r="L121" s="42"/>
      <c r="M121" s="38"/>
      <c r="N121" s="79"/>
      <c r="O121" s="42"/>
      <c r="P121" s="42"/>
      <c r="Q121" s="42"/>
      <c r="R121" s="42"/>
      <c r="S121" s="42"/>
      <c r="T121" s="38"/>
      <c r="U121" s="79"/>
      <c r="V121" s="42"/>
      <c r="W121" s="42"/>
      <c r="X121" s="42"/>
      <c r="Y121" s="42"/>
      <c r="Z121" s="42"/>
      <c r="AA121" s="38"/>
      <c r="AB121" s="42"/>
      <c r="AC121" s="42"/>
      <c r="AD121" s="42"/>
      <c r="AE121" s="38"/>
      <c r="AF121" s="42"/>
      <c r="AG121" s="38"/>
      <c r="AH121" s="42"/>
      <c r="AI121" s="42"/>
      <c r="AJ121" s="42"/>
      <c r="AK121" s="42"/>
      <c r="AL121" s="42"/>
      <c r="AM121" s="38"/>
      <c r="AN121" s="42"/>
      <c r="AO121" s="42"/>
      <c r="AP121" s="42"/>
    </row>
    <row x14ac:dyDescent="0.25" r="122" customHeight="1" ht="23.25">
      <c r="A122" s="42"/>
      <c r="B122" s="44"/>
      <c r="C122" s="72"/>
      <c r="D122" s="42"/>
      <c r="E122" s="42"/>
      <c r="F122" s="38"/>
      <c r="G122" s="79"/>
      <c r="H122" s="42"/>
      <c r="I122" s="42"/>
      <c r="J122" s="42"/>
      <c r="K122" s="42"/>
      <c r="L122" s="42"/>
      <c r="M122" s="38"/>
      <c r="N122" s="79"/>
      <c r="O122" s="42"/>
      <c r="P122" s="42"/>
      <c r="Q122" s="42"/>
      <c r="R122" s="42"/>
      <c r="S122" s="42"/>
      <c r="T122" s="38"/>
      <c r="U122" s="79"/>
      <c r="V122" s="42"/>
      <c r="W122" s="42"/>
      <c r="X122" s="42"/>
      <c r="Y122" s="42"/>
      <c r="Z122" s="42"/>
      <c r="AA122" s="38"/>
      <c r="AB122" s="42"/>
      <c r="AC122" s="42"/>
      <c r="AD122" s="42"/>
      <c r="AE122" s="38"/>
      <c r="AF122" s="42"/>
      <c r="AG122" s="38"/>
      <c r="AH122" s="42"/>
      <c r="AI122" s="42"/>
      <c r="AJ122" s="42"/>
      <c r="AK122" s="42"/>
      <c r="AL122" s="42"/>
      <c r="AM122" s="38"/>
      <c r="AN122" s="42"/>
      <c r="AO122" s="42"/>
      <c r="AP122" s="42"/>
    </row>
    <row x14ac:dyDescent="0.25" r="123" customHeight="1" ht="23.25">
      <c r="A123" s="42"/>
      <c r="B123" s="44"/>
      <c r="C123" s="72"/>
      <c r="D123" s="42"/>
      <c r="E123" s="42"/>
      <c r="F123" s="38"/>
      <c r="G123" s="79"/>
      <c r="H123" s="42"/>
      <c r="I123" s="42"/>
      <c r="J123" s="42"/>
      <c r="K123" s="42"/>
      <c r="L123" s="42"/>
      <c r="M123" s="38"/>
      <c r="N123" s="79"/>
      <c r="O123" s="42"/>
      <c r="P123" s="42"/>
      <c r="Q123" s="42"/>
      <c r="R123" s="42"/>
      <c r="S123" s="42"/>
      <c r="T123" s="38"/>
      <c r="U123" s="79"/>
      <c r="V123" s="42"/>
      <c r="W123" s="42"/>
      <c r="X123" s="42"/>
      <c r="Y123" s="42"/>
      <c r="Z123" s="42"/>
      <c r="AA123" s="38"/>
      <c r="AB123" s="42"/>
      <c r="AC123" s="42"/>
      <c r="AD123" s="42"/>
      <c r="AE123" s="38"/>
      <c r="AF123" s="42"/>
      <c r="AG123" s="38"/>
      <c r="AH123" s="42"/>
      <c r="AI123" s="42"/>
      <c r="AJ123" s="42"/>
      <c r="AK123" s="42"/>
      <c r="AL123" s="42"/>
      <c r="AM123" s="38"/>
      <c r="AN123" s="42"/>
      <c r="AO123" s="42"/>
      <c r="AP123" s="42"/>
    </row>
    <row x14ac:dyDescent="0.25" r="124" customHeight="1" ht="23.25">
      <c r="A124" s="42"/>
      <c r="B124" s="44"/>
      <c r="C124" s="72"/>
      <c r="D124" s="42"/>
      <c r="E124" s="42"/>
      <c r="F124" s="38"/>
      <c r="G124" s="79"/>
      <c r="H124" s="42"/>
      <c r="I124" s="42"/>
      <c r="J124" s="42"/>
      <c r="K124" s="42"/>
      <c r="L124" s="42"/>
      <c r="M124" s="38"/>
      <c r="N124" s="79"/>
      <c r="O124" s="42"/>
      <c r="P124" s="42"/>
      <c r="Q124" s="42"/>
      <c r="R124" s="42"/>
      <c r="S124" s="42"/>
      <c r="T124" s="38"/>
      <c r="U124" s="79"/>
      <c r="V124" s="42"/>
      <c r="W124" s="42"/>
      <c r="X124" s="42"/>
      <c r="Y124" s="42"/>
      <c r="Z124" s="42"/>
      <c r="AA124" s="38"/>
      <c r="AB124" s="42"/>
      <c r="AC124" s="42"/>
      <c r="AD124" s="42"/>
      <c r="AE124" s="38"/>
      <c r="AF124" s="42"/>
      <c r="AG124" s="38"/>
      <c r="AH124" s="42"/>
      <c r="AI124" s="42"/>
      <c r="AJ124" s="42"/>
      <c r="AK124" s="42"/>
      <c r="AL124" s="42"/>
      <c r="AM124" s="38"/>
      <c r="AN124" s="42"/>
      <c r="AO124" s="42"/>
      <c r="AP124" s="42"/>
    </row>
    <row x14ac:dyDescent="0.25" r="125" customHeight="1" ht="23.25">
      <c r="A125" s="42"/>
      <c r="B125" s="44"/>
      <c r="C125" s="72"/>
      <c r="D125" s="42"/>
      <c r="E125" s="42"/>
      <c r="F125" s="38"/>
      <c r="G125" s="79"/>
      <c r="H125" s="42"/>
      <c r="I125" s="42"/>
      <c r="J125" s="42"/>
      <c r="K125" s="42"/>
      <c r="L125" s="42"/>
      <c r="M125" s="38"/>
      <c r="N125" s="79"/>
      <c r="O125" s="42"/>
      <c r="P125" s="42"/>
      <c r="Q125" s="42"/>
      <c r="R125" s="42"/>
      <c r="S125" s="42"/>
      <c r="T125" s="38"/>
      <c r="U125" s="79"/>
      <c r="V125" s="42"/>
      <c r="W125" s="42"/>
      <c r="X125" s="42"/>
      <c r="Y125" s="42"/>
      <c r="Z125" s="42"/>
      <c r="AA125" s="38"/>
      <c r="AB125" s="42"/>
      <c r="AC125" s="42"/>
      <c r="AD125" s="42"/>
      <c r="AE125" s="38"/>
      <c r="AF125" s="42"/>
      <c r="AG125" s="38"/>
      <c r="AH125" s="42"/>
      <c r="AI125" s="42"/>
      <c r="AJ125" s="42"/>
      <c r="AK125" s="42"/>
      <c r="AL125" s="42"/>
      <c r="AM125" s="38"/>
      <c r="AN125" s="42"/>
      <c r="AO125" s="42"/>
      <c r="AP125" s="42"/>
    </row>
  </sheetData>
  <mergeCells count="17">
    <mergeCell ref="A1:AP1"/>
    <mergeCell ref="A3:A4"/>
    <mergeCell ref="B3:B4"/>
    <mergeCell ref="C3:C4"/>
    <mergeCell ref="D3:G3"/>
    <mergeCell ref="H3:J3"/>
    <mergeCell ref="K3:N3"/>
    <mergeCell ref="O3:Q3"/>
    <mergeCell ref="R3:U3"/>
    <mergeCell ref="V3:X3"/>
    <mergeCell ref="Y3:AA3"/>
    <mergeCell ref="AB3:AD3"/>
    <mergeCell ref="AE3:AG3"/>
    <mergeCell ref="AH3:AJ3"/>
    <mergeCell ref="AK3:AM3"/>
    <mergeCell ref="AN3:AP3"/>
    <mergeCell ref="A62:C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3"/>
  <sheetViews>
    <sheetView workbookViewId="0"/>
  </sheetViews>
  <sheetFormatPr defaultRowHeight="15" x14ac:dyDescent="0.25"/>
  <cols>
    <col min="1" max="1" style="45" width="6.005" customWidth="1" bestFit="1"/>
    <col min="2" max="2" style="46" width="7.719285714285714" customWidth="1" bestFit="1"/>
    <col min="3" max="3" style="47" width="39.86214285714286" customWidth="1" bestFit="1"/>
    <col min="4" max="4" style="45" width="8.719285714285713" customWidth="1" bestFit="1"/>
    <col min="5" max="5" style="45" width="10.719285714285713" customWidth="1" bestFit="1"/>
    <col min="6" max="6" style="45" width="16.576428571428572" customWidth="1" bestFit="1"/>
    <col min="7" max="7" style="45" width="8.719285714285713" customWidth="1" bestFit="1"/>
    <col min="8" max="8" style="45" width="10.719285714285713" customWidth="1" bestFit="1"/>
    <col min="9" max="9" style="45" width="16.576428571428572" customWidth="1" bestFit="1"/>
  </cols>
  <sheetData>
    <row x14ac:dyDescent="0.25" r="1" customHeight="1" ht="22.5">
      <c r="A1" s="4" t="s">
        <v>198</v>
      </c>
      <c r="B1" s="61"/>
      <c r="C1" s="62"/>
      <c r="D1" s="4"/>
      <c r="E1" s="4"/>
      <c r="F1" s="4"/>
      <c r="G1" s="4"/>
      <c r="H1" s="4"/>
      <c r="I1" s="4"/>
    </row>
    <row x14ac:dyDescent="0.25" r="2" customHeight="1" ht="22.5">
      <c r="A2" s="38"/>
      <c r="B2" s="28"/>
      <c r="C2" s="5"/>
      <c r="D2" s="4"/>
      <c r="E2" s="110"/>
      <c r="F2" s="4"/>
      <c r="G2" s="66" t="s">
        <v>199</v>
      </c>
      <c r="H2" s="66"/>
      <c r="I2" s="66"/>
    </row>
    <row x14ac:dyDescent="0.25" r="3" customHeight="1" ht="22.5">
      <c r="A3" s="67" t="s">
        <v>191</v>
      </c>
      <c r="B3" s="51" t="s">
        <v>2</v>
      </c>
      <c r="C3" s="52" t="s">
        <v>3</v>
      </c>
      <c r="D3" s="9" t="s">
        <v>148</v>
      </c>
      <c r="E3" s="15"/>
      <c r="F3" s="15"/>
      <c r="G3" s="9" t="s">
        <v>8</v>
      </c>
      <c r="H3" s="15"/>
      <c r="I3" s="15"/>
    </row>
    <row x14ac:dyDescent="0.25" r="4" customHeight="1" ht="22.5" customFormat="1" s="111">
      <c r="A4" s="13"/>
      <c r="B4" s="13"/>
      <c r="C4" s="53"/>
      <c r="D4" s="13" t="s">
        <v>9</v>
      </c>
      <c r="E4" s="54" t="s">
        <v>10</v>
      </c>
      <c r="F4" s="13" t="s">
        <v>11</v>
      </c>
      <c r="G4" s="13" t="s">
        <v>9</v>
      </c>
      <c r="H4" s="19" t="s">
        <v>10</v>
      </c>
      <c r="I4" s="13" t="s">
        <v>11</v>
      </c>
    </row>
    <row x14ac:dyDescent="0.25" r="5" customHeight="1" ht="36" customFormat="1" s="111">
      <c r="A5" s="24">
        <v>1</v>
      </c>
      <c r="B5" s="22" t="s">
        <v>12</v>
      </c>
      <c r="C5" s="23" t="s">
        <v>200</v>
      </c>
      <c r="D5" s="24">
        <v>410</v>
      </c>
      <c r="E5" s="56">
        <v>15000</v>
      </c>
      <c r="F5" s="24">
        <v>6108000</v>
      </c>
      <c r="G5" s="24">
        <v>630</v>
      </c>
      <c r="H5" s="25">
        <v>20000</v>
      </c>
      <c r="I5" s="24">
        <v>12600000</v>
      </c>
    </row>
    <row x14ac:dyDescent="0.25" r="6" customHeight="1" ht="36" customFormat="1" s="111">
      <c r="A6" s="24">
        <v>2</v>
      </c>
      <c r="B6" s="22" t="s">
        <v>14</v>
      </c>
      <c r="C6" s="23" t="s">
        <v>201</v>
      </c>
      <c r="D6" s="24">
        <v>290</v>
      </c>
      <c r="E6" s="56">
        <v>14000</v>
      </c>
      <c r="F6" s="24">
        <v>4037600</v>
      </c>
      <c r="G6" s="24">
        <v>260</v>
      </c>
      <c r="H6" s="25">
        <v>20000</v>
      </c>
      <c r="I6" s="24">
        <v>5200000</v>
      </c>
    </row>
    <row x14ac:dyDescent="0.25" r="7" customHeight="1" ht="36" customFormat="1" s="111">
      <c r="A7" s="24">
        <v>3</v>
      </c>
      <c r="B7" s="22" t="s">
        <v>17</v>
      </c>
      <c r="C7" s="23" t="s">
        <v>18</v>
      </c>
      <c r="D7" s="24">
        <v>270</v>
      </c>
      <c r="E7" s="56" t="s">
        <v>149</v>
      </c>
      <c r="F7" s="24">
        <v>9835100</v>
      </c>
      <c r="G7" s="24">
        <v>250</v>
      </c>
      <c r="H7" s="25">
        <v>52500</v>
      </c>
      <c r="I7" s="24">
        <v>13125000</v>
      </c>
    </row>
    <row x14ac:dyDescent="0.25" r="8" customHeight="1" ht="36" customFormat="1" s="111">
      <c r="A8" s="24">
        <v>4</v>
      </c>
      <c r="B8" s="22" t="s">
        <v>19</v>
      </c>
      <c r="C8" s="23" t="s">
        <v>20</v>
      </c>
      <c r="D8" s="24">
        <v>3158</v>
      </c>
      <c r="E8" s="56" t="s">
        <v>150</v>
      </c>
      <c r="F8" s="24">
        <v>119848180</v>
      </c>
      <c r="G8" s="24">
        <v>1901</v>
      </c>
      <c r="H8" s="25">
        <v>53000</v>
      </c>
      <c r="I8" s="24">
        <v>100753000</v>
      </c>
    </row>
    <row x14ac:dyDescent="0.25" r="9" customHeight="1" ht="36" customFormat="1" s="111">
      <c r="A9" s="24">
        <v>5</v>
      </c>
      <c r="B9" s="22" t="s">
        <v>21</v>
      </c>
      <c r="C9" s="23" t="s">
        <v>202</v>
      </c>
      <c r="D9" s="24">
        <v>1003</v>
      </c>
      <c r="E9" s="56" t="s">
        <v>151</v>
      </c>
      <c r="F9" s="24">
        <v>43962450</v>
      </c>
      <c r="G9" s="24">
        <v>940</v>
      </c>
      <c r="H9" s="25">
        <v>62500</v>
      </c>
      <c r="I9" s="24">
        <v>58750000</v>
      </c>
    </row>
    <row x14ac:dyDescent="0.25" r="10" customHeight="1" ht="36" customFormat="1" s="111">
      <c r="A10" s="24">
        <v>6</v>
      </c>
      <c r="B10" s="22" t="s">
        <v>23</v>
      </c>
      <c r="C10" s="23" t="s">
        <v>203</v>
      </c>
      <c r="D10" s="24">
        <v>80</v>
      </c>
      <c r="E10" s="56" t="s">
        <v>152</v>
      </c>
      <c r="F10" s="24">
        <v>4946240</v>
      </c>
      <c r="G10" s="24">
        <v>80</v>
      </c>
      <c r="H10" s="25">
        <v>90500</v>
      </c>
      <c r="I10" s="24">
        <v>7240000</v>
      </c>
    </row>
    <row x14ac:dyDescent="0.25" r="11" customHeight="1" ht="36" customFormat="1" s="111">
      <c r="A11" s="24">
        <v>7</v>
      </c>
      <c r="B11" s="22" t="s">
        <v>25</v>
      </c>
      <c r="C11" s="23" t="s">
        <v>26</v>
      </c>
      <c r="D11" s="24">
        <v>41</v>
      </c>
      <c r="E11" s="56" t="s">
        <v>153</v>
      </c>
      <c r="F11" s="24">
        <v>1958630</v>
      </c>
      <c r="G11" s="24">
        <v>200</v>
      </c>
      <c r="H11" s="25">
        <v>64000</v>
      </c>
      <c r="I11" s="24">
        <v>12800000</v>
      </c>
    </row>
    <row x14ac:dyDescent="0.25" r="12" customHeight="1" ht="36" customFormat="1" s="111">
      <c r="A12" s="24">
        <v>8</v>
      </c>
      <c r="B12" s="22" t="s">
        <v>27</v>
      </c>
      <c r="C12" s="23" t="s">
        <v>28</v>
      </c>
      <c r="D12" s="24">
        <v>713</v>
      </c>
      <c r="E12" s="56" t="s">
        <v>154</v>
      </c>
      <c r="F12" s="24">
        <v>33094160</v>
      </c>
      <c r="G12" s="24">
        <v>750</v>
      </c>
      <c r="H12" s="25">
        <v>64500</v>
      </c>
      <c r="I12" s="24">
        <v>48375000</v>
      </c>
    </row>
    <row x14ac:dyDescent="0.25" r="13" customHeight="1" ht="36" customFormat="1" s="111">
      <c r="A13" s="24">
        <v>9</v>
      </c>
      <c r="B13" s="22" t="s">
        <v>29</v>
      </c>
      <c r="C13" s="23" t="s">
        <v>30</v>
      </c>
      <c r="D13" s="24">
        <v>50</v>
      </c>
      <c r="E13" s="56">
        <v>49000</v>
      </c>
      <c r="F13" s="24">
        <v>2401000</v>
      </c>
      <c r="G13" s="24">
        <v>0</v>
      </c>
      <c r="H13" s="25">
        <v>68500</v>
      </c>
      <c r="I13" s="24">
        <v>0</v>
      </c>
    </row>
    <row x14ac:dyDescent="0.25" r="14" customHeight="1" ht="36" customFormat="1" s="111">
      <c r="A14" s="24">
        <v>10</v>
      </c>
      <c r="B14" s="22" t="s">
        <v>32</v>
      </c>
      <c r="C14" s="23" t="s">
        <v>33</v>
      </c>
      <c r="D14" s="24">
        <v>100</v>
      </c>
      <c r="E14" s="56">
        <v>56700</v>
      </c>
      <c r="F14" s="24">
        <v>5670000</v>
      </c>
      <c r="G14" s="24">
        <v>138</v>
      </c>
      <c r="H14" s="25">
        <v>72500</v>
      </c>
      <c r="I14" s="24">
        <v>10005000</v>
      </c>
    </row>
    <row x14ac:dyDescent="0.25" r="15" customHeight="1" ht="36" customFormat="1" s="111">
      <c r="A15" s="24">
        <v>11</v>
      </c>
      <c r="B15" s="22" t="s">
        <v>34</v>
      </c>
      <c r="C15" s="23" t="s">
        <v>35</v>
      </c>
      <c r="D15" s="24">
        <v>156</v>
      </c>
      <c r="E15" s="56" t="s">
        <v>155</v>
      </c>
      <c r="F15" s="24">
        <v>9188660</v>
      </c>
      <c r="G15" s="24">
        <v>250</v>
      </c>
      <c r="H15" s="25">
        <v>76500</v>
      </c>
      <c r="I15" s="24">
        <v>19125000</v>
      </c>
    </row>
    <row x14ac:dyDescent="0.25" r="16" customHeight="1" ht="36" customFormat="1" s="111">
      <c r="A16" s="24">
        <v>12</v>
      </c>
      <c r="B16" s="22" t="s">
        <v>37</v>
      </c>
      <c r="C16" s="23" t="s">
        <v>38</v>
      </c>
      <c r="D16" s="24">
        <v>146</v>
      </c>
      <c r="E16" s="56" t="s">
        <v>156</v>
      </c>
      <c r="F16" s="24">
        <v>8172380</v>
      </c>
      <c r="G16" s="24">
        <v>179</v>
      </c>
      <c r="H16" s="25">
        <v>79000</v>
      </c>
      <c r="I16" s="24">
        <v>14141000</v>
      </c>
    </row>
    <row x14ac:dyDescent="0.25" r="17" customHeight="1" ht="36" customFormat="1" s="111">
      <c r="A17" s="24">
        <v>13</v>
      </c>
      <c r="B17" s="22" t="s">
        <v>39</v>
      </c>
      <c r="C17" s="23" t="s">
        <v>40</v>
      </c>
      <c r="D17" s="24">
        <v>975</v>
      </c>
      <c r="E17" s="56" t="s">
        <v>157</v>
      </c>
      <c r="F17" s="24">
        <v>53238600</v>
      </c>
      <c r="G17" s="24">
        <v>480</v>
      </c>
      <c r="H17" s="25" t="s">
        <v>41</v>
      </c>
      <c r="I17" s="24">
        <v>38160000</v>
      </c>
    </row>
    <row x14ac:dyDescent="0.25" r="18" customHeight="1" ht="36" customFormat="1" s="111">
      <c r="A18" s="24">
        <v>14</v>
      </c>
      <c r="B18" s="22" t="s">
        <v>42</v>
      </c>
      <c r="C18" s="23" t="s">
        <v>43</v>
      </c>
      <c r="D18" s="24">
        <v>78</v>
      </c>
      <c r="E18" s="56" t="s">
        <v>158</v>
      </c>
      <c r="F18" s="24">
        <v>5848120</v>
      </c>
      <c r="G18" s="24">
        <v>80</v>
      </c>
      <c r="H18" s="25">
        <v>100000</v>
      </c>
      <c r="I18" s="24">
        <v>8000000</v>
      </c>
    </row>
    <row x14ac:dyDescent="0.25" r="19" customHeight="1" ht="36" customFormat="1" s="111">
      <c r="A19" s="24">
        <v>15</v>
      </c>
      <c r="B19" s="22" t="s">
        <v>44</v>
      </c>
      <c r="C19" s="23" t="s">
        <v>45</v>
      </c>
      <c r="D19" s="24">
        <v>1476</v>
      </c>
      <c r="E19" s="56" t="s">
        <v>159</v>
      </c>
      <c r="F19" s="24">
        <v>90138060</v>
      </c>
      <c r="G19" s="24">
        <v>850</v>
      </c>
      <c r="H19" s="25">
        <v>84500</v>
      </c>
      <c r="I19" s="24">
        <v>71825000</v>
      </c>
    </row>
    <row x14ac:dyDescent="0.25" r="20" customHeight="1" ht="36" customFormat="1" s="111">
      <c r="A20" s="24">
        <v>16</v>
      </c>
      <c r="B20" s="22" t="s">
        <v>46</v>
      </c>
      <c r="C20" s="23" t="s">
        <v>47</v>
      </c>
      <c r="D20" s="24">
        <v>2074</v>
      </c>
      <c r="E20" s="56" t="s">
        <v>160</v>
      </c>
      <c r="F20" s="24">
        <v>133159200</v>
      </c>
      <c r="G20" s="24">
        <v>1279</v>
      </c>
      <c r="H20" s="25">
        <v>90000</v>
      </c>
      <c r="I20" s="24">
        <v>115110000</v>
      </c>
    </row>
    <row x14ac:dyDescent="0.25" r="21" customHeight="1" ht="36" customFormat="1" s="111">
      <c r="A21" s="24">
        <v>17</v>
      </c>
      <c r="B21" s="22" t="s">
        <v>48</v>
      </c>
      <c r="C21" s="23" t="s">
        <v>49</v>
      </c>
      <c r="D21" s="24">
        <v>6</v>
      </c>
      <c r="E21" s="56">
        <v>65500</v>
      </c>
      <c r="F21" s="24">
        <v>385140</v>
      </c>
      <c r="G21" s="24">
        <v>25</v>
      </c>
      <c r="H21" s="25">
        <v>101000</v>
      </c>
      <c r="I21" s="24">
        <v>2525000</v>
      </c>
    </row>
    <row x14ac:dyDescent="0.25" r="22" customHeight="1" ht="36">
      <c r="A22" s="24">
        <v>18</v>
      </c>
      <c r="B22" s="22" t="s">
        <v>50</v>
      </c>
      <c r="C22" s="49" t="s">
        <v>51</v>
      </c>
      <c r="D22" s="24">
        <v>4</v>
      </c>
      <c r="E22" s="56">
        <v>66500</v>
      </c>
      <c r="F22" s="24">
        <v>260680</v>
      </c>
      <c r="G22" s="24">
        <v>50</v>
      </c>
      <c r="H22" s="30">
        <v>102000</v>
      </c>
      <c r="I22" s="24">
        <v>5100000</v>
      </c>
    </row>
    <row x14ac:dyDescent="0.25" r="23" customHeight="1" ht="36" customFormat="1" s="111">
      <c r="A23" s="24">
        <v>19</v>
      </c>
      <c r="B23" s="22" t="s">
        <v>52</v>
      </c>
      <c r="C23" s="23" t="s">
        <v>53</v>
      </c>
      <c r="D23" s="24">
        <v>240</v>
      </c>
      <c r="E23" s="56" t="s">
        <v>161</v>
      </c>
      <c r="F23" s="24">
        <v>23405050</v>
      </c>
      <c r="G23" s="24">
        <v>170</v>
      </c>
      <c r="H23" s="25">
        <v>134000</v>
      </c>
      <c r="I23" s="24">
        <v>22780000</v>
      </c>
    </row>
    <row x14ac:dyDescent="0.25" r="24" customHeight="1" ht="36" customFormat="1" s="111">
      <c r="A24" s="24">
        <v>20</v>
      </c>
      <c r="B24" s="22" t="s">
        <v>54</v>
      </c>
      <c r="C24" s="23" t="s">
        <v>55</v>
      </c>
      <c r="D24" s="24">
        <v>116</v>
      </c>
      <c r="E24" s="56" t="s">
        <v>162</v>
      </c>
      <c r="F24" s="24">
        <v>11799840</v>
      </c>
      <c r="G24" s="24">
        <v>161</v>
      </c>
      <c r="H24" s="25">
        <v>136000</v>
      </c>
      <c r="I24" s="24">
        <v>21896000</v>
      </c>
    </row>
    <row x14ac:dyDescent="0.25" r="25" customHeight="1" ht="36" customFormat="1" s="111">
      <c r="A25" s="24">
        <v>21</v>
      </c>
      <c r="B25" s="22" t="s">
        <v>56</v>
      </c>
      <c r="C25" s="23" t="s">
        <v>57</v>
      </c>
      <c r="D25" s="24">
        <v>186</v>
      </c>
      <c r="E25" s="56" t="s">
        <v>163</v>
      </c>
      <c r="F25" s="24">
        <v>20704320</v>
      </c>
      <c r="G25" s="24">
        <v>140</v>
      </c>
      <c r="H25" s="25">
        <v>159000</v>
      </c>
      <c r="I25" s="24">
        <v>22260000</v>
      </c>
    </row>
    <row x14ac:dyDescent="0.25" r="26" customHeight="1" ht="36" customFormat="1" s="111">
      <c r="A26" s="24">
        <v>22</v>
      </c>
      <c r="B26" s="22" t="s">
        <v>58</v>
      </c>
      <c r="C26" s="23" t="s">
        <v>59</v>
      </c>
      <c r="D26" s="24">
        <v>561</v>
      </c>
      <c r="E26" s="56" t="s">
        <v>164</v>
      </c>
      <c r="F26" s="24">
        <v>44825040</v>
      </c>
      <c r="G26" s="24">
        <v>580</v>
      </c>
      <c r="H26" s="25">
        <v>118000</v>
      </c>
      <c r="I26" s="24">
        <v>68440000</v>
      </c>
    </row>
    <row x14ac:dyDescent="0.25" r="27" customHeight="1" ht="36" customFormat="1" s="111">
      <c r="A27" s="24">
        <v>23</v>
      </c>
      <c r="B27" s="22" t="s">
        <v>61</v>
      </c>
      <c r="C27" s="23" t="s">
        <v>62</v>
      </c>
      <c r="D27" s="24">
        <v>1210</v>
      </c>
      <c r="E27" s="56" t="s">
        <v>165</v>
      </c>
      <c r="F27" s="24">
        <v>96395800</v>
      </c>
      <c r="G27" s="24">
        <v>869</v>
      </c>
      <c r="H27" s="25">
        <v>119000</v>
      </c>
      <c r="I27" s="24">
        <v>103411000</v>
      </c>
    </row>
    <row x14ac:dyDescent="0.25" r="28" customHeight="1" ht="36" customFormat="1" s="111">
      <c r="A28" s="24">
        <v>24</v>
      </c>
      <c r="B28" s="22" t="s">
        <v>64</v>
      </c>
      <c r="C28" s="23" t="s">
        <v>204</v>
      </c>
      <c r="D28" s="24">
        <v>478</v>
      </c>
      <c r="E28" s="56" t="s">
        <v>166</v>
      </c>
      <c r="F28" s="24">
        <v>42819500</v>
      </c>
      <c r="G28" s="24">
        <v>410</v>
      </c>
      <c r="H28" s="25">
        <v>128000</v>
      </c>
      <c r="I28" s="24">
        <v>52480000</v>
      </c>
    </row>
    <row x14ac:dyDescent="0.25" r="29" customHeight="1" ht="36" customFormat="1" s="111">
      <c r="A29" s="24">
        <v>25</v>
      </c>
      <c r="B29" s="22" t="s">
        <v>67</v>
      </c>
      <c r="C29" s="23" t="s">
        <v>205</v>
      </c>
      <c r="D29" s="24">
        <v>0</v>
      </c>
      <c r="E29" s="56"/>
      <c r="F29" s="24">
        <v>0</v>
      </c>
      <c r="G29" s="24">
        <v>0</v>
      </c>
      <c r="H29" s="25">
        <v>87000</v>
      </c>
      <c r="I29" s="24">
        <v>0</v>
      </c>
    </row>
    <row x14ac:dyDescent="0.25" r="30" customHeight="1" ht="36" customFormat="1" s="111">
      <c r="A30" s="24">
        <v>26</v>
      </c>
      <c r="B30" s="22" t="s">
        <v>69</v>
      </c>
      <c r="C30" s="23" t="s">
        <v>70</v>
      </c>
      <c r="D30" s="24">
        <v>0</v>
      </c>
      <c r="E30" s="56">
        <v>98000</v>
      </c>
      <c r="F30" s="24">
        <v>0</v>
      </c>
      <c r="G30" s="24">
        <v>110</v>
      </c>
      <c r="H30" s="25">
        <v>140000</v>
      </c>
      <c r="I30" s="24">
        <v>15400000</v>
      </c>
    </row>
    <row x14ac:dyDescent="0.25" r="31" customHeight="1" ht="36" customFormat="1" s="111">
      <c r="A31" s="24">
        <v>27</v>
      </c>
      <c r="B31" s="22" t="s">
        <v>72</v>
      </c>
      <c r="C31" s="23" t="s">
        <v>73</v>
      </c>
      <c r="D31" s="24">
        <v>449</v>
      </c>
      <c r="E31" s="56" t="s">
        <v>167</v>
      </c>
      <c r="F31" s="24">
        <v>43320320</v>
      </c>
      <c r="G31" s="24">
        <v>450</v>
      </c>
      <c r="H31" s="25">
        <v>134500</v>
      </c>
      <c r="I31" s="24">
        <v>60525000</v>
      </c>
    </row>
    <row x14ac:dyDescent="0.25" r="32" customHeight="1" ht="36" customFormat="1" s="111">
      <c r="A32" s="24">
        <v>28</v>
      </c>
      <c r="B32" s="22" t="s">
        <v>74</v>
      </c>
      <c r="C32" s="23" t="s">
        <v>75</v>
      </c>
      <c r="D32" s="24">
        <v>2264</v>
      </c>
      <c r="E32" s="56" t="s">
        <v>168</v>
      </c>
      <c r="F32" s="24">
        <v>225270860</v>
      </c>
      <c r="G32" s="24">
        <v>1400</v>
      </c>
      <c r="H32" s="25">
        <v>139000</v>
      </c>
      <c r="I32" s="24">
        <v>194600000</v>
      </c>
    </row>
    <row x14ac:dyDescent="0.25" r="33" customHeight="1" ht="36" customFormat="1" s="111">
      <c r="A33" s="24">
        <v>29</v>
      </c>
      <c r="B33" s="22" t="s">
        <v>76</v>
      </c>
      <c r="C33" s="23" t="s">
        <v>77</v>
      </c>
      <c r="D33" s="24">
        <v>406</v>
      </c>
      <c r="E33" s="56" t="s">
        <v>169</v>
      </c>
      <c r="F33" s="24">
        <v>47729110</v>
      </c>
      <c r="G33" s="24">
        <v>448</v>
      </c>
      <c r="H33" s="25">
        <v>168000</v>
      </c>
      <c r="I33" s="24">
        <v>75264000</v>
      </c>
    </row>
    <row x14ac:dyDescent="0.25" r="34" customHeight="1" ht="36" customFormat="1" s="111">
      <c r="A34" s="24">
        <v>30</v>
      </c>
      <c r="B34" s="22" t="s">
        <v>78</v>
      </c>
      <c r="C34" s="23" t="s">
        <v>206</v>
      </c>
      <c r="D34" s="24">
        <v>1183</v>
      </c>
      <c r="E34" s="56" t="s">
        <v>170</v>
      </c>
      <c r="F34" s="24">
        <v>148003080</v>
      </c>
      <c r="G34" s="24">
        <v>875</v>
      </c>
      <c r="H34" s="25">
        <v>171000</v>
      </c>
      <c r="I34" s="24">
        <v>149625000</v>
      </c>
    </row>
    <row x14ac:dyDescent="0.25" r="35" customHeight="1" ht="36" customFormat="1" s="111">
      <c r="A35" s="24">
        <v>31</v>
      </c>
      <c r="B35" s="22" t="s">
        <v>80</v>
      </c>
      <c r="C35" s="23" t="s">
        <v>207</v>
      </c>
      <c r="D35" s="24">
        <v>356</v>
      </c>
      <c r="E35" s="56" t="s">
        <v>171</v>
      </c>
      <c r="F35" s="24">
        <v>47980400</v>
      </c>
      <c r="G35" s="24">
        <v>190</v>
      </c>
      <c r="H35" s="25">
        <v>190500</v>
      </c>
      <c r="I35" s="24">
        <v>36195000</v>
      </c>
    </row>
    <row x14ac:dyDescent="0.25" r="36" customHeight="1" ht="36" customFormat="1" s="111">
      <c r="A36" s="24">
        <v>32</v>
      </c>
      <c r="B36" s="22" t="s">
        <v>82</v>
      </c>
      <c r="C36" s="23" t="s">
        <v>208</v>
      </c>
      <c r="D36" s="24">
        <v>373</v>
      </c>
      <c r="E36" s="56" t="s">
        <v>172</v>
      </c>
      <c r="F36" s="24">
        <v>55646030</v>
      </c>
      <c r="G36" s="24">
        <v>221</v>
      </c>
      <c r="H36" s="25">
        <v>206000</v>
      </c>
      <c r="I36" s="24">
        <v>45526000</v>
      </c>
    </row>
    <row x14ac:dyDescent="0.25" r="37" customHeight="1" ht="36" customFormat="1" s="111">
      <c r="A37" s="24">
        <v>33</v>
      </c>
      <c r="B37" s="22" t="s">
        <v>84</v>
      </c>
      <c r="C37" s="23" t="s">
        <v>209</v>
      </c>
      <c r="D37" s="24">
        <v>545</v>
      </c>
      <c r="E37" s="56" t="s">
        <v>172</v>
      </c>
      <c r="F37" s="24">
        <v>81306700</v>
      </c>
      <c r="G37" s="24">
        <v>310</v>
      </c>
      <c r="H37" s="25">
        <v>206000</v>
      </c>
      <c r="I37" s="24">
        <v>63860000</v>
      </c>
    </row>
    <row x14ac:dyDescent="0.25" r="38" customHeight="1" ht="36" customFormat="1" s="111">
      <c r="A38" s="24">
        <v>34</v>
      </c>
      <c r="B38" s="22" t="s">
        <v>86</v>
      </c>
      <c r="C38" s="23" t="s">
        <v>210</v>
      </c>
      <c r="D38" s="24">
        <v>2569</v>
      </c>
      <c r="E38" s="56" t="s">
        <v>173</v>
      </c>
      <c r="F38" s="24">
        <v>400847760</v>
      </c>
      <c r="G38" s="24">
        <v>1530</v>
      </c>
      <c r="H38" s="25">
        <v>213500</v>
      </c>
      <c r="I38" s="24">
        <v>326655000</v>
      </c>
    </row>
    <row x14ac:dyDescent="0.25" r="39" customHeight="1" ht="36" customFormat="1" s="111">
      <c r="A39" s="24">
        <v>35</v>
      </c>
      <c r="B39" s="31" t="s">
        <v>88</v>
      </c>
      <c r="C39" s="32" t="s">
        <v>211</v>
      </c>
      <c r="D39" s="24">
        <f>108+154</f>
      </c>
      <c r="E39" s="56" t="s">
        <v>174</v>
      </c>
      <c r="F39" s="24">
        <f>16934400+27104000</f>
      </c>
      <c r="G39" s="24">
        <f>433+100</f>
      </c>
      <c r="H39" s="25" t="s">
        <v>91</v>
      </c>
      <c r="I39" s="24">
        <f>93744500+22850000</f>
      </c>
    </row>
    <row x14ac:dyDescent="0.25" r="40" customHeight="1" ht="36" customFormat="1" s="111">
      <c r="A40" s="24">
        <v>36</v>
      </c>
      <c r="B40" s="22" t="s">
        <v>92</v>
      </c>
      <c r="C40" s="23" t="s">
        <v>212</v>
      </c>
      <c r="D40" s="24">
        <v>44</v>
      </c>
      <c r="E40" s="56" t="s">
        <v>175</v>
      </c>
      <c r="F40" s="24">
        <v>3882040</v>
      </c>
      <c r="G40" s="24">
        <v>40</v>
      </c>
      <c r="H40" s="25">
        <v>128500</v>
      </c>
      <c r="I40" s="24">
        <v>5140000</v>
      </c>
    </row>
    <row x14ac:dyDescent="0.25" r="41" customHeight="1" ht="36" customFormat="1" s="111">
      <c r="A41" s="24">
        <v>37</v>
      </c>
      <c r="B41" s="22" t="s">
        <v>94</v>
      </c>
      <c r="C41" s="23" t="s">
        <v>95</v>
      </c>
      <c r="D41" s="24">
        <v>30</v>
      </c>
      <c r="E41" s="56">
        <v>191200</v>
      </c>
      <c r="F41" s="24">
        <v>5736000</v>
      </c>
      <c r="G41" s="24">
        <v>100</v>
      </c>
      <c r="H41" s="25">
        <v>247000</v>
      </c>
      <c r="I41" s="24">
        <v>24700000</v>
      </c>
    </row>
    <row x14ac:dyDescent="0.25" r="42" customHeight="1" ht="36" customFormat="1" s="111">
      <c r="A42" s="24">
        <v>38</v>
      </c>
      <c r="B42" s="22" t="s">
        <v>97</v>
      </c>
      <c r="C42" s="23" t="s">
        <v>213</v>
      </c>
      <c r="D42" s="24">
        <f>711+536</f>
      </c>
      <c r="E42" s="56" t="s">
        <v>176</v>
      </c>
      <c r="F42" s="24">
        <f>127510740+105305700</f>
      </c>
      <c r="G42" s="24">
        <v>760</v>
      </c>
      <c r="H42" s="25">
        <v>256000</v>
      </c>
      <c r="I42" s="24">
        <v>194560000</v>
      </c>
    </row>
    <row x14ac:dyDescent="0.25" r="43" customHeight="1" ht="36" customFormat="1" s="111">
      <c r="A43" s="24">
        <v>39</v>
      </c>
      <c r="B43" s="22" t="s">
        <v>99</v>
      </c>
      <c r="C43" s="23" t="s">
        <v>214</v>
      </c>
      <c r="D43" s="24">
        <v>22</v>
      </c>
      <c r="E43" s="56" t="s">
        <v>177</v>
      </c>
      <c r="F43" s="24">
        <v>4355120</v>
      </c>
      <c r="G43" s="24">
        <v>230</v>
      </c>
      <c r="H43" s="25">
        <v>257500</v>
      </c>
      <c r="I43" s="24">
        <v>59225000</v>
      </c>
    </row>
    <row x14ac:dyDescent="0.25" r="44" customHeight="1" ht="36" customFormat="1" s="111">
      <c r="A44" s="24">
        <v>40</v>
      </c>
      <c r="B44" s="22" t="s">
        <v>101</v>
      </c>
      <c r="C44" s="23" t="s">
        <v>102</v>
      </c>
      <c r="D44" s="24">
        <v>46</v>
      </c>
      <c r="E44" s="56" t="s">
        <v>178</v>
      </c>
      <c r="F44" s="24">
        <v>8962960</v>
      </c>
      <c r="G44" s="24">
        <v>60</v>
      </c>
      <c r="H44" s="25">
        <v>279000</v>
      </c>
      <c r="I44" s="24">
        <v>16740000</v>
      </c>
    </row>
    <row x14ac:dyDescent="0.25" r="45" customHeight="1" ht="36" customFormat="1" s="111">
      <c r="A45" s="24">
        <v>41</v>
      </c>
      <c r="B45" s="22" t="s">
        <v>104</v>
      </c>
      <c r="C45" s="23" t="s">
        <v>215</v>
      </c>
      <c r="D45" s="24">
        <v>15</v>
      </c>
      <c r="E45" s="56">
        <v>186000</v>
      </c>
      <c r="F45" s="24">
        <v>2734200</v>
      </c>
      <c r="G45" s="24">
        <v>47</v>
      </c>
      <c r="H45" s="25">
        <v>259500</v>
      </c>
      <c r="I45" s="24">
        <v>12196500</v>
      </c>
    </row>
    <row x14ac:dyDescent="0.25" r="46" customHeight="1" ht="36" customFormat="1" s="111">
      <c r="A46" s="24">
        <v>42</v>
      </c>
      <c r="B46" s="22" t="s">
        <v>107</v>
      </c>
      <c r="C46" s="23" t="s">
        <v>216</v>
      </c>
      <c r="D46" s="24">
        <v>340</v>
      </c>
      <c r="E46" s="56" t="s">
        <v>179</v>
      </c>
      <c r="F46" s="24">
        <v>68827900</v>
      </c>
      <c r="G46" s="24">
        <v>340</v>
      </c>
      <c r="H46" s="25">
        <v>274500</v>
      </c>
      <c r="I46" s="24">
        <v>93330000</v>
      </c>
    </row>
    <row x14ac:dyDescent="0.25" r="47" customHeight="1" ht="36" customFormat="1" s="111">
      <c r="A47" s="24">
        <v>43</v>
      </c>
      <c r="B47" s="22" t="s">
        <v>109</v>
      </c>
      <c r="C47" s="23" t="s">
        <v>217</v>
      </c>
      <c r="D47" s="24">
        <v>50</v>
      </c>
      <c r="E47" s="56" t="s">
        <v>180</v>
      </c>
      <c r="F47" s="24">
        <v>9898000</v>
      </c>
      <c r="G47" s="24">
        <v>205</v>
      </c>
      <c r="H47" s="25">
        <v>282000</v>
      </c>
      <c r="I47" s="24">
        <v>57810000</v>
      </c>
    </row>
    <row x14ac:dyDescent="0.25" r="48" customHeight="1" ht="36" customFormat="1" s="111">
      <c r="A48" s="24">
        <v>44</v>
      </c>
      <c r="B48" s="22" t="s">
        <v>112</v>
      </c>
      <c r="C48" s="23" t="s">
        <v>218</v>
      </c>
      <c r="D48" s="24">
        <v>475</v>
      </c>
      <c r="E48" s="56" t="s">
        <v>181</v>
      </c>
      <c r="F48" s="24">
        <v>40545500</v>
      </c>
      <c r="G48" s="24">
        <v>300</v>
      </c>
      <c r="H48" s="25">
        <v>122000</v>
      </c>
      <c r="I48" s="24">
        <v>36600000</v>
      </c>
    </row>
    <row x14ac:dyDescent="0.25" r="49" customHeight="1" ht="36" customFormat="1" s="111">
      <c r="A49" s="24">
        <v>45</v>
      </c>
      <c r="B49" s="22" t="s">
        <v>114</v>
      </c>
      <c r="C49" s="23" t="s">
        <v>219</v>
      </c>
      <c r="D49" s="24">
        <v>115</v>
      </c>
      <c r="E49" s="56" t="s">
        <v>182</v>
      </c>
      <c r="F49" s="24">
        <v>28467480</v>
      </c>
      <c r="G49" s="24">
        <v>200</v>
      </c>
      <c r="H49" s="25">
        <v>340500</v>
      </c>
      <c r="I49" s="24">
        <v>68100000</v>
      </c>
    </row>
    <row x14ac:dyDescent="0.25" r="50" customHeight="1" ht="36">
      <c r="A50" s="24">
        <v>46</v>
      </c>
      <c r="B50" s="22" t="s">
        <v>116</v>
      </c>
      <c r="C50" s="23" t="s">
        <v>220</v>
      </c>
      <c r="D50" s="24">
        <v>2</v>
      </c>
      <c r="E50" s="56">
        <v>255000</v>
      </c>
      <c r="F50" s="24">
        <v>499800</v>
      </c>
      <c r="G50" s="24">
        <v>90</v>
      </c>
      <c r="H50" s="30">
        <v>353900</v>
      </c>
      <c r="I50" s="24">
        <v>31851000</v>
      </c>
    </row>
    <row x14ac:dyDescent="0.25" r="51" customHeight="1" ht="36" customFormat="1" s="111">
      <c r="A51" s="24">
        <v>47</v>
      </c>
      <c r="B51" s="22" t="s">
        <v>118</v>
      </c>
      <c r="C51" s="23" t="s">
        <v>221</v>
      </c>
      <c r="D51" s="24">
        <v>235</v>
      </c>
      <c r="E51" s="56" t="s">
        <v>183</v>
      </c>
      <c r="F51" s="24">
        <v>61601500</v>
      </c>
      <c r="G51" s="24">
        <v>330</v>
      </c>
      <c r="H51" s="25">
        <v>363500</v>
      </c>
      <c r="I51" s="24">
        <v>119955000</v>
      </c>
    </row>
    <row x14ac:dyDescent="0.25" r="52" customHeight="1" ht="36" customFormat="1" s="111">
      <c r="A52" s="24">
        <v>48</v>
      </c>
      <c r="B52" s="22" t="s">
        <v>121</v>
      </c>
      <c r="C52" s="23" t="s">
        <v>222</v>
      </c>
      <c r="D52" s="24">
        <v>70</v>
      </c>
      <c r="E52" s="56" t="s">
        <v>184</v>
      </c>
      <c r="F52" s="24">
        <v>12129070</v>
      </c>
      <c r="G52" s="24">
        <v>60</v>
      </c>
      <c r="H52" s="25">
        <v>222000</v>
      </c>
      <c r="I52" s="24">
        <v>13320000</v>
      </c>
    </row>
    <row x14ac:dyDescent="0.25" r="53" customHeight="1" ht="36" customFormat="1" s="111">
      <c r="A53" s="24">
        <v>49</v>
      </c>
      <c r="B53" s="22" t="s">
        <v>124</v>
      </c>
      <c r="C53" s="112" t="s">
        <v>223</v>
      </c>
      <c r="D53" s="24">
        <v>10</v>
      </c>
      <c r="E53" s="56">
        <v>185000</v>
      </c>
      <c r="F53" s="24">
        <v>1850000</v>
      </c>
      <c r="G53" s="24">
        <v>15</v>
      </c>
      <c r="H53" s="25">
        <v>234500</v>
      </c>
      <c r="I53" s="24">
        <v>3517500</v>
      </c>
    </row>
    <row x14ac:dyDescent="0.25" r="54" customHeight="1" ht="36" customFormat="1" s="111">
      <c r="A54" s="24">
        <v>50</v>
      </c>
      <c r="B54" s="22" t="s">
        <v>126</v>
      </c>
      <c r="C54" s="23" t="s">
        <v>224</v>
      </c>
      <c r="D54" s="24">
        <v>14</v>
      </c>
      <c r="E54" s="56" t="s">
        <v>185</v>
      </c>
      <c r="F54" s="24">
        <v>3091700</v>
      </c>
      <c r="G54" s="24">
        <v>54</v>
      </c>
      <c r="H54" s="25">
        <v>312500</v>
      </c>
      <c r="I54" s="24">
        <v>16562500</v>
      </c>
    </row>
    <row x14ac:dyDescent="0.25" r="55" customHeight="1" ht="36" customFormat="1" s="111">
      <c r="A55" s="24">
        <v>51</v>
      </c>
      <c r="B55" s="22" t="s">
        <v>128</v>
      </c>
      <c r="C55" s="23" t="s">
        <v>225</v>
      </c>
      <c r="D55" s="24">
        <v>65</v>
      </c>
      <c r="E55" s="56">
        <v>249000</v>
      </c>
      <c r="F55" s="24">
        <v>16080420</v>
      </c>
      <c r="G55" s="24">
        <v>106</v>
      </c>
      <c r="H55" s="25">
        <v>339000</v>
      </c>
      <c r="I55" s="24">
        <v>35934000</v>
      </c>
    </row>
    <row x14ac:dyDescent="0.25" r="56" customHeight="1" ht="36" customFormat="1" s="111">
      <c r="A56" s="24">
        <v>52</v>
      </c>
      <c r="B56" s="22" t="s">
        <v>131</v>
      </c>
      <c r="C56" s="23" t="s">
        <v>226</v>
      </c>
      <c r="D56" s="24">
        <v>2</v>
      </c>
      <c r="E56" s="56">
        <v>130000</v>
      </c>
      <c r="F56" s="24">
        <v>241800</v>
      </c>
      <c r="G56" s="24">
        <v>20</v>
      </c>
      <c r="H56" s="25">
        <v>176500</v>
      </c>
      <c r="I56" s="24">
        <v>3530000</v>
      </c>
    </row>
    <row x14ac:dyDescent="0.25" r="57" customHeight="1" ht="36" customFormat="1" s="111">
      <c r="A57" s="24">
        <v>53</v>
      </c>
      <c r="B57" s="22" t="s">
        <v>134</v>
      </c>
      <c r="C57" s="23" t="s">
        <v>227</v>
      </c>
      <c r="D57" s="24">
        <v>19</v>
      </c>
      <c r="E57" s="56" t="s">
        <v>187</v>
      </c>
      <c r="F57" s="24">
        <v>3310200</v>
      </c>
      <c r="G57" s="24">
        <v>30</v>
      </c>
      <c r="H57" s="25">
        <v>245000</v>
      </c>
      <c r="I57" s="24">
        <v>7350000</v>
      </c>
    </row>
    <row x14ac:dyDescent="0.25" r="58" customHeight="1" ht="36" customFormat="1" s="111">
      <c r="A58" s="24">
        <v>54</v>
      </c>
      <c r="B58" s="22" t="s">
        <v>137</v>
      </c>
      <c r="C58" s="23" t="s">
        <v>228</v>
      </c>
      <c r="D58" s="24">
        <v>0</v>
      </c>
      <c r="E58" s="56">
        <v>200000</v>
      </c>
      <c r="F58" s="24">
        <v>0</v>
      </c>
      <c r="G58" s="24">
        <v>46</v>
      </c>
      <c r="H58" s="25">
        <v>271500</v>
      </c>
      <c r="I58" s="24">
        <v>12489000</v>
      </c>
    </row>
    <row x14ac:dyDescent="0.25" r="59" customHeight="1" ht="36" customFormat="1" s="111">
      <c r="A59" s="24">
        <v>55</v>
      </c>
      <c r="B59" s="22" t="s">
        <v>139</v>
      </c>
      <c r="C59" s="23" t="s">
        <v>229</v>
      </c>
      <c r="D59" s="24">
        <v>1804</v>
      </c>
      <c r="E59" s="56" t="s">
        <v>188</v>
      </c>
      <c r="F59" s="24">
        <v>72523720</v>
      </c>
      <c r="G59" s="24">
        <v>2611</v>
      </c>
      <c r="H59" s="25">
        <v>55500</v>
      </c>
      <c r="I59" s="24">
        <v>144910500</v>
      </c>
    </row>
    <row x14ac:dyDescent="0.25" r="60" customHeight="1" ht="36" customFormat="1" s="111">
      <c r="A60" s="24">
        <v>56</v>
      </c>
      <c r="B60" s="22" t="s">
        <v>141</v>
      </c>
      <c r="C60" s="23" t="s">
        <v>230</v>
      </c>
      <c r="D60" s="24">
        <v>30</v>
      </c>
      <c r="E60" s="56">
        <v>105000</v>
      </c>
      <c r="F60" s="24">
        <v>3150000</v>
      </c>
      <c r="G60" s="24">
        <v>50</v>
      </c>
      <c r="H60" s="25">
        <v>139500</v>
      </c>
      <c r="I60" s="24">
        <v>6975000</v>
      </c>
    </row>
    <row x14ac:dyDescent="0.25" r="61" customHeight="1" ht="36">
      <c r="A61" s="24">
        <v>57</v>
      </c>
      <c r="B61" s="22" t="s">
        <v>144</v>
      </c>
      <c r="C61" s="112" t="s">
        <v>231</v>
      </c>
      <c r="D61" s="24"/>
      <c r="E61" s="59"/>
      <c r="F61" s="24"/>
      <c r="G61" s="24">
        <v>20</v>
      </c>
      <c r="H61" s="25">
        <v>165000</v>
      </c>
      <c r="I61" s="24">
        <v>3300000</v>
      </c>
    </row>
    <row x14ac:dyDescent="0.25" r="62" customHeight="1" ht="36">
      <c r="A62" s="113" t="s">
        <v>146</v>
      </c>
      <c r="B62" s="114"/>
      <c r="C62" s="115"/>
      <c r="D62" s="9">
        <f>SUM(D7:D61)</f>
      </c>
      <c r="E62" s="59"/>
      <c r="F62" s="9">
        <f>SUM(F7:F61)</f>
      </c>
      <c r="G62" s="9">
        <f>SUM(G7:G61)</f>
      </c>
      <c r="H62" s="30"/>
      <c r="I62" s="9">
        <f>SUM(I7:I61)</f>
      </c>
    </row>
    <row x14ac:dyDescent="0.25" r="63" customHeight="1" ht="36">
      <c r="A63" s="42"/>
      <c r="B63" s="44"/>
      <c r="C63" s="5"/>
      <c r="D63" s="42"/>
      <c r="E63" s="38"/>
      <c r="F63" s="60"/>
      <c r="G63" s="43"/>
      <c r="H63" s="41"/>
      <c r="I63" s="28"/>
    </row>
    <row x14ac:dyDescent="0.25" r="64" customHeight="1" ht="36">
      <c r="A64" s="38"/>
      <c r="B64" s="39"/>
      <c r="C64" s="5"/>
      <c r="D64" s="38"/>
      <c r="E64" s="38"/>
      <c r="F64" s="38"/>
      <c r="G64" s="38"/>
      <c r="H64" s="41"/>
      <c r="I64" s="38"/>
    </row>
    <row x14ac:dyDescent="0.25" r="65" customHeight="1" ht="36">
      <c r="A65" s="42"/>
      <c r="B65" s="44"/>
      <c r="C65" s="5"/>
      <c r="D65" s="42"/>
      <c r="E65" s="38"/>
      <c r="F65" s="42"/>
      <c r="G65" s="38"/>
      <c r="H65" s="41"/>
      <c r="I65" s="42"/>
    </row>
    <row x14ac:dyDescent="0.25" r="66" customHeight="1" ht="36">
      <c r="A66" s="38"/>
      <c r="B66" s="39"/>
      <c r="C66" s="5"/>
      <c r="D66" s="38"/>
      <c r="E66" s="38"/>
      <c r="F66" s="38"/>
      <c r="G66" s="38"/>
      <c r="H66" s="41"/>
      <c r="I66" s="38"/>
    </row>
    <row x14ac:dyDescent="0.25" r="67" customHeight="1" ht="36">
      <c r="A67" s="42"/>
      <c r="B67" s="44"/>
      <c r="C67" s="5"/>
      <c r="D67" s="42"/>
      <c r="E67" s="38"/>
      <c r="F67" s="42"/>
      <c r="G67" s="38"/>
      <c r="H67" s="41"/>
      <c r="I67" s="42"/>
    </row>
    <row x14ac:dyDescent="0.25" r="68" customHeight="1" ht="36">
      <c r="A68" s="38"/>
      <c r="B68" s="39"/>
      <c r="C68" s="5"/>
      <c r="D68" s="38"/>
      <c r="E68" s="38"/>
      <c r="F68" s="38"/>
      <c r="G68" s="38"/>
      <c r="H68" s="41"/>
      <c r="I68" s="38"/>
    </row>
    <row x14ac:dyDescent="0.25" r="69" customHeight="1" ht="36">
      <c r="A69" s="42"/>
      <c r="B69" s="44"/>
      <c r="C69" s="5"/>
      <c r="D69" s="42"/>
      <c r="E69" s="38"/>
      <c r="F69" s="42"/>
      <c r="G69" s="38"/>
      <c r="H69" s="41"/>
      <c r="I69" s="42"/>
    </row>
    <row x14ac:dyDescent="0.25" r="70" customHeight="1" ht="36">
      <c r="A70" s="42"/>
      <c r="B70" s="44"/>
      <c r="C70" s="5"/>
      <c r="D70" s="42"/>
      <c r="E70" s="38"/>
      <c r="F70" s="42"/>
      <c r="G70" s="38"/>
      <c r="H70" s="41"/>
      <c r="I70" s="42"/>
    </row>
    <row x14ac:dyDescent="0.25" r="71" customHeight="1" ht="36">
      <c r="A71" s="42"/>
      <c r="B71" s="44"/>
      <c r="C71" s="5"/>
      <c r="D71" s="42"/>
      <c r="E71" s="38"/>
      <c r="F71" s="42"/>
      <c r="G71" s="38"/>
      <c r="H71" s="41"/>
      <c r="I71" s="42"/>
    </row>
    <row x14ac:dyDescent="0.25" r="72" customHeight="1" ht="36">
      <c r="A72" s="42"/>
      <c r="B72" s="44"/>
      <c r="C72" s="5"/>
      <c r="D72" s="42"/>
      <c r="E72" s="38"/>
      <c r="F72" s="42"/>
      <c r="G72" s="38"/>
      <c r="H72" s="41"/>
      <c r="I72" s="42"/>
    </row>
    <row x14ac:dyDescent="0.25" r="73" customHeight="1" ht="36">
      <c r="A73" s="42"/>
      <c r="B73" s="44"/>
      <c r="C73" s="5"/>
      <c r="D73" s="42"/>
      <c r="E73" s="38"/>
      <c r="F73" s="42"/>
      <c r="G73" s="38"/>
      <c r="H73" s="41"/>
      <c r="I73" s="42"/>
    </row>
    <row x14ac:dyDescent="0.25" r="74" customHeight="1" ht="36">
      <c r="A74" s="42"/>
      <c r="B74" s="44"/>
      <c r="C74" s="5"/>
      <c r="D74" s="42"/>
      <c r="E74" s="38"/>
      <c r="F74" s="42"/>
      <c r="G74" s="38"/>
      <c r="H74" s="41"/>
      <c r="I74" s="42"/>
    </row>
    <row x14ac:dyDescent="0.25" r="75" customHeight="1" ht="36">
      <c r="A75" s="42"/>
      <c r="B75" s="44"/>
      <c r="C75" s="5"/>
      <c r="D75" s="42"/>
      <c r="E75" s="38"/>
      <c r="F75" s="42"/>
      <c r="G75" s="38"/>
      <c r="H75" s="41"/>
      <c r="I75" s="42"/>
    </row>
    <row x14ac:dyDescent="0.25" r="76" customHeight="1" ht="36">
      <c r="A76" s="42"/>
      <c r="B76" s="44"/>
      <c r="C76" s="5"/>
      <c r="D76" s="42"/>
      <c r="E76" s="38"/>
      <c r="F76" s="42"/>
      <c r="G76" s="38"/>
      <c r="H76" s="41"/>
      <c r="I76" s="42"/>
    </row>
    <row x14ac:dyDescent="0.25" r="77" customHeight="1" ht="36">
      <c r="A77" s="42"/>
      <c r="B77" s="44"/>
      <c r="C77" s="5"/>
      <c r="D77" s="42"/>
      <c r="E77" s="38"/>
      <c r="F77" s="42"/>
      <c r="G77" s="38"/>
      <c r="H77" s="41"/>
      <c r="I77" s="42"/>
    </row>
    <row x14ac:dyDescent="0.25" r="78" customHeight="1" ht="36">
      <c r="A78" s="42"/>
      <c r="B78" s="44"/>
      <c r="C78" s="5"/>
      <c r="D78" s="42"/>
      <c r="E78" s="38"/>
      <c r="F78" s="42"/>
      <c r="G78" s="38"/>
      <c r="H78" s="41"/>
      <c r="I78" s="42"/>
    </row>
    <row x14ac:dyDescent="0.25" r="79" customHeight="1" ht="36">
      <c r="A79" s="42"/>
      <c r="B79" s="44"/>
      <c r="C79" s="5"/>
      <c r="D79" s="42"/>
      <c r="E79" s="38"/>
      <c r="F79" s="42"/>
      <c r="G79" s="38"/>
      <c r="H79" s="41"/>
      <c r="I79" s="42"/>
    </row>
    <row x14ac:dyDescent="0.25" r="80" customHeight="1" ht="36">
      <c r="A80" s="42"/>
      <c r="B80" s="44"/>
      <c r="C80" s="5"/>
      <c r="D80" s="42"/>
      <c r="E80" s="38"/>
      <c r="F80" s="42"/>
      <c r="G80" s="38"/>
      <c r="H80" s="41"/>
      <c r="I80" s="42"/>
    </row>
    <row x14ac:dyDescent="0.25" r="81" customHeight="1" ht="36">
      <c r="A81" s="42"/>
      <c r="B81" s="44"/>
      <c r="C81" s="5"/>
      <c r="D81" s="42"/>
      <c r="E81" s="38"/>
      <c r="F81" s="42"/>
      <c r="G81" s="38"/>
      <c r="H81" s="41"/>
      <c r="I81" s="42"/>
    </row>
    <row x14ac:dyDescent="0.25" r="82" customHeight="1" ht="36">
      <c r="A82" s="42"/>
      <c r="B82" s="44"/>
      <c r="C82" s="5"/>
      <c r="D82" s="42"/>
      <c r="E82" s="38"/>
      <c r="F82" s="42"/>
      <c r="G82" s="38"/>
      <c r="H82" s="41"/>
      <c r="I82" s="42"/>
    </row>
    <row x14ac:dyDescent="0.25" r="83" customHeight="1" ht="36">
      <c r="A83" s="42"/>
      <c r="B83" s="44"/>
      <c r="C83" s="5"/>
      <c r="D83" s="42"/>
      <c r="E83" s="38"/>
      <c r="F83" s="42"/>
      <c r="G83" s="38"/>
      <c r="H83" s="41"/>
      <c r="I83" s="42"/>
    </row>
    <row x14ac:dyDescent="0.25" r="84" customHeight="1" ht="36">
      <c r="A84" s="42"/>
      <c r="B84" s="44"/>
      <c r="C84" s="5"/>
      <c r="D84" s="42"/>
      <c r="E84" s="38"/>
      <c r="F84" s="42"/>
      <c r="G84" s="38"/>
      <c r="H84" s="41"/>
      <c r="I84" s="42"/>
    </row>
    <row x14ac:dyDescent="0.25" r="85" customHeight="1" ht="36">
      <c r="A85" s="42"/>
      <c r="B85" s="44"/>
      <c r="C85" s="5"/>
      <c r="D85" s="42"/>
      <c r="E85" s="38"/>
      <c r="F85" s="42"/>
      <c r="G85" s="38"/>
      <c r="H85" s="41"/>
      <c r="I85" s="42"/>
    </row>
    <row x14ac:dyDescent="0.25" r="86" customHeight="1" ht="36">
      <c r="A86" s="42"/>
      <c r="B86" s="44"/>
      <c r="C86" s="5"/>
      <c r="D86" s="42"/>
      <c r="E86" s="38"/>
      <c r="F86" s="42"/>
      <c r="G86" s="38"/>
      <c r="H86" s="41"/>
      <c r="I86" s="42"/>
    </row>
    <row x14ac:dyDescent="0.25" r="87" customHeight="1" ht="36">
      <c r="A87" s="42"/>
      <c r="B87" s="44"/>
      <c r="C87" s="5"/>
      <c r="D87" s="42"/>
      <c r="E87" s="38"/>
      <c r="F87" s="42"/>
      <c r="G87" s="38"/>
      <c r="H87" s="41"/>
      <c r="I87" s="42"/>
    </row>
    <row x14ac:dyDescent="0.25" r="88" customHeight="1" ht="36">
      <c r="A88" s="42"/>
      <c r="B88" s="44"/>
      <c r="C88" s="5"/>
      <c r="D88" s="42"/>
      <c r="E88" s="38"/>
      <c r="F88" s="42"/>
      <c r="G88" s="38"/>
      <c r="H88" s="41"/>
      <c r="I88" s="42"/>
    </row>
    <row x14ac:dyDescent="0.25" r="89" customHeight="1" ht="36">
      <c r="A89" s="42"/>
      <c r="B89" s="44"/>
      <c r="C89" s="5"/>
      <c r="D89" s="42"/>
      <c r="E89" s="38"/>
      <c r="F89" s="42"/>
      <c r="G89" s="38"/>
      <c r="H89" s="41"/>
      <c r="I89" s="42"/>
    </row>
    <row x14ac:dyDescent="0.25" r="90" customHeight="1" ht="36">
      <c r="A90" s="42"/>
      <c r="B90" s="44"/>
      <c r="C90" s="5"/>
      <c r="D90" s="42"/>
      <c r="E90" s="38"/>
      <c r="F90" s="42"/>
      <c r="G90" s="38"/>
      <c r="H90" s="41"/>
      <c r="I90" s="42"/>
    </row>
    <row x14ac:dyDescent="0.25" r="91" customHeight="1" ht="36">
      <c r="A91" s="42"/>
      <c r="B91" s="44"/>
      <c r="C91" s="5"/>
      <c r="D91" s="42"/>
      <c r="E91" s="38"/>
      <c r="F91" s="42"/>
      <c r="G91" s="38"/>
      <c r="H91" s="41"/>
      <c r="I91" s="42"/>
    </row>
    <row x14ac:dyDescent="0.25" r="92" customHeight="1" ht="36">
      <c r="A92" s="42"/>
      <c r="B92" s="44"/>
      <c r="C92" s="5"/>
      <c r="D92" s="42"/>
      <c r="E92" s="38"/>
      <c r="F92" s="42"/>
      <c r="G92" s="38"/>
      <c r="H92" s="41"/>
      <c r="I92" s="42"/>
    </row>
    <row x14ac:dyDescent="0.25" r="93" customHeight="1" ht="36">
      <c r="A93" s="42"/>
      <c r="B93" s="44"/>
      <c r="C93" s="5"/>
      <c r="D93" s="42"/>
      <c r="E93" s="38"/>
      <c r="F93" s="42"/>
      <c r="G93" s="38"/>
      <c r="H93" s="38"/>
      <c r="I93" s="42"/>
    </row>
    <row x14ac:dyDescent="0.25" r="94" customHeight="1" ht="36">
      <c r="A94" s="42"/>
      <c r="B94" s="44"/>
      <c r="C94" s="5"/>
      <c r="D94" s="42"/>
      <c r="E94" s="38"/>
      <c r="F94" s="42"/>
      <c r="G94" s="38"/>
      <c r="H94" s="38"/>
      <c r="I94" s="42"/>
    </row>
    <row x14ac:dyDescent="0.25" r="95" customHeight="1" ht="36">
      <c r="A95" s="42"/>
      <c r="B95" s="44"/>
      <c r="C95" s="5"/>
      <c r="D95" s="42"/>
      <c r="E95" s="38"/>
      <c r="F95" s="42"/>
      <c r="G95" s="38"/>
      <c r="H95" s="38"/>
      <c r="I95" s="42"/>
    </row>
    <row x14ac:dyDescent="0.25" r="96" customHeight="1" ht="36">
      <c r="A96" s="42"/>
      <c r="B96" s="44"/>
      <c r="C96" s="5"/>
      <c r="D96" s="42"/>
      <c r="E96" s="38"/>
      <c r="F96" s="42"/>
      <c r="G96" s="38"/>
      <c r="H96" s="38"/>
      <c r="I96" s="42"/>
    </row>
    <row x14ac:dyDescent="0.25" r="97" customHeight="1" ht="36">
      <c r="A97" s="42"/>
      <c r="B97" s="44"/>
      <c r="C97" s="5"/>
      <c r="D97" s="42"/>
      <c r="E97" s="38"/>
      <c r="F97" s="42"/>
      <c r="G97" s="38"/>
      <c r="H97" s="38"/>
      <c r="I97" s="42"/>
    </row>
    <row x14ac:dyDescent="0.25" r="98" customHeight="1" ht="36">
      <c r="A98" s="42"/>
      <c r="B98" s="44"/>
      <c r="C98" s="5"/>
      <c r="D98" s="42"/>
      <c r="E98" s="38"/>
      <c r="F98" s="42"/>
      <c r="G98" s="38"/>
      <c r="H98" s="38"/>
      <c r="I98" s="42"/>
    </row>
    <row x14ac:dyDescent="0.25" r="99" customHeight="1" ht="36">
      <c r="A99" s="42"/>
      <c r="B99" s="44"/>
      <c r="C99" s="5"/>
      <c r="D99" s="42"/>
      <c r="E99" s="38"/>
      <c r="F99" s="42"/>
      <c r="G99" s="38"/>
      <c r="H99" s="38"/>
      <c r="I99" s="42"/>
    </row>
    <row x14ac:dyDescent="0.25" r="100" customHeight="1" ht="36">
      <c r="A100" s="42"/>
      <c r="B100" s="44"/>
      <c r="C100" s="5"/>
      <c r="D100" s="42"/>
      <c r="E100" s="38"/>
      <c r="F100" s="42"/>
      <c r="G100" s="38"/>
      <c r="H100" s="38"/>
      <c r="I100" s="42"/>
    </row>
    <row x14ac:dyDescent="0.25" r="101" customHeight="1" ht="36">
      <c r="A101" s="42"/>
      <c r="B101" s="44"/>
      <c r="C101" s="5"/>
      <c r="D101" s="42"/>
      <c r="E101" s="38"/>
      <c r="F101" s="42"/>
      <c r="G101" s="38"/>
      <c r="H101" s="38"/>
      <c r="I101" s="42"/>
    </row>
    <row x14ac:dyDescent="0.25" r="102" customHeight="1" ht="36">
      <c r="A102" s="42"/>
      <c r="B102" s="44"/>
      <c r="C102" s="5"/>
      <c r="D102" s="42"/>
      <c r="E102" s="38"/>
      <c r="F102" s="42"/>
      <c r="G102" s="38"/>
      <c r="H102" s="38"/>
      <c r="I102" s="42"/>
    </row>
    <row x14ac:dyDescent="0.25" r="103" customHeight="1" ht="36">
      <c r="A103" s="42"/>
      <c r="B103" s="44"/>
      <c r="C103" s="5"/>
      <c r="D103" s="42"/>
      <c r="E103" s="38"/>
      <c r="F103" s="42"/>
      <c r="G103" s="38"/>
      <c r="H103" s="38"/>
      <c r="I103" s="42"/>
    </row>
    <row x14ac:dyDescent="0.25" r="104" customHeight="1" ht="36">
      <c r="A104" s="42"/>
      <c r="B104" s="44"/>
      <c r="C104" s="5"/>
      <c r="D104" s="42"/>
      <c r="E104" s="38"/>
      <c r="F104" s="42"/>
      <c r="G104" s="38"/>
      <c r="H104" s="38"/>
      <c r="I104" s="42"/>
    </row>
    <row x14ac:dyDescent="0.25" r="105" customHeight="1" ht="36">
      <c r="A105" s="42"/>
      <c r="B105" s="44"/>
      <c r="C105" s="5"/>
      <c r="D105" s="42"/>
      <c r="E105" s="38"/>
      <c r="F105" s="42"/>
      <c r="G105" s="38"/>
      <c r="H105" s="38"/>
      <c r="I105" s="42"/>
    </row>
    <row x14ac:dyDescent="0.25" r="106" customHeight="1" ht="36">
      <c r="A106" s="42"/>
      <c r="B106" s="44"/>
      <c r="C106" s="5"/>
      <c r="D106" s="42"/>
      <c r="E106" s="38"/>
      <c r="F106" s="42"/>
      <c r="G106" s="38"/>
      <c r="H106" s="38"/>
      <c r="I106" s="42"/>
    </row>
    <row x14ac:dyDescent="0.25" r="107" customHeight="1" ht="36">
      <c r="A107" s="42"/>
      <c r="B107" s="44"/>
      <c r="C107" s="5"/>
      <c r="D107" s="42"/>
      <c r="E107" s="38"/>
      <c r="F107" s="42"/>
      <c r="G107" s="38"/>
      <c r="H107" s="38"/>
      <c r="I107" s="42"/>
    </row>
    <row x14ac:dyDescent="0.25" r="108" customHeight="1" ht="36">
      <c r="A108" s="42"/>
      <c r="B108" s="44"/>
      <c r="C108" s="5"/>
      <c r="D108" s="42"/>
      <c r="E108" s="38"/>
      <c r="F108" s="42"/>
      <c r="G108" s="38"/>
      <c r="H108" s="38"/>
      <c r="I108" s="42"/>
    </row>
    <row x14ac:dyDescent="0.25" r="109" customHeight="1" ht="36">
      <c r="A109" s="42"/>
      <c r="B109" s="44"/>
      <c r="C109" s="5"/>
      <c r="D109" s="42"/>
      <c r="E109" s="38"/>
      <c r="F109" s="42"/>
      <c r="G109" s="38"/>
      <c r="H109" s="38"/>
      <c r="I109" s="42"/>
    </row>
    <row x14ac:dyDescent="0.25" r="110" customHeight="1" ht="36">
      <c r="A110" s="42"/>
      <c r="B110" s="44"/>
      <c r="C110" s="5"/>
      <c r="D110" s="42"/>
      <c r="E110" s="38"/>
      <c r="F110" s="42"/>
      <c r="G110" s="38"/>
      <c r="H110" s="38"/>
      <c r="I110" s="42"/>
    </row>
    <row x14ac:dyDescent="0.25" r="111" customHeight="1" ht="36">
      <c r="A111" s="42"/>
      <c r="B111" s="44"/>
      <c r="C111" s="5"/>
      <c r="D111" s="42"/>
      <c r="E111" s="38"/>
      <c r="F111" s="42"/>
      <c r="G111" s="38"/>
      <c r="H111" s="38"/>
      <c r="I111" s="42"/>
    </row>
    <row x14ac:dyDescent="0.25" r="112" customHeight="1" ht="36">
      <c r="A112" s="42"/>
      <c r="B112" s="44"/>
      <c r="C112" s="5"/>
      <c r="D112" s="42"/>
      <c r="E112" s="38"/>
      <c r="F112" s="42"/>
      <c r="G112" s="38"/>
      <c r="H112" s="38"/>
      <c r="I112" s="42"/>
    </row>
    <row x14ac:dyDescent="0.25" r="113" customHeight="1" ht="36">
      <c r="A113" s="42"/>
      <c r="B113" s="44"/>
      <c r="C113" s="5"/>
      <c r="D113" s="42"/>
      <c r="E113" s="38"/>
      <c r="F113" s="42"/>
      <c r="G113" s="38"/>
      <c r="H113" s="38"/>
      <c r="I113" s="42"/>
    </row>
    <row x14ac:dyDescent="0.25" r="114" customHeight="1" ht="36">
      <c r="A114" s="42"/>
      <c r="B114" s="44"/>
      <c r="C114" s="5"/>
      <c r="D114" s="42"/>
      <c r="E114" s="38"/>
      <c r="F114" s="42"/>
      <c r="G114" s="38"/>
      <c r="H114" s="38"/>
      <c r="I114" s="42"/>
    </row>
    <row x14ac:dyDescent="0.25" r="115" customHeight="1" ht="36">
      <c r="A115" s="42"/>
      <c r="B115" s="44"/>
      <c r="C115" s="5"/>
      <c r="D115" s="42"/>
      <c r="E115" s="38"/>
      <c r="F115" s="42"/>
      <c r="G115" s="38"/>
      <c r="H115" s="38"/>
      <c r="I115" s="42"/>
    </row>
    <row x14ac:dyDescent="0.25" r="116" customHeight="1" ht="36">
      <c r="A116" s="42"/>
      <c r="B116" s="44"/>
      <c r="C116" s="5"/>
      <c r="D116" s="42"/>
      <c r="E116" s="38"/>
      <c r="F116" s="42"/>
      <c r="G116" s="38"/>
      <c r="H116" s="38"/>
      <c r="I116" s="42"/>
    </row>
    <row x14ac:dyDescent="0.25" r="117" customHeight="1" ht="36">
      <c r="A117" s="42"/>
      <c r="B117" s="44"/>
      <c r="C117" s="5"/>
      <c r="D117" s="42"/>
      <c r="E117" s="38"/>
      <c r="F117" s="42"/>
      <c r="G117" s="38"/>
      <c r="H117" s="38"/>
      <c r="I117" s="42"/>
    </row>
    <row x14ac:dyDescent="0.25" r="118" customHeight="1" ht="36">
      <c r="A118" s="42"/>
      <c r="B118" s="44"/>
      <c r="C118" s="5"/>
      <c r="D118" s="42"/>
      <c r="E118" s="38"/>
      <c r="F118" s="42"/>
      <c r="G118" s="38"/>
      <c r="H118" s="38"/>
      <c r="I118" s="42"/>
    </row>
    <row x14ac:dyDescent="0.25" r="119" customHeight="1" ht="36">
      <c r="A119" s="42"/>
      <c r="B119" s="44"/>
      <c r="C119" s="5"/>
      <c r="D119" s="42"/>
      <c r="E119" s="38"/>
      <c r="F119" s="42"/>
      <c r="G119" s="38"/>
      <c r="H119" s="38"/>
      <c r="I119" s="42"/>
    </row>
    <row x14ac:dyDescent="0.25" r="120" customHeight="1" ht="36">
      <c r="A120" s="42"/>
      <c r="B120" s="44"/>
      <c r="C120" s="5"/>
      <c r="D120" s="42"/>
      <c r="E120" s="38"/>
      <c r="F120" s="42"/>
      <c r="G120" s="38"/>
      <c r="H120" s="38"/>
      <c r="I120" s="42"/>
    </row>
    <row x14ac:dyDescent="0.25" r="121" customHeight="1" ht="36">
      <c r="A121" s="42"/>
      <c r="B121" s="44"/>
      <c r="C121" s="5"/>
      <c r="D121" s="42"/>
      <c r="E121" s="38"/>
      <c r="F121" s="42"/>
      <c r="G121" s="38"/>
      <c r="H121" s="38"/>
      <c r="I121" s="42"/>
    </row>
    <row x14ac:dyDescent="0.25" r="122" customHeight="1" ht="36">
      <c r="A122" s="42"/>
      <c r="B122" s="44"/>
      <c r="C122" s="5"/>
      <c r="D122" s="42"/>
      <c r="E122" s="38"/>
      <c r="F122" s="42"/>
      <c r="G122" s="38"/>
      <c r="H122" s="38"/>
      <c r="I122" s="42"/>
    </row>
    <row x14ac:dyDescent="0.25" r="123" customHeight="1" ht="36">
      <c r="A123" s="42"/>
      <c r="B123" s="44"/>
      <c r="C123" s="5"/>
      <c r="D123" s="42"/>
      <c r="E123" s="38"/>
      <c r="F123" s="42"/>
      <c r="G123" s="38"/>
      <c r="H123" s="38"/>
      <c r="I123" s="42"/>
    </row>
  </sheetData>
  <mergeCells count="8">
    <mergeCell ref="A1:I1"/>
    <mergeCell ref="G2:I2"/>
    <mergeCell ref="A3:A4"/>
    <mergeCell ref="B3:B4"/>
    <mergeCell ref="C3:C4"/>
    <mergeCell ref="D3:F3"/>
    <mergeCell ref="G3:I3"/>
    <mergeCell ref="A62:C6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P124"/>
  <sheetViews>
    <sheetView workbookViewId="0"/>
  </sheetViews>
  <sheetFormatPr defaultRowHeight="15" x14ac:dyDescent="0.25"/>
  <cols>
    <col min="1" max="1" style="45" width="6.005" customWidth="1" bestFit="1"/>
    <col min="2" max="2" style="46" width="9.005" customWidth="1" bestFit="1"/>
    <col min="3" max="3" style="47" width="43.005" customWidth="1" bestFit="1"/>
    <col min="4" max="4" style="45" width="8.005" customWidth="1" bestFit="1"/>
    <col min="5" max="5" style="45" width="9.005" customWidth="1" bestFit="1"/>
    <col min="6" max="6" style="45" width="14.43357142857143" customWidth="1" bestFit="1"/>
    <col min="7" max="7" style="109" width="10.576428571428572" customWidth="1" bestFit="1"/>
    <col min="8" max="8" style="45" width="6.433571428571429" customWidth="1" bestFit="1"/>
    <col min="9" max="9" style="45" width="9.147857142857141" customWidth="1" bestFit="1"/>
    <col min="10" max="10" style="45" width="14.147857142857141" customWidth="1" bestFit="1"/>
    <col min="11" max="11" style="45" width="8.005" customWidth="1" bestFit="1"/>
    <col min="12" max="12" style="45" width="9.005" customWidth="1" bestFit="1"/>
    <col min="13" max="13" style="45" width="12.576428571428572" customWidth="1" bestFit="1"/>
    <col min="14" max="14" style="109" width="9.147857142857141" customWidth="1" bestFit="1"/>
    <col min="15" max="15" style="45" width="6.433571428571429" customWidth="1" bestFit="1"/>
    <col min="16" max="16" style="45" width="9.147857142857141" customWidth="1" bestFit="1"/>
    <col min="17" max="17" style="45" width="11.290714285714287" customWidth="1" bestFit="1"/>
    <col min="18" max="18" style="45" width="8.005" customWidth="1" bestFit="1"/>
    <col min="19" max="19" style="45" width="9.147857142857141" customWidth="1" bestFit="1"/>
    <col min="20" max="20" style="45" width="12.576428571428572" customWidth="1" bestFit="1"/>
    <col min="21" max="21" style="109" width="9.147857142857141" customWidth="1" bestFit="1"/>
    <col min="22" max="22" style="45" width="6.433571428571429" customWidth="1" bestFit="1"/>
    <col min="23" max="23" style="45" width="9.147857142857141" customWidth="1" bestFit="1"/>
    <col min="24" max="24" style="45" width="11.290714285714287" customWidth="1" bestFit="1"/>
    <col min="25" max="25" style="45" width="8.005" customWidth="1" bestFit="1"/>
    <col min="26" max="26" style="45" width="9.147857142857141" customWidth="1" bestFit="1"/>
    <col min="27" max="27" style="45" width="12.576428571428572" customWidth="1" bestFit="1"/>
    <col min="28" max="28" style="45" width="6.433571428571429" customWidth="1" bestFit="1"/>
    <col min="29" max="29" style="45" width="9.147857142857141" customWidth="1" bestFit="1"/>
    <col min="30" max="30" style="45" width="11.290714285714287" customWidth="1" bestFit="1"/>
    <col min="31" max="31" style="45" width="9.147857142857141" customWidth="1" bestFit="1"/>
    <col min="32" max="32" style="45" width="9.147857142857141" customWidth="1" bestFit="1"/>
    <col min="33" max="33" style="45" width="18.290714285714284" customWidth="1" bestFit="1"/>
    <col min="34" max="34" style="45" width="6.433571428571429" customWidth="1" bestFit="1"/>
    <col min="35" max="35" style="45" width="9.147857142857141" customWidth="1" bestFit="1"/>
    <col min="36" max="36" style="45" width="11.290714285714287" customWidth="1" bestFit="1"/>
    <col min="37" max="37" style="45" width="8.005" customWidth="1" bestFit="1"/>
    <col min="38" max="38" style="45" width="9.719285714285713" customWidth="1" bestFit="1"/>
    <col min="39" max="39" style="45" width="12.576428571428572" customWidth="1" bestFit="1"/>
    <col min="40" max="40" style="45" width="6.433571428571429" customWidth="1" bestFit="1"/>
    <col min="41" max="41" style="45" width="9.147857142857141" customWidth="1" bestFit="1"/>
    <col min="42" max="42" style="45" width="14.719285714285713" customWidth="1" bestFit="1"/>
  </cols>
  <sheetData>
    <row x14ac:dyDescent="0.25" r="1" customHeight="1" ht="26.25">
      <c r="A1" s="43" t="s">
        <v>189</v>
      </c>
      <c r="B1" s="74"/>
      <c r="C1" s="75"/>
      <c r="D1" s="43"/>
      <c r="E1" s="43"/>
      <c r="F1" s="43"/>
      <c r="G1" s="76"/>
      <c r="H1" s="43"/>
      <c r="I1" s="43"/>
      <c r="J1" s="43"/>
      <c r="K1" s="43"/>
      <c r="L1" s="43"/>
      <c r="M1" s="43"/>
      <c r="N1" s="76"/>
      <c r="O1" s="43"/>
      <c r="P1" s="43"/>
      <c r="Q1" s="43"/>
      <c r="R1" s="43"/>
      <c r="S1" s="43"/>
      <c r="T1" s="43"/>
      <c r="U1" s="76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</row>
    <row x14ac:dyDescent="0.25" r="2" customHeight="1" ht="26.25">
      <c r="A2" s="40"/>
      <c r="B2" s="40"/>
      <c r="C2" s="72"/>
      <c r="D2" s="40"/>
      <c r="E2" s="41"/>
      <c r="F2" s="42"/>
      <c r="G2" s="77"/>
      <c r="H2" s="40"/>
      <c r="I2" s="41"/>
      <c r="J2" s="38"/>
      <c r="K2" s="60"/>
      <c r="L2" s="78"/>
      <c r="M2" s="60"/>
      <c r="N2" s="79"/>
      <c r="O2" s="38"/>
      <c r="P2" s="80"/>
      <c r="Q2" s="38"/>
      <c r="R2" s="38"/>
      <c r="S2" s="80"/>
      <c r="T2" s="38"/>
      <c r="U2" s="79"/>
      <c r="V2" s="38"/>
      <c r="W2" s="80"/>
      <c r="X2" s="38"/>
      <c r="Y2" s="38"/>
      <c r="Z2" s="80"/>
      <c r="AA2" s="38"/>
      <c r="AB2" s="38"/>
      <c r="AC2" s="80"/>
      <c r="AD2" s="38"/>
      <c r="AE2" s="81"/>
      <c r="AF2" s="80"/>
      <c r="AG2" s="81"/>
      <c r="AH2" s="38"/>
      <c r="AI2" s="80"/>
      <c r="AJ2" s="38"/>
      <c r="AK2" s="38"/>
      <c r="AL2" s="80"/>
      <c r="AM2" s="38"/>
      <c r="AN2" s="38"/>
      <c r="AO2" s="80"/>
      <c r="AP2" s="38"/>
    </row>
    <row x14ac:dyDescent="0.25" r="3" customHeight="1" ht="36.75">
      <c r="A3" s="67" t="s">
        <v>191</v>
      </c>
      <c r="B3" s="68" t="s">
        <v>2</v>
      </c>
      <c r="C3" s="52" t="s">
        <v>3</v>
      </c>
      <c r="D3" s="9" t="s">
        <v>195</v>
      </c>
      <c r="E3" s="82"/>
      <c r="F3" s="82"/>
      <c r="G3" s="82"/>
      <c r="H3" s="83">
        <v>44562</v>
      </c>
      <c r="I3" s="83"/>
      <c r="J3" s="83"/>
      <c r="K3" s="9" t="s">
        <v>196</v>
      </c>
      <c r="L3" s="82"/>
      <c r="M3" s="82"/>
      <c r="N3" s="82"/>
      <c r="O3" s="83">
        <v>44593</v>
      </c>
      <c r="P3" s="83"/>
      <c r="Q3" s="83"/>
      <c r="R3" s="15">
        <v>44256</v>
      </c>
      <c r="S3" s="15"/>
      <c r="T3" s="15"/>
      <c r="U3" s="15"/>
      <c r="V3" s="83">
        <v>44621</v>
      </c>
      <c r="W3" s="83"/>
      <c r="X3" s="83"/>
      <c r="Y3" s="15">
        <v>44287</v>
      </c>
      <c r="Z3" s="15"/>
      <c r="AA3" s="15"/>
      <c r="AB3" s="83">
        <v>44652</v>
      </c>
      <c r="AC3" s="83"/>
      <c r="AD3" s="83"/>
      <c r="AE3" s="84">
        <v>44317</v>
      </c>
      <c r="AF3" s="85"/>
      <c r="AG3" s="86"/>
      <c r="AH3" s="83">
        <v>44682</v>
      </c>
      <c r="AI3" s="83"/>
      <c r="AJ3" s="83"/>
      <c r="AK3" s="15">
        <v>44348</v>
      </c>
      <c r="AL3" s="15"/>
      <c r="AM3" s="15"/>
      <c r="AN3" s="83">
        <v>44713</v>
      </c>
      <c r="AO3" s="83"/>
      <c r="AP3" s="83"/>
    </row>
    <row x14ac:dyDescent="0.25" r="4" customHeight="1" ht="36.75">
      <c r="A4" s="13"/>
      <c r="B4" s="9"/>
      <c r="C4" s="53"/>
      <c r="D4" s="13" t="s">
        <v>9</v>
      </c>
      <c r="E4" s="55" t="s">
        <v>10</v>
      </c>
      <c r="F4" s="13" t="s">
        <v>11</v>
      </c>
      <c r="G4" s="87" t="s">
        <v>197</v>
      </c>
      <c r="H4" s="88" t="s">
        <v>9</v>
      </c>
      <c r="I4" s="20" t="s">
        <v>10</v>
      </c>
      <c r="J4" s="88" t="s">
        <v>11</v>
      </c>
      <c r="K4" s="13" t="s">
        <v>9</v>
      </c>
      <c r="L4" s="55" t="s">
        <v>10</v>
      </c>
      <c r="M4" s="13" t="s">
        <v>11</v>
      </c>
      <c r="N4" s="87" t="s">
        <v>197</v>
      </c>
      <c r="O4" s="88" t="s">
        <v>9</v>
      </c>
      <c r="P4" s="20" t="s">
        <v>10</v>
      </c>
      <c r="Q4" s="88" t="s">
        <v>11</v>
      </c>
      <c r="R4" s="13" t="s">
        <v>9</v>
      </c>
      <c r="S4" s="55" t="s">
        <v>10</v>
      </c>
      <c r="T4" s="13" t="s">
        <v>11</v>
      </c>
      <c r="U4" s="87" t="s">
        <v>197</v>
      </c>
      <c r="V4" s="88" t="s">
        <v>9</v>
      </c>
      <c r="W4" s="20" t="s">
        <v>10</v>
      </c>
      <c r="X4" s="88" t="s">
        <v>11</v>
      </c>
      <c r="Y4" s="13" t="s">
        <v>9</v>
      </c>
      <c r="Z4" s="55" t="s">
        <v>10</v>
      </c>
      <c r="AA4" s="13" t="s">
        <v>11</v>
      </c>
      <c r="AB4" s="88" t="s">
        <v>9</v>
      </c>
      <c r="AC4" s="20" t="s">
        <v>10</v>
      </c>
      <c r="AD4" s="88" t="s">
        <v>11</v>
      </c>
      <c r="AE4" s="89" t="s">
        <v>9</v>
      </c>
      <c r="AF4" s="55" t="s">
        <v>10</v>
      </c>
      <c r="AG4" s="89" t="s">
        <v>11</v>
      </c>
      <c r="AH4" s="88" t="s">
        <v>9</v>
      </c>
      <c r="AI4" s="20" t="s">
        <v>10</v>
      </c>
      <c r="AJ4" s="88" t="s">
        <v>11</v>
      </c>
      <c r="AK4" s="13" t="s">
        <v>9</v>
      </c>
      <c r="AL4" s="55" t="s">
        <v>10</v>
      </c>
      <c r="AM4" s="13" t="s">
        <v>11</v>
      </c>
      <c r="AN4" s="88" t="s">
        <v>9</v>
      </c>
      <c r="AO4" s="20" t="s">
        <v>10</v>
      </c>
      <c r="AP4" s="88" t="s">
        <v>11</v>
      </c>
    </row>
    <row x14ac:dyDescent="0.25" r="5" customHeight="1" ht="27">
      <c r="A5" s="24">
        <v>1</v>
      </c>
      <c r="B5" s="22" t="s">
        <v>12</v>
      </c>
      <c r="C5" s="23" t="s">
        <v>13</v>
      </c>
      <c r="D5" s="24"/>
      <c r="E5" s="57"/>
      <c r="F5" s="26"/>
      <c r="G5" s="90"/>
      <c r="H5" s="91"/>
      <c r="I5" s="27"/>
      <c r="J5" s="92"/>
      <c r="K5" s="24"/>
      <c r="L5" s="57"/>
      <c r="M5" s="26"/>
      <c r="N5" s="90"/>
      <c r="O5" s="91">
        <f>50+70</f>
      </c>
      <c r="P5" s="27">
        <v>20000</v>
      </c>
      <c r="Q5" s="92">
        <f>O5*P5</f>
      </c>
      <c r="R5" s="48"/>
      <c r="S5" s="93"/>
      <c r="T5" s="48"/>
      <c r="U5" s="94"/>
      <c r="V5" s="91">
        <f>180+50</f>
      </c>
      <c r="W5" s="27">
        <v>20000</v>
      </c>
      <c r="X5" s="92">
        <f>V5*W5</f>
      </c>
      <c r="Y5" s="21">
        <v>50</v>
      </c>
      <c r="Z5" s="57">
        <v>15000</v>
      </c>
      <c r="AA5" s="21">
        <f>Y5*Z5</f>
      </c>
      <c r="AB5" s="91">
        <v>60</v>
      </c>
      <c r="AC5" s="27">
        <v>20000</v>
      </c>
      <c r="AD5" s="92">
        <v>1200000</v>
      </c>
      <c r="AE5" s="95">
        <v>50</v>
      </c>
      <c r="AF5" s="57">
        <v>15000</v>
      </c>
      <c r="AG5" s="95">
        <f>AE5*AF5</f>
      </c>
      <c r="AH5" s="91">
        <f>100+100</f>
      </c>
      <c r="AI5" s="27">
        <v>20000</v>
      </c>
      <c r="AJ5" s="92">
        <f>AH5*AI5</f>
      </c>
      <c r="AK5" s="24">
        <f>100+100</f>
      </c>
      <c r="AL5" s="57">
        <v>15000</v>
      </c>
      <c r="AM5" s="26">
        <f>AK5*AL5</f>
      </c>
      <c r="AN5" s="91">
        <v>200</v>
      </c>
      <c r="AO5" s="27">
        <v>20000</v>
      </c>
      <c r="AP5" s="96">
        <f>AN5*AO5</f>
      </c>
    </row>
    <row x14ac:dyDescent="0.25" r="6" customHeight="1" ht="27">
      <c r="A6" s="24">
        <v>2</v>
      </c>
      <c r="B6" s="22" t="s">
        <v>14</v>
      </c>
      <c r="C6" s="23" t="s">
        <v>15</v>
      </c>
      <c r="D6" s="24">
        <v>150</v>
      </c>
      <c r="E6" s="57">
        <v>14000</v>
      </c>
      <c r="F6" s="26">
        <f>D6*E6*98%</f>
      </c>
      <c r="G6" s="90">
        <v>0.02</v>
      </c>
      <c r="H6" s="91"/>
      <c r="I6" s="27"/>
      <c r="J6" s="92"/>
      <c r="K6" s="24"/>
      <c r="L6" s="57"/>
      <c r="M6" s="26"/>
      <c r="N6" s="90"/>
      <c r="O6" s="91">
        <v>50</v>
      </c>
      <c r="P6" s="27">
        <v>20000</v>
      </c>
      <c r="Q6" s="92">
        <f>O6*P6</f>
      </c>
      <c r="R6" s="48"/>
      <c r="S6" s="93"/>
      <c r="T6" s="48"/>
      <c r="U6" s="94"/>
      <c r="V6" s="91">
        <f>100+50</f>
      </c>
      <c r="W6" s="27">
        <v>20000</v>
      </c>
      <c r="X6" s="92">
        <f>V6*W6</f>
      </c>
      <c r="Y6" s="21">
        <v>50</v>
      </c>
      <c r="Z6" s="57">
        <v>14000</v>
      </c>
      <c r="AA6" s="21">
        <f>Y6*Z6</f>
      </c>
      <c r="AB6" s="91">
        <f>60+50</f>
      </c>
      <c r="AC6" s="27">
        <v>20000</v>
      </c>
      <c r="AD6" s="92">
        <f>AB6*AC6</f>
      </c>
      <c r="AE6" s="48"/>
      <c r="AF6" s="48"/>
      <c r="AG6" s="48"/>
      <c r="AH6" s="91">
        <v>300</v>
      </c>
      <c r="AI6" s="27">
        <v>20000</v>
      </c>
      <c r="AJ6" s="92">
        <f>AH6*AI6</f>
      </c>
      <c r="AK6" s="24">
        <f>100+200</f>
      </c>
      <c r="AL6" s="57">
        <v>14000</v>
      </c>
      <c r="AM6" s="26">
        <f>AK6*AL6</f>
      </c>
      <c r="AN6" s="91">
        <v>100</v>
      </c>
      <c r="AO6" s="27">
        <v>20000</v>
      </c>
      <c r="AP6" s="96">
        <f>AN6*AO6</f>
      </c>
    </row>
    <row x14ac:dyDescent="0.25" r="7" customHeight="1" ht="27">
      <c r="A7" s="24">
        <v>3</v>
      </c>
      <c r="B7" s="22" t="s">
        <v>17</v>
      </c>
      <c r="C7" s="23" t="s">
        <v>18</v>
      </c>
      <c r="D7" s="13"/>
      <c r="E7" s="55"/>
      <c r="F7" s="13"/>
      <c r="G7" s="87"/>
      <c r="H7" s="88"/>
      <c r="I7" s="20"/>
      <c r="J7" s="88"/>
      <c r="K7" s="24">
        <f>135+50</f>
      </c>
      <c r="L7" s="57">
        <v>36500</v>
      </c>
      <c r="M7" s="26">
        <f>K7*L7*98%</f>
      </c>
      <c r="N7" s="90">
        <v>0.02</v>
      </c>
      <c r="O7" s="91">
        <f>30+50</f>
      </c>
      <c r="P7" s="27">
        <v>52500</v>
      </c>
      <c r="Q7" s="92">
        <f>O7*P7</f>
      </c>
      <c r="R7" s="21">
        <v>65</v>
      </c>
      <c r="S7" s="57">
        <v>36500</v>
      </c>
      <c r="T7" s="21">
        <f>R7*S7*98%</f>
      </c>
      <c r="U7" s="90">
        <v>0.02</v>
      </c>
      <c r="V7" s="91">
        <f>100+27</f>
      </c>
      <c r="W7" s="27">
        <v>52500</v>
      </c>
      <c r="X7" s="92">
        <f>V7*W7</f>
      </c>
      <c r="Y7" s="13"/>
      <c r="Z7" s="55"/>
      <c r="AA7" s="13"/>
      <c r="AB7" s="91">
        <v>43</v>
      </c>
      <c r="AC7" s="27">
        <v>52500</v>
      </c>
      <c r="AD7" s="92">
        <f>AB7*AC7</f>
      </c>
      <c r="AE7" s="38"/>
      <c r="AF7" s="38"/>
      <c r="AG7" s="38"/>
      <c r="AH7" s="97"/>
      <c r="AI7" s="98"/>
      <c r="AJ7" s="97"/>
      <c r="AK7" s="24">
        <v>20</v>
      </c>
      <c r="AL7" s="57">
        <v>40200</v>
      </c>
      <c r="AM7" s="26">
        <f>AK7*AL7</f>
      </c>
      <c r="AN7" s="97"/>
      <c r="AO7" s="98"/>
      <c r="AP7" s="96">
        <f>AN7*AO7</f>
      </c>
    </row>
    <row x14ac:dyDescent="0.25" r="8" customHeight="1" ht="27">
      <c r="A8" s="24">
        <v>4</v>
      </c>
      <c r="B8" s="22" t="s">
        <v>19</v>
      </c>
      <c r="C8" s="23" t="s">
        <v>20</v>
      </c>
      <c r="D8" s="24">
        <f>410+515</f>
      </c>
      <c r="E8" s="57">
        <v>37000</v>
      </c>
      <c r="F8" s="26">
        <f>D8*E8*98%</f>
      </c>
      <c r="G8" s="90">
        <v>0.02</v>
      </c>
      <c r="H8" s="91">
        <f>174+180</f>
      </c>
      <c r="I8" s="27">
        <v>53000</v>
      </c>
      <c r="J8" s="92">
        <f>H8*I8</f>
      </c>
      <c r="K8" s="24">
        <f>60+115</f>
      </c>
      <c r="L8" s="57">
        <v>37000</v>
      </c>
      <c r="M8" s="26">
        <f>K8*L8*98%</f>
      </c>
      <c r="N8" s="90">
        <v>0.02</v>
      </c>
      <c r="O8" s="91">
        <f>300+276</f>
      </c>
      <c r="P8" s="27">
        <v>53000</v>
      </c>
      <c r="Q8" s="92">
        <f>O8*P8</f>
      </c>
      <c r="R8" s="21">
        <v>315</v>
      </c>
      <c r="S8" s="57">
        <v>37000</v>
      </c>
      <c r="T8" s="21">
        <f>R8*S8*98%</f>
      </c>
      <c r="U8" s="90">
        <v>0.02</v>
      </c>
      <c r="V8" s="91">
        <f>250+300</f>
      </c>
      <c r="W8" s="27">
        <v>53000</v>
      </c>
      <c r="X8" s="92">
        <f>V8*W8</f>
      </c>
      <c r="Y8" s="21">
        <f>305+60</f>
      </c>
      <c r="Z8" s="57">
        <v>37000</v>
      </c>
      <c r="AA8" s="21">
        <f>Y8*Z8</f>
      </c>
      <c r="AB8" s="91">
        <f>250+100</f>
      </c>
      <c r="AC8" s="27">
        <v>53000</v>
      </c>
      <c r="AD8" s="92">
        <f>AB8*AC8</f>
      </c>
      <c r="AE8" s="95">
        <v>425</v>
      </c>
      <c r="AF8" s="57">
        <v>40700</v>
      </c>
      <c r="AG8" s="95">
        <f>AE8*AF8</f>
      </c>
      <c r="AH8" s="91">
        <f>150+200</f>
      </c>
      <c r="AI8" s="27">
        <v>53000</v>
      </c>
      <c r="AJ8" s="92">
        <f>AH8*AI8</f>
      </c>
      <c r="AK8" s="24">
        <f>175+370</f>
      </c>
      <c r="AL8" s="57">
        <v>40700</v>
      </c>
      <c r="AM8" s="26">
        <f>AK8*AL8</f>
      </c>
      <c r="AN8" s="91">
        <v>400</v>
      </c>
      <c r="AO8" s="27">
        <v>53000</v>
      </c>
      <c r="AP8" s="96">
        <f>AN8*AO8</f>
      </c>
    </row>
    <row x14ac:dyDescent="0.25" r="9" customHeight="1" ht="27">
      <c r="A9" s="24">
        <v>5</v>
      </c>
      <c r="B9" s="22" t="s">
        <v>21</v>
      </c>
      <c r="C9" s="23" t="s">
        <v>22</v>
      </c>
      <c r="D9" s="24">
        <f>80+395</f>
      </c>
      <c r="E9" s="57">
        <v>42500</v>
      </c>
      <c r="F9" s="26">
        <f>D9*E9*98%</f>
      </c>
      <c r="G9" s="90">
        <v>0.02</v>
      </c>
      <c r="H9" s="91">
        <f>150+113</f>
      </c>
      <c r="I9" s="27">
        <v>62500</v>
      </c>
      <c r="J9" s="92">
        <f>H9*I9</f>
      </c>
      <c r="K9" s="24">
        <f>270+80</f>
      </c>
      <c r="L9" s="57">
        <v>42500</v>
      </c>
      <c r="M9" s="26">
        <f>K9*L9*98%</f>
      </c>
      <c r="N9" s="90">
        <v>0.02</v>
      </c>
      <c r="O9" s="91">
        <f>28+120</f>
      </c>
      <c r="P9" s="27">
        <v>62500</v>
      </c>
      <c r="Q9" s="92">
        <f>O9*P9</f>
      </c>
      <c r="R9" s="21">
        <v>130</v>
      </c>
      <c r="S9" s="57">
        <v>42500</v>
      </c>
      <c r="T9" s="21">
        <f>R9*S9*98%</f>
      </c>
      <c r="U9" s="90">
        <v>0.02</v>
      </c>
      <c r="V9" s="91">
        <v>380</v>
      </c>
      <c r="W9" s="27">
        <v>62500</v>
      </c>
      <c r="X9" s="92">
        <f>V9*W9</f>
      </c>
      <c r="Y9" s="21">
        <v>226</v>
      </c>
      <c r="Z9" s="57">
        <v>42500</v>
      </c>
      <c r="AA9" s="21">
        <f>Y9*Z9</f>
      </c>
      <c r="AB9" s="91">
        <f>50+57</f>
      </c>
      <c r="AC9" s="27">
        <v>62500</v>
      </c>
      <c r="AD9" s="92">
        <f>AB9*AC9</f>
      </c>
      <c r="AE9" s="95">
        <v>329</v>
      </c>
      <c r="AF9" s="57">
        <v>46800</v>
      </c>
      <c r="AG9" s="95">
        <f>AE9*AF9</f>
      </c>
      <c r="AH9" s="91">
        <f>43+250</f>
      </c>
      <c r="AI9" s="27">
        <v>62500</v>
      </c>
      <c r="AJ9" s="92">
        <f>AH9*AI9</f>
      </c>
      <c r="AK9" s="24">
        <f>60+465</f>
      </c>
      <c r="AL9" s="57">
        <v>46800</v>
      </c>
      <c r="AM9" s="26">
        <f>AK9*AL9</f>
      </c>
      <c r="AN9" s="91">
        <v>550</v>
      </c>
      <c r="AO9" s="27">
        <v>62500</v>
      </c>
      <c r="AP9" s="96">
        <f>AN9*AO9</f>
      </c>
    </row>
    <row x14ac:dyDescent="0.25" r="10" customHeight="1" ht="27">
      <c r="A10" s="24">
        <v>6</v>
      </c>
      <c r="B10" s="22" t="s">
        <v>23</v>
      </c>
      <c r="C10" s="23" t="s">
        <v>24</v>
      </c>
      <c r="D10" s="24"/>
      <c r="E10" s="57"/>
      <c r="F10" s="26"/>
      <c r="G10" s="90"/>
      <c r="H10" s="91">
        <v>20</v>
      </c>
      <c r="I10" s="27">
        <v>90500</v>
      </c>
      <c r="J10" s="92">
        <f>H10*I10</f>
      </c>
      <c r="K10" s="24"/>
      <c r="L10" s="57"/>
      <c r="M10" s="26"/>
      <c r="N10" s="90"/>
      <c r="O10" s="99"/>
      <c r="P10" s="100"/>
      <c r="Q10" s="99"/>
      <c r="R10" s="21"/>
      <c r="S10" s="57"/>
      <c r="T10" s="21"/>
      <c r="U10" s="90"/>
      <c r="V10" s="99"/>
      <c r="W10" s="100"/>
      <c r="X10" s="99"/>
      <c r="Y10" s="48"/>
      <c r="Z10" s="93"/>
      <c r="AA10" s="48"/>
      <c r="AB10" s="99"/>
      <c r="AC10" s="100"/>
      <c r="AD10" s="99"/>
      <c r="AE10" s="48"/>
      <c r="AF10" s="48"/>
      <c r="AG10" s="48"/>
      <c r="AH10" s="99"/>
      <c r="AI10" s="100"/>
      <c r="AJ10" s="99"/>
      <c r="AK10" s="24">
        <f>10+50</f>
      </c>
      <c r="AL10" s="57">
        <v>62400</v>
      </c>
      <c r="AM10" s="26">
        <f>AK10*AL10</f>
      </c>
      <c r="AN10" s="99"/>
      <c r="AO10" s="100"/>
      <c r="AP10" s="96">
        <f>AN10*AO10</f>
      </c>
    </row>
    <row x14ac:dyDescent="0.25" r="11" customHeight="1" ht="27">
      <c r="A11" s="24">
        <v>7</v>
      </c>
      <c r="B11" s="22" t="s">
        <v>25</v>
      </c>
      <c r="C11" s="23" t="s">
        <v>26</v>
      </c>
      <c r="D11" s="24"/>
      <c r="E11" s="57"/>
      <c r="F11" s="26"/>
      <c r="G11" s="90"/>
      <c r="H11" s="91"/>
      <c r="I11" s="27"/>
      <c r="J11" s="92"/>
      <c r="K11" s="24"/>
      <c r="L11" s="57"/>
      <c r="M11" s="26"/>
      <c r="N11" s="90"/>
      <c r="O11" s="99"/>
      <c r="P11" s="100"/>
      <c r="Q11" s="99"/>
      <c r="R11" s="21"/>
      <c r="S11" s="57"/>
      <c r="T11" s="21"/>
      <c r="U11" s="90"/>
      <c r="V11" s="91">
        <v>30</v>
      </c>
      <c r="W11" s="27">
        <v>64000</v>
      </c>
      <c r="X11" s="92">
        <f>V11*W11</f>
      </c>
      <c r="Y11" s="48"/>
      <c r="Z11" s="93"/>
      <c r="AA11" s="48"/>
      <c r="AB11" s="99"/>
      <c r="AC11" s="100"/>
      <c r="AD11" s="99"/>
      <c r="AE11" s="48"/>
      <c r="AF11" s="48"/>
      <c r="AG11" s="48"/>
      <c r="AH11" s="99"/>
      <c r="AI11" s="100"/>
      <c r="AJ11" s="99"/>
      <c r="AK11" s="24">
        <v>20</v>
      </c>
      <c r="AL11" s="57">
        <v>47900</v>
      </c>
      <c r="AM11" s="26">
        <f>AK11*AL11</f>
      </c>
      <c r="AN11" s="99"/>
      <c r="AO11" s="100"/>
      <c r="AP11" s="96">
        <f>AN11*AO11</f>
      </c>
    </row>
    <row x14ac:dyDescent="0.25" r="12" customHeight="1" ht="27">
      <c r="A12" s="24">
        <v>8</v>
      </c>
      <c r="B12" s="22" t="s">
        <v>27</v>
      </c>
      <c r="C12" s="23" t="s">
        <v>28</v>
      </c>
      <c r="D12" s="24">
        <v>20</v>
      </c>
      <c r="E12" s="57">
        <v>44000</v>
      </c>
      <c r="F12" s="26">
        <f>D12*E12*98%</f>
      </c>
      <c r="G12" s="90">
        <v>0.02</v>
      </c>
      <c r="H12" s="91">
        <v>40</v>
      </c>
      <c r="I12" s="27">
        <v>64500</v>
      </c>
      <c r="J12" s="92">
        <f>H12*I12</f>
      </c>
      <c r="K12" s="24"/>
      <c r="L12" s="57"/>
      <c r="M12" s="26"/>
      <c r="N12" s="90"/>
      <c r="O12" s="91">
        <v>60</v>
      </c>
      <c r="P12" s="27">
        <v>64500</v>
      </c>
      <c r="Q12" s="92">
        <f>O12*P12</f>
      </c>
      <c r="R12" s="21">
        <v>240</v>
      </c>
      <c r="S12" s="57">
        <v>44000</v>
      </c>
      <c r="T12" s="21">
        <f>R12*S12*98%</f>
      </c>
      <c r="U12" s="90">
        <v>0.02</v>
      </c>
      <c r="V12" s="91">
        <f>50+80</f>
      </c>
      <c r="W12" s="27">
        <v>64500</v>
      </c>
      <c r="X12" s="92">
        <f>V12*W12</f>
      </c>
      <c r="Y12" s="21">
        <v>20</v>
      </c>
      <c r="Z12" s="57">
        <v>44000</v>
      </c>
      <c r="AA12" s="21">
        <f>Y12*Z12</f>
      </c>
      <c r="AB12" s="91">
        <v>20</v>
      </c>
      <c r="AC12" s="27">
        <v>64500</v>
      </c>
      <c r="AD12" s="92">
        <f>AB12*AC12</f>
      </c>
      <c r="AE12" s="95">
        <v>205</v>
      </c>
      <c r="AF12" s="57">
        <v>48400</v>
      </c>
      <c r="AG12" s="95">
        <f>AE12*AF12</f>
      </c>
      <c r="AH12" s="99"/>
      <c r="AI12" s="100"/>
      <c r="AJ12" s="99"/>
      <c r="AK12" s="24">
        <v>55</v>
      </c>
      <c r="AL12" s="57">
        <v>48400</v>
      </c>
      <c r="AM12" s="26">
        <f>AK12*AL12</f>
      </c>
      <c r="AN12" s="99"/>
      <c r="AO12" s="100"/>
      <c r="AP12" s="96">
        <f>AN12*AO12</f>
      </c>
    </row>
    <row x14ac:dyDescent="0.25" r="13" customHeight="1" ht="27">
      <c r="A13" s="24">
        <v>9</v>
      </c>
      <c r="B13" s="22" t="s">
        <v>29</v>
      </c>
      <c r="C13" s="23" t="s">
        <v>30</v>
      </c>
      <c r="D13" s="24">
        <v>100</v>
      </c>
      <c r="E13" s="57">
        <v>49000</v>
      </c>
      <c r="F13" s="26">
        <f>D13*E13*98%</f>
      </c>
      <c r="G13" s="90">
        <v>0.02</v>
      </c>
      <c r="H13" s="91"/>
      <c r="I13" s="27"/>
      <c r="J13" s="92"/>
      <c r="K13" s="24"/>
      <c r="L13" s="57"/>
      <c r="M13" s="26"/>
      <c r="N13" s="90"/>
      <c r="O13" s="99"/>
      <c r="P13" s="100"/>
      <c r="Q13" s="99"/>
      <c r="R13" s="21"/>
      <c r="S13" s="57"/>
      <c r="T13" s="21"/>
      <c r="U13" s="90"/>
      <c r="V13" s="99"/>
      <c r="W13" s="100"/>
      <c r="X13" s="99"/>
      <c r="Y13" s="48"/>
      <c r="Z13" s="93"/>
      <c r="AA13" s="48"/>
      <c r="AB13" s="99"/>
      <c r="AC13" s="100"/>
      <c r="AD13" s="99"/>
      <c r="AE13" s="48"/>
      <c r="AF13" s="48"/>
      <c r="AG13" s="48"/>
      <c r="AH13" s="99"/>
      <c r="AI13" s="100"/>
      <c r="AJ13" s="99"/>
      <c r="AK13" s="48"/>
      <c r="AL13" s="93"/>
      <c r="AM13" s="48"/>
      <c r="AN13" s="99"/>
      <c r="AO13" s="100"/>
      <c r="AP13" s="96">
        <f>AN13*AO13</f>
      </c>
    </row>
    <row x14ac:dyDescent="0.25" r="14" customHeight="1" ht="27">
      <c r="A14" s="24">
        <v>10</v>
      </c>
      <c r="B14" s="22" t="s">
        <v>32</v>
      </c>
      <c r="C14" s="23" t="s">
        <v>33</v>
      </c>
      <c r="D14" s="24"/>
      <c r="E14" s="57"/>
      <c r="F14" s="26"/>
      <c r="G14" s="90"/>
      <c r="H14" s="91"/>
      <c r="I14" s="27"/>
      <c r="J14" s="92"/>
      <c r="K14" s="24"/>
      <c r="L14" s="57"/>
      <c r="M14" s="26"/>
      <c r="N14" s="90"/>
      <c r="O14" s="99"/>
      <c r="P14" s="100"/>
      <c r="Q14" s="99"/>
      <c r="R14" s="21"/>
      <c r="S14" s="57"/>
      <c r="T14" s="21"/>
      <c r="U14" s="90"/>
      <c r="V14" s="99"/>
      <c r="W14" s="100"/>
      <c r="X14" s="99"/>
      <c r="Y14" s="48"/>
      <c r="Z14" s="93"/>
      <c r="AA14" s="48"/>
      <c r="AB14" s="99"/>
      <c r="AC14" s="100"/>
      <c r="AD14" s="99"/>
      <c r="AE14" s="48"/>
      <c r="AF14" s="48"/>
      <c r="AG14" s="48"/>
      <c r="AH14" s="99"/>
      <c r="AI14" s="100"/>
      <c r="AJ14" s="99"/>
      <c r="AK14" s="24">
        <f>65+100</f>
      </c>
      <c r="AL14" s="57">
        <v>56700</v>
      </c>
      <c r="AM14" s="26">
        <f>AK14*AL14</f>
      </c>
      <c r="AN14" s="99"/>
      <c r="AO14" s="100"/>
      <c r="AP14" s="96">
        <f>AN14*AO14</f>
      </c>
    </row>
    <row x14ac:dyDescent="0.25" r="15" customHeight="1" ht="27">
      <c r="A15" s="24">
        <v>11</v>
      </c>
      <c r="B15" s="22" t="s">
        <v>34</v>
      </c>
      <c r="C15" s="23" t="s">
        <v>35</v>
      </c>
      <c r="D15" s="24"/>
      <c r="E15" s="57"/>
      <c r="F15" s="26"/>
      <c r="G15" s="90"/>
      <c r="H15" s="91"/>
      <c r="I15" s="27"/>
      <c r="J15" s="92"/>
      <c r="K15" s="24">
        <v>100</v>
      </c>
      <c r="L15" s="57">
        <v>54500</v>
      </c>
      <c r="M15" s="26">
        <f>K15*L15*98%</f>
      </c>
      <c r="N15" s="90">
        <v>0.02</v>
      </c>
      <c r="O15" s="99"/>
      <c r="P15" s="100"/>
      <c r="Q15" s="99"/>
      <c r="R15" s="21"/>
      <c r="S15" s="57"/>
      <c r="T15" s="21"/>
      <c r="U15" s="90"/>
      <c r="V15" s="91">
        <v>50</v>
      </c>
      <c r="W15" s="27">
        <v>76500</v>
      </c>
      <c r="X15" s="92">
        <f>V15*W15</f>
      </c>
      <c r="Y15" s="48"/>
      <c r="Z15" s="93"/>
      <c r="AA15" s="48"/>
      <c r="AB15" s="99"/>
      <c r="AC15" s="100"/>
      <c r="AD15" s="99"/>
      <c r="AE15" s="95">
        <v>55</v>
      </c>
      <c r="AF15" s="57">
        <v>60000</v>
      </c>
      <c r="AG15" s="95">
        <f>AE15*AF15</f>
      </c>
      <c r="AH15" s="99"/>
      <c r="AI15" s="100"/>
      <c r="AJ15" s="99"/>
      <c r="AK15" s="48"/>
      <c r="AL15" s="93"/>
      <c r="AM15" s="48"/>
      <c r="AN15" s="99"/>
      <c r="AO15" s="100"/>
      <c r="AP15" s="96">
        <f>AN15*AO15</f>
      </c>
    </row>
    <row x14ac:dyDescent="0.25" r="16" customHeight="1" ht="27">
      <c r="A16" s="24">
        <v>12</v>
      </c>
      <c r="B16" s="22" t="s">
        <v>37</v>
      </c>
      <c r="C16" s="23" t="s">
        <v>38</v>
      </c>
      <c r="D16" s="24"/>
      <c r="E16" s="57"/>
      <c r="F16" s="26"/>
      <c r="G16" s="90"/>
      <c r="H16" s="91"/>
      <c r="I16" s="27"/>
      <c r="J16" s="92"/>
      <c r="K16" s="24"/>
      <c r="L16" s="57"/>
      <c r="M16" s="26"/>
      <c r="N16" s="90"/>
      <c r="O16" s="91">
        <v>20</v>
      </c>
      <c r="P16" s="27">
        <v>79000</v>
      </c>
      <c r="Q16" s="92">
        <f>O16*P16</f>
      </c>
      <c r="R16" s="21">
        <v>130</v>
      </c>
      <c r="S16" s="57">
        <v>53500</v>
      </c>
      <c r="T16" s="21">
        <f>R16*S16*98%</f>
      </c>
      <c r="U16" s="90">
        <v>0.02</v>
      </c>
      <c r="V16" s="91">
        <v>30</v>
      </c>
      <c r="W16" s="27">
        <v>79000</v>
      </c>
      <c r="X16" s="92">
        <f>V16*W16</f>
      </c>
      <c r="Y16" s="48"/>
      <c r="Z16" s="93"/>
      <c r="AA16" s="48"/>
      <c r="AB16" s="91">
        <v>50</v>
      </c>
      <c r="AC16" s="27">
        <v>79000</v>
      </c>
      <c r="AD16" s="92">
        <f>AB16*AC16</f>
      </c>
      <c r="AE16" s="48"/>
      <c r="AF16" s="48"/>
      <c r="AG16" s="48"/>
      <c r="AH16" s="99"/>
      <c r="AI16" s="100"/>
      <c r="AJ16" s="99"/>
      <c r="AK16" s="24">
        <v>50</v>
      </c>
      <c r="AL16" s="57">
        <v>58900</v>
      </c>
      <c r="AM16" s="26">
        <f>AK16*AL16</f>
      </c>
      <c r="AN16" s="99"/>
      <c r="AO16" s="100"/>
      <c r="AP16" s="96">
        <f>AN16*AO16</f>
      </c>
    </row>
    <row x14ac:dyDescent="0.25" r="17" customHeight="1" ht="27">
      <c r="A17" s="24">
        <v>13</v>
      </c>
      <c r="B17" s="22" t="s">
        <v>39</v>
      </c>
      <c r="C17" s="23" t="s">
        <v>40</v>
      </c>
      <c r="D17" s="24">
        <f>100+200</f>
      </c>
      <c r="E17" s="57">
        <v>54000</v>
      </c>
      <c r="F17" s="26">
        <f>D17*E17*98%</f>
      </c>
      <c r="G17" s="90">
        <v>0.02</v>
      </c>
      <c r="H17" s="91"/>
      <c r="I17" s="27"/>
      <c r="J17" s="92"/>
      <c r="K17" s="24"/>
      <c r="L17" s="57"/>
      <c r="M17" s="26"/>
      <c r="N17" s="90"/>
      <c r="O17" s="99"/>
      <c r="P17" s="100"/>
      <c r="Q17" s="99"/>
      <c r="R17" s="21">
        <v>50</v>
      </c>
      <c r="S17" s="57">
        <v>54000</v>
      </c>
      <c r="T17" s="21">
        <f>R17*S17*98%</f>
      </c>
      <c r="U17" s="90">
        <v>0.02</v>
      </c>
      <c r="V17" s="91">
        <f>50+41</f>
      </c>
      <c r="W17" s="27">
        <v>79500</v>
      </c>
      <c r="X17" s="92">
        <f>V17*W17</f>
      </c>
      <c r="Y17" s="21">
        <v>50</v>
      </c>
      <c r="Z17" s="57">
        <v>54000</v>
      </c>
      <c r="AA17" s="21">
        <f>Y17*Z17</f>
      </c>
      <c r="AB17" s="99"/>
      <c r="AC17" s="100"/>
      <c r="AD17" s="99"/>
      <c r="AE17" s="95">
        <v>200</v>
      </c>
      <c r="AF17" s="57">
        <v>59400</v>
      </c>
      <c r="AG17" s="95">
        <f>AE17*AF17</f>
      </c>
      <c r="AH17" s="91">
        <v>50</v>
      </c>
      <c r="AI17" s="27">
        <v>79500</v>
      </c>
      <c r="AJ17" s="92">
        <f>AH17*AI17</f>
      </c>
      <c r="AK17" s="48"/>
      <c r="AL17" s="93"/>
      <c r="AM17" s="48"/>
      <c r="AN17" s="91"/>
      <c r="AO17" s="27"/>
      <c r="AP17" s="96">
        <f>AN17*AO17</f>
      </c>
    </row>
    <row x14ac:dyDescent="0.25" r="18" customHeight="1" ht="27">
      <c r="A18" s="24">
        <v>14</v>
      </c>
      <c r="B18" s="22" t="s">
        <v>42</v>
      </c>
      <c r="C18" s="23" t="s">
        <v>43</v>
      </c>
      <c r="D18" s="24"/>
      <c r="E18" s="57"/>
      <c r="F18" s="26"/>
      <c r="G18" s="90"/>
      <c r="H18" s="91"/>
      <c r="I18" s="27"/>
      <c r="J18" s="92"/>
      <c r="K18" s="24"/>
      <c r="L18" s="57"/>
      <c r="M18" s="26"/>
      <c r="N18" s="90"/>
      <c r="O18" s="99"/>
      <c r="P18" s="100"/>
      <c r="Q18" s="99"/>
      <c r="R18" s="21">
        <v>30</v>
      </c>
      <c r="S18" s="57">
        <v>68500</v>
      </c>
      <c r="T18" s="21">
        <f>R18*S18*98%</f>
      </c>
      <c r="U18" s="90">
        <v>0.02</v>
      </c>
      <c r="V18" s="99"/>
      <c r="W18" s="100"/>
      <c r="X18" s="99"/>
      <c r="Y18" s="48"/>
      <c r="Z18" s="93"/>
      <c r="AA18" s="48"/>
      <c r="AB18" s="91">
        <v>40</v>
      </c>
      <c r="AC18" s="27">
        <v>100000</v>
      </c>
      <c r="AD18" s="92">
        <f>AB18*AC18</f>
      </c>
      <c r="AE18" s="48"/>
      <c r="AF18" s="48"/>
      <c r="AG18" s="48"/>
      <c r="AH18" s="99"/>
      <c r="AI18" s="100"/>
      <c r="AJ18" s="99"/>
      <c r="AK18" s="24">
        <v>35</v>
      </c>
      <c r="AL18" s="57">
        <v>75400</v>
      </c>
      <c r="AM18" s="26">
        <f>AK18*AL18</f>
      </c>
      <c r="AN18" s="99"/>
      <c r="AO18" s="100"/>
      <c r="AP18" s="96">
        <f>AN18*AO18</f>
      </c>
    </row>
    <row x14ac:dyDescent="0.25" r="19" customHeight="1" ht="27">
      <c r="A19" s="24">
        <v>15</v>
      </c>
      <c r="B19" s="22" t="s">
        <v>44</v>
      </c>
      <c r="C19" s="23" t="s">
        <v>45</v>
      </c>
      <c r="D19" s="24">
        <f>40+80</f>
      </c>
      <c r="E19" s="57">
        <v>59500</v>
      </c>
      <c r="F19" s="26">
        <f>D19*E19*98%</f>
      </c>
      <c r="G19" s="90">
        <v>0.02</v>
      </c>
      <c r="H19" s="91">
        <f>150+30</f>
      </c>
      <c r="I19" s="27">
        <v>84500</v>
      </c>
      <c r="J19" s="92">
        <f>H19*I19</f>
      </c>
      <c r="K19" s="24">
        <f>245+130</f>
      </c>
      <c r="L19" s="57">
        <v>59500</v>
      </c>
      <c r="M19" s="26">
        <f>K19*L19*98%</f>
      </c>
      <c r="N19" s="90">
        <v>0.02</v>
      </c>
      <c r="O19" s="91">
        <f>30+150</f>
      </c>
      <c r="P19" s="27">
        <v>84500</v>
      </c>
      <c r="Q19" s="92">
        <f>O19*P19</f>
      </c>
      <c r="R19" s="21">
        <v>120</v>
      </c>
      <c r="S19" s="57">
        <v>59500</v>
      </c>
      <c r="T19" s="21">
        <f>R19*S19*98%</f>
      </c>
      <c r="U19" s="90">
        <v>0.02</v>
      </c>
      <c r="V19" s="91">
        <f>150+40</f>
      </c>
      <c r="W19" s="27">
        <v>84500</v>
      </c>
      <c r="X19" s="92">
        <f>V19*W19</f>
      </c>
      <c r="Y19" s="21">
        <f>240+56</f>
      </c>
      <c r="Z19" s="57">
        <v>59500</v>
      </c>
      <c r="AA19" s="21">
        <f>Y19*Z19</f>
      </c>
      <c r="AB19" s="91">
        <v>50</v>
      </c>
      <c r="AC19" s="27">
        <v>84500</v>
      </c>
      <c r="AD19" s="92">
        <v>4225000</v>
      </c>
      <c r="AE19" s="95">
        <v>184</v>
      </c>
      <c r="AF19" s="57">
        <v>65500</v>
      </c>
      <c r="AG19" s="95">
        <f>AE19*AF19</f>
      </c>
      <c r="AH19" s="91">
        <f>50+50</f>
      </c>
      <c r="AI19" s="27">
        <v>84500</v>
      </c>
      <c r="AJ19" s="92">
        <f>AH19*AI19</f>
      </c>
      <c r="AK19" s="24">
        <f>50+230</f>
      </c>
      <c r="AL19" s="57">
        <v>65500</v>
      </c>
      <c r="AM19" s="26">
        <f>AK19*AL19</f>
      </c>
      <c r="AN19" s="91">
        <v>150</v>
      </c>
      <c r="AO19" s="27">
        <v>84500</v>
      </c>
      <c r="AP19" s="96">
        <f>AN19*AO19</f>
      </c>
    </row>
    <row x14ac:dyDescent="0.25" r="20" customHeight="1" ht="27">
      <c r="A20" s="24">
        <v>16</v>
      </c>
      <c r="B20" s="22" t="s">
        <v>46</v>
      </c>
      <c r="C20" s="23" t="s">
        <v>47</v>
      </c>
      <c r="D20" s="24">
        <f>56+140</f>
      </c>
      <c r="E20" s="57">
        <v>62500</v>
      </c>
      <c r="F20" s="26">
        <f>D20*E20*98%</f>
      </c>
      <c r="G20" s="90">
        <v>0.02</v>
      </c>
      <c r="H20" s="91">
        <f>223+80</f>
      </c>
      <c r="I20" s="27">
        <v>90000</v>
      </c>
      <c r="J20" s="92">
        <f>H20*I20</f>
      </c>
      <c r="K20" s="24">
        <f>210+55</f>
      </c>
      <c r="L20" s="57">
        <v>62500</v>
      </c>
      <c r="M20" s="26">
        <f>K20*L20*98%</f>
      </c>
      <c r="N20" s="90">
        <v>0.02</v>
      </c>
      <c r="O20" s="91">
        <f>70+330</f>
      </c>
      <c r="P20" s="27">
        <v>90000</v>
      </c>
      <c r="Q20" s="92">
        <f>O20*P20</f>
      </c>
      <c r="R20" s="21">
        <v>199</v>
      </c>
      <c r="S20" s="57">
        <v>62500</v>
      </c>
      <c r="T20" s="21">
        <f>R20*S20*98%</f>
      </c>
      <c r="U20" s="90">
        <v>0.02</v>
      </c>
      <c r="V20" s="91">
        <v>300</v>
      </c>
      <c r="W20" s="27">
        <v>90000</v>
      </c>
      <c r="X20" s="92">
        <f>V20*W20</f>
      </c>
      <c r="Y20" s="21">
        <f>250+47</f>
      </c>
      <c r="Z20" s="57">
        <v>62500</v>
      </c>
      <c r="AA20" s="21">
        <f>Y20*Z20</f>
      </c>
      <c r="AB20" s="91">
        <v>100</v>
      </c>
      <c r="AC20" s="27">
        <v>90000</v>
      </c>
      <c r="AD20" s="92">
        <v>9000000</v>
      </c>
      <c r="AE20" s="95">
        <v>318</v>
      </c>
      <c r="AF20" s="57">
        <v>68800</v>
      </c>
      <c r="AG20" s="95">
        <f>AE20*AF20</f>
      </c>
      <c r="AH20" s="91">
        <f>50+147</f>
      </c>
      <c r="AI20" s="27">
        <v>90000</v>
      </c>
      <c r="AJ20" s="92">
        <f>AH20*AI20</f>
      </c>
      <c r="AK20" s="24">
        <f>30+545</f>
      </c>
      <c r="AL20" s="57">
        <v>68800</v>
      </c>
      <c r="AM20" s="26">
        <f>AK20*AL20</f>
      </c>
      <c r="AN20" s="91">
        <v>200</v>
      </c>
      <c r="AO20" s="27">
        <v>90000</v>
      </c>
      <c r="AP20" s="96">
        <f>AN20*AO20</f>
      </c>
    </row>
    <row x14ac:dyDescent="0.25" r="21" customHeight="1" ht="27">
      <c r="A21" s="24">
        <v>17</v>
      </c>
      <c r="B21" s="22" t="s">
        <v>48</v>
      </c>
      <c r="C21" s="23" t="s">
        <v>49</v>
      </c>
      <c r="D21" s="24"/>
      <c r="E21" s="57"/>
      <c r="F21" s="26"/>
      <c r="G21" s="90"/>
      <c r="H21" s="91"/>
      <c r="I21" s="27"/>
      <c r="J21" s="92"/>
      <c r="K21" s="24"/>
      <c r="L21" s="57"/>
      <c r="M21" s="26"/>
      <c r="N21" s="90"/>
      <c r="O21" s="99"/>
      <c r="P21" s="100"/>
      <c r="Q21" s="99"/>
      <c r="R21" s="21"/>
      <c r="S21" s="57"/>
      <c r="T21" s="21"/>
      <c r="U21" s="90"/>
      <c r="V21" s="99"/>
      <c r="W21" s="100"/>
      <c r="X21" s="99"/>
      <c r="Y21" s="48"/>
      <c r="Z21" s="93"/>
      <c r="AA21" s="48"/>
      <c r="AB21" s="99"/>
      <c r="AC21" s="100"/>
      <c r="AD21" s="99"/>
      <c r="AE21" s="48"/>
      <c r="AF21" s="48"/>
      <c r="AG21" s="48"/>
      <c r="AH21" s="99"/>
      <c r="AI21" s="100"/>
      <c r="AJ21" s="99"/>
      <c r="AK21" s="48"/>
      <c r="AL21" s="93"/>
      <c r="AM21" s="48"/>
      <c r="AN21" s="99"/>
      <c r="AO21" s="100"/>
      <c r="AP21" s="96">
        <f>AN21*AO21</f>
      </c>
    </row>
    <row x14ac:dyDescent="0.25" r="22" customHeight="1" ht="27">
      <c r="A22" s="24">
        <v>18</v>
      </c>
      <c r="B22" s="22" t="s">
        <v>50</v>
      </c>
      <c r="C22" s="23" t="s">
        <v>51</v>
      </c>
      <c r="D22" s="24"/>
      <c r="E22" s="57"/>
      <c r="F22" s="26"/>
      <c r="G22" s="90"/>
      <c r="H22" s="91"/>
      <c r="I22" s="27"/>
      <c r="J22" s="92"/>
      <c r="K22" s="24"/>
      <c r="L22" s="57"/>
      <c r="M22" s="26"/>
      <c r="N22" s="90"/>
      <c r="O22" s="99"/>
      <c r="P22" s="100"/>
      <c r="Q22" s="99"/>
      <c r="R22" s="21"/>
      <c r="S22" s="57"/>
      <c r="T22" s="21"/>
      <c r="U22" s="90"/>
      <c r="V22" s="99"/>
      <c r="W22" s="100"/>
      <c r="X22" s="99"/>
      <c r="Y22" s="48"/>
      <c r="Z22" s="93"/>
      <c r="AA22" s="48"/>
      <c r="AB22" s="99"/>
      <c r="AC22" s="100"/>
      <c r="AD22" s="99"/>
      <c r="AE22" s="48"/>
      <c r="AF22" s="48"/>
      <c r="AG22" s="48"/>
      <c r="AH22" s="99"/>
      <c r="AI22" s="100"/>
      <c r="AJ22" s="99"/>
      <c r="AK22" s="48"/>
      <c r="AL22" s="93"/>
      <c r="AM22" s="48"/>
      <c r="AN22" s="99"/>
      <c r="AO22" s="100"/>
      <c r="AP22" s="96">
        <f>AN22*AO22</f>
      </c>
    </row>
    <row x14ac:dyDescent="0.25" r="23" customHeight="1" ht="27">
      <c r="A23" s="24">
        <v>19</v>
      </c>
      <c r="B23" s="22" t="s">
        <v>52</v>
      </c>
      <c r="C23" s="23" t="s">
        <v>53</v>
      </c>
      <c r="D23" s="24"/>
      <c r="E23" s="57"/>
      <c r="F23" s="26"/>
      <c r="G23" s="90"/>
      <c r="H23" s="91"/>
      <c r="I23" s="27"/>
      <c r="J23" s="92"/>
      <c r="K23" s="24"/>
      <c r="L23" s="57"/>
      <c r="M23" s="26"/>
      <c r="N23" s="90"/>
      <c r="O23" s="99"/>
      <c r="P23" s="100"/>
      <c r="Q23" s="99"/>
      <c r="R23" s="21">
        <v>50</v>
      </c>
      <c r="S23" s="57">
        <v>91500</v>
      </c>
      <c r="T23" s="21">
        <f>R23*S23*98%</f>
      </c>
      <c r="U23" s="90">
        <v>0.02</v>
      </c>
      <c r="V23" s="99"/>
      <c r="W23" s="100"/>
      <c r="X23" s="99"/>
      <c r="Y23" s="21">
        <v>25</v>
      </c>
      <c r="Z23" s="57">
        <v>91500</v>
      </c>
      <c r="AA23" s="21">
        <f>Y23*Z23</f>
      </c>
      <c r="AB23" s="99"/>
      <c r="AC23" s="100"/>
      <c r="AD23" s="99"/>
      <c r="AE23" s="95">
        <v>180</v>
      </c>
      <c r="AF23" s="57">
        <v>100700</v>
      </c>
      <c r="AG23" s="95">
        <f>AE23*AF23</f>
      </c>
      <c r="AH23" s="99"/>
      <c r="AI23" s="100"/>
      <c r="AJ23" s="99"/>
      <c r="AK23" s="24">
        <f>20+150</f>
      </c>
      <c r="AL23" s="57">
        <v>100700</v>
      </c>
      <c r="AM23" s="26">
        <f>AK23*AL23</f>
      </c>
      <c r="AN23" s="99"/>
      <c r="AO23" s="100"/>
      <c r="AP23" s="96">
        <f>AN23*AO23</f>
      </c>
    </row>
    <row x14ac:dyDescent="0.25" r="24" customHeight="1" ht="27">
      <c r="A24" s="24">
        <v>20</v>
      </c>
      <c r="B24" s="22" t="s">
        <v>54</v>
      </c>
      <c r="C24" s="23" t="s">
        <v>55</v>
      </c>
      <c r="D24" s="24"/>
      <c r="E24" s="57"/>
      <c r="F24" s="26"/>
      <c r="G24" s="90"/>
      <c r="H24" s="91"/>
      <c r="I24" s="27"/>
      <c r="J24" s="92"/>
      <c r="K24" s="24"/>
      <c r="L24" s="57"/>
      <c r="M24" s="26"/>
      <c r="N24" s="90"/>
      <c r="O24" s="99"/>
      <c r="P24" s="100"/>
      <c r="Q24" s="99"/>
      <c r="R24" s="21"/>
      <c r="S24" s="57"/>
      <c r="T24" s="21"/>
      <c r="U24" s="90"/>
      <c r="V24" s="99"/>
      <c r="W24" s="100"/>
      <c r="X24" s="99"/>
      <c r="Y24" s="48"/>
      <c r="Z24" s="93"/>
      <c r="AA24" s="48"/>
      <c r="AB24" s="99"/>
      <c r="AC24" s="100"/>
      <c r="AD24" s="99"/>
      <c r="AE24" s="95">
        <v>70</v>
      </c>
      <c r="AF24" s="57">
        <v>102300</v>
      </c>
      <c r="AG24" s="95">
        <f>AE24*AF24</f>
      </c>
      <c r="AH24" s="99"/>
      <c r="AI24" s="100"/>
      <c r="AJ24" s="99"/>
      <c r="AK24" s="24">
        <f>10+155</f>
      </c>
      <c r="AL24" s="57">
        <v>102300</v>
      </c>
      <c r="AM24" s="26">
        <f>AK24*AL24</f>
      </c>
      <c r="AN24" s="99"/>
      <c r="AO24" s="100"/>
      <c r="AP24" s="96">
        <f>AN24*AO24</f>
      </c>
    </row>
    <row x14ac:dyDescent="0.25" r="25" customHeight="1" ht="27">
      <c r="A25" s="24">
        <v>21</v>
      </c>
      <c r="B25" s="22" t="s">
        <v>56</v>
      </c>
      <c r="C25" s="23" t="s">
        <v>57</v>
      </c>
      <c r="D25" s="24"/>
      <c r="E25" s="57"/>
      <c r="F25" s="26"/>
      <c r="G25" s="90"/>
      <c r="H25" s="91">
        <v>30</v>
      </c>
      <c r="I25" s="27">
        <v>159000</v>
      </c>
      <c r="J25" s="92">
        <f>H25*I25</f>
      </c>
      <c r="K25" s="24"/>
      <c r="L25" s="57"/>
      <c r="M25" s="26"/>
      <c r="N25" s="90"/>
      <c r="O25" s="99"/>
      <c r="P25" s="100"/>
      <c r="Q25" s="99"/>
      <c r="R25" s="21"/>
      <c r="S25" s="57"/>
      <c r="T25" s="21"/>
      <c r="U25" s="90"/>
      <c r="V25" s="91">
        <v>80</v>
      </c>
      <c r="W25" s="27">
        <v>159000</v>
      </c>
      <c r="X25" s="92">
        <f>V25*W25</f>
      </c>
      <c r="Y25" s="48"/>
      <c r="Z25" s="93"/>
      <c r="AA25" s="48"/>
      <c r="AB25" s="99"/>
      <c r="AC25" s="100"/>
      <c r="AD25" s="99"/>
      <c r="AE25" s="95">
        <v>55</v>
      </c>
      <c r="AF25" s="57">
        <v>114400</v>
      </c>
      <c r="AG25" s="95">
        <f>AE25*AF25</f>
      </c>
      <c r="AH25" s="99"/>
      <c r="AI25" s="100"/>
      <c r="AJ25" s="99"/>
      <c r="AK25" s="24">
        <v>45</v>
      </c>
      <c r="AL25" s="57">
        <v>114400</v>
      </c>
      <c r="AM25" s="26">
        <f>AK25*AL25</f>
      </c>
      <c r="AN25" s="99"/>
      <c r="AO25" s="100"/>
      <c r="AP25" s="96">
        <f>AN25*AO25</f>
      </c>
    </row>
    <row x14ac:dyDescent="0.25" r="26" customHeight="1" ht="27">
      <c r="A26" s="24">
        <v>22</v>
      </c>
      <c r="B26" s="22" t="s">
        <v>58</v>
      </c>
      <c r="C26" s="23" t="s">
        <v>59</v>
      </c>
      <c r="D26" s="24">
        <f>100+100</f>
      </c>
      <c r="E26" s="57">
        <v>78000</v>
      </c>
      <c r="F26" s="26">
        <f>D26*E26*98%</f>
      </c>
      <c r="G26" s="90">
        <v>0.02</v>
      </c>
      <c r="H26" s="91"/>
      <c r="I26" s="27"/>
      <c r="J26" s="92"/>
      <c r="K26" s="24"/>
      <c r="L26" s="57"/>
      <c r="M26" s="26"/>
      <c r="N26" s="90"/>
      <c r="O26" s="91">
        <f>31+100</f>
      </c>
      <c r="P26" s="27">
        <v>118000</v>
      </c>
      <c r="Q26" s="92">
        <f>O26*P26</f>
      </c>
      <c r="R26" s="21">
        <v>100</v>
      </c>
      <c r="S26" s="57">
        <v>78000</v>
      </c>
      <c r="T26" s="21">
        <f>R26*S26*98%</f>
      </c>
      <c r="U26" s="90">
        <v>0.02</v>
      </c>
      <c r="V26" s="91">
        <v>45</v>
      </c>
      <c r="W26" s="27">
        <v>118000</v>
      </c>
      <c r="X26" s="92">
        <f>V26*W26</f>
      </c>
      <c r="Y26" s="21">
        <v>15</v>
      </c>
      <c r="Z26" s="57">
        <v>78000</v>
      </c>
      <c r="AA26" s="21">
        <f>Y26*Z26</f>
      </c>
      <c r="AB26" s="91">
        <f>50+24</f>
      </c>
      <c r="AC26" s="27">
        <v>118000</v>
      </c>
      <c r="AD26" s="92">
        <f>AB26*AC26</f>
      </c>
      <c r="AE26" s="48"/>
      <c r="AF26" s="48"/>
      <c r="AG26" s="48"/>
      <c r="AH26" s="91">
        <v>30</v>
      </c>
      <c r="AI26" s="27">
        <v>118000</v>
      </c>
      <c r="AJ26" s="92">
        <f>AH26*AI26</f>
      </c>
      <c r="AK26" s="24">
        <f>50+180</f>
      </c>
      <c r="AL26" s="57">
        <v>85800</v>
      </c>
      <c r="AM26" s="26">
        <f>AK26*AL26</f>
      </c>
      <c r="AN26" s="91"/>
      <c r="AO26" s="27"/>
      <c r="AP26" s="96">
        <f>AN26*AO26</f>
      </c>
    </row>
    <row x14ac:dyDescent="0.25" r="27" customHeight="1" ht="27">
      <c r="A27" s="24">
        <v>23</v>
      </c>
      <c r="B27" s="22" t="s">
        <v>61</v>
      </c>
      <c r="C27" s="23" t="s">
        <v>62</v>
      </c>
      <c r="D27" s="24">
        <f>100+129</f>
      </c>
      <c r="E27" s="57">
        <v>79000</v>
      </c>
      <c r="F27" s="26">
        <f>D27*E27*98%</f>
      </c>
      <c r="G27" s="90">
        <v>0.02</v>
      </c>
      <c r="H27" s="91">
        <f>50+50</f>
      </c>
      <c r="I27" s="27">
        <v>119000</v>
      </c>
      <c r="J27" s="92">
        <f>H27*I27</f>
      </c>
      <c r="K27" s="24">
        <f>155+90</f>
      </c>
      <c r="L27" s="57">
        <v>79000</v>
      </c>
      <c r="M27" s="26">
        <f>K27*L27*98%</f>
      </c>
      <c r="N27" s="90">
        <v>0.02</v>
      </c>
      <c r="O27" s="91">
        <f>60+100</f>
      </c>
      <c r="P27" s="27">
        <v>119000</v>
      </c>
      <c r="Q27" s="92">
        <f>O27*P27</f>
      </c>
      <c r="R27" s="21">
        <v>140</v>
      </c>
      <c r="S27" s="57">
        <v>79000</v>
      </c>
      <c r="T27" s="21">
        <f>R27*S27*98%</f>
      </c>
      <c r="U27" s="90">
        <v>0.02</v>
      </c>
      <c r="V27" s="91">
        <f>50+40</f>
      </c>
      <c r="W27" s="27">
        <v>119000</v>
      </c>
      <c r="X27" s="92">
        <f>V27*W27</f>
      </c>
      <c r="Y27" s="21">
        <v>15</v>
      </c>
      <c r="Z27" s="57">
        <v>79000</v>
      </c>
      <c r="AA27" s="21">
        <f>Y27*Z27</f>
      </c>
      <c r="AB27" s="91">
        <v>50</v>
      </c>
      <c r="AC27" s="27">
        <v>119000</v>
      </c>
      <c r="AD27" s="92">
        <v>5950000</v>
      </c>
      <c r="AE27" s="95">
        <v>170</v>
      </c>
      <c r="AF27" s="57">
        <v>86900</v>
      </c>
      <c r="AG27" s="95">
        <f>AE27*AF27</f>
      </c>
      <c r="AH27" s="91">
        <v>50</v>
      </c>
      <c r="AI27" s="27">
        <v>119000</v>
      </c>
      <c r="AJ27" s="92">
        <f>AH27*AI27</f>
      </c>
      <c r="AK27" s="24">
        <f>85+145</f>
      </c>
      <c r="AL27" s="57">
        <v>86900</v>
      </c>
      <c r="AM27" s="26">
        <f>AK27*AL27</f>
      </c>
      <c r="AN27" s="91"/>
      <c r="AO27" s="27"/>
      <c r="AP27" s="96">
        <f>AN27*AO27</f>
      </c>
    </row>
    <row x14ac:dyDescent="0.25" r="28" customHeight="1" ht="27">
      <c r="A28" s="24">
        <v>24</v>
      </c>
      <c r="B28" s="22" t="s">
        <v>64</v>
      </c>
      <c r="C28" s="23" t="s">
        <v>65</v>
      </c>
      <c r="D28" s="24">
        <v>60</v>
      </c>
      <c r="E28" s="57">
        <v>87500</v>
      </c>
      <c r="F28" s="26">
        <f>D28*E28*98%</f>
      </c>
      <c r="G28" s="90">
        <v>0.02</v>
      </c>
      <c r="H28" s="91"/>
      <c r="I28" s="27"/>
      <c r="J28" s="92"/>
      <c r="K28" s="24">
        <v>11</v>
      </c>
      <c r="L28" s="57">
        <v>87500</v>
      </c>
      <c r="M28" s="26">
        <f>K28*L28*98%</f>
      </c>
      <c r="N28" s="90">
        <v>0.02</v>
      </c>
      <c r="O28" s="91">
        <v>50</v>
      </c>
      <c r="P28" s="27">
        <v>128000</v>
      </c>
      <c r="Q28" s="92">
        <f>O28*P28</f>
      </c>
      <c r="R28" s="21">
        <v>29</v>
      </c>
      <c r="S28" s="57">
        <v>87500</v>
      </c>
      <c r="T28" s="21">
        <f>R28*S28*98%</f>
      </c>
      <c r="U28" s="90">
        <v>0.02</v>
      </c>
      <c r="V28" s="91">
        <v>50</v>
      </c>
      <c r="W28" s="27">
        <v>128000</v>
      </c>
      <c r="X28" s="92">
        <f>V28*W28</f>
      </c>
      <c r="Y28" s="48"/>
      <c r="Z28" s="93"/>
      <c r="AA28" s="48"/>
      <c r="AB28" s="99"/>
      <c r="AC28" s="100"/>
      <c r="AD28" s="99"/>
      <c r="AE28" s="48"/>
      <c r="AF28" s="48"/>
      <c r="AG28" s="48"/>
      <c r="AH28" s="91">
        <v>30</v>
      </c>
      <c r="AI28" s="27">
        <v>128000</v>
      </c>
      <c r="AJ28" s="92">
        <f>AH28*AI28</f>
      </c>
      <c r="AK28" s="24">
        <f>35+100</f>
      </c>
      <c r="AL28" s="57">
        <v>96300</v>
      </c>
      <c r="AM28" s="26">
        <f>AK28*AL28</f>
      </c>
      <c r="AN28" s="91"/>
      <c r="AO28" s="27"/>
      <c r="AP28" s="96">
        <f>AN28*AO28</f>
      </c>
    </row>
    <row x14ac:dyDescent="0.25" r="29" customHeight="1" ht="27">
      <c r="A29" s="24">
        <v>25</v>
      </c>
      <c r="B29" s="22" t="s">
        <v>67</v>
      </c>
      <c r="C29" s="23" t="s">
        <v>68</v>
      </c>
      <c r="D29" s="24"/>
      <c r="E29" s="57"/>
      <c r="F29" s="26"/>
      <c r="G29" s="90"/>
      <c r="H29" s="91"/>
      <c r="I29" s="27"/>
      <c r="J29" s="92"/>
      <c r="K29" s="24"/>
      <c r="L29" s="57"/>
      <c r="M29" s="26"/>
      <c r="N29" s="90"/>
      <c r="O29" s="99"/>
      <c r="P29" s="100"/>
      <c r="Q29" s="99"/>
      <c r="R29" s="21"/>
      <c r="S29" s="57"/>
      <c r="T29" s="21"/>
      <c r="U29" s="90"/>
      <c r="V29" s="99"/>
      <c r="W29" s="100"/>
      <c r="X29" s="99"/>
      <c r="Y29" s="48"/>
      <c r="Z29" s="93"/>
      <c r="AA29" s="48"/>
      <c r="AB29" s="99"/>
      <c r="AC29" s="100"/>
      <c r="AD29" s="99"/>
      <c r="AE29" s="48"/>
      <c r="AF29" s="48"/>
      <c r="AG29" s="48"/>
      <c r="AH29" s="99"/>
      <c r="AI29" s="100"/>
      <c r="AJ29" s="99"/>
      <c r="AK29" s="48"/>
      <c r="AL29" s="93"/>
      <c r="AM29" s="48"/>
      <c r="AN29" s="99"/>
      <c r="AO29" s="100"/>
      <c r="AP29" s="96">
        <f>AN29*AO29</f>
      </c>
    </row>
    <row x14ac:dyDescent="0.25" r="30" customHeight="1" ht="27">
      <c r="A30" s="24">
        <v>26</v>
      </c>
      <c r="B30" s="22" t="s">
        <v>69</v>
      </c>
      <c r="C30" s="23" t="s">
        <v>70</v>
      </c>
      <c r="D30" s="24"/>
      <c r="E30" s="57"/>
      <c r="F30" s="26"/>
      <c r="G30" s="90"/>
      <c r="H30" s="91"/>
      <c r="I30" s="27"/>
      <c r="J30" s="92"/>
      <c r="K30" s="24"/>
      <c r="L30" s="57"/>
      <c r="M30" s="26"/>
      <c r="N30" s="90"/>
      <c r="O30" s="99"/>
      <c r="P30" s="100"/>
      <c r="Q30" s="99"/>
      <c r="R30" s="21"/>
      <c r="S30" s="57"/>
      <c r="T30" s="21"/>
      <c r="U30" s="90"/>
      <c r="V30" s="99"/>
      <c r="W30" s="100"/>
      <c r="X30" s="99"/>
      <c r="Y30" s="48"/>
      <c r="Z30" s="93"/>
      <c r="AA30" s="48"/>
      <c r="AB30" s="99"/>
      <c r="AC30" s="100"/>
      <c r="AD30" s="99"/>
      <c r="AE30" s="48"/>
      <c r="AF30" s="48"/>
      <c r="AG30" s="48"/>
      <c r="AH30" s="91">
        <v>20</v>
      </c>
      <c r="AI30" s="27">
        <v>140000</v>
      </c>
      <c r="AJ30" s="92">
        <f>AH30*AI30</f>
      </c>
      <c r="AK30" s="48"/>
      <c r="AL30" s="93"/>
      <c r="AM30" s="48"/>
      <c r="AN30" s="91">
        <v>20</v>
      </c>
      <c r="AO30" s="27">
        <v>140000</v>
      </c>
      <c r="AP30" s="96">
        <f>AN30*AO30</f>
      </c>
    </row>
    <row x14ac:dyDescent="0.25" r="31" customHeight="1" ht="27">
      <c r="A31" s="24">
        <v>27</v>
      </c>
      <c r="B31" s="22" t="s">
        <v>72</v>
      </c>
      <c r="C31" s="23" t="s">
        <v>73</v>
      </c>
      <c r="D31" s="24">
        <v>70</v>
      </c>
      <c r="E31" s="57">
        <v>93500</v>
      </c>
      <c r="F31" s="26">
        <f>D31*E31*98%</f>
      </c>
      <c r="G31" s="90">
        <v>0.02</v>
      </c>
      <c r="H31" s="91"/>
      <c r="I31" s="27"/>
      <c r="J31" s="92"/>
      <c r="K31" s="24"/>
      <c r="L31" s="57"/>
      <c r="M31" s="26"/>
      <c r="N31" s="90"/>
      <c r="O31" s="91">
        <v>50</v>
      </c>
      <c r="P31" s="27">
        <v>134500</v>
      </c>
      <c r="Q31" s="92">
        <f>O31*P31</f>
      </c>
      <c r="R31" s="21">
        <v>120</v>
      </c>
      <c r="S31" s="57">
        <v>93500</v>
      </c>
      <c r="T31" s="21">
        <f>R31*S31*98%</f>
      </c>
      <c r="U31" s="90">
        <v>0.02</v>
      </c>
      <c r="V31" s="91">
        <f>50+50</f>
      </c>
      <c r="W31" s="27">
        <v>134500</v>
      </c>
      <c r="X31" s="92">
        <f>V31*W31</f>
      </c>
      <c r="Y31" s="21">
        <v>55</v>
      </c>
      <c r="Z31" s="57">
        <v>93500</v>
      </c>
      <c r="AA31" s="21">
        <f>Y31*Z31</f>
      </c>
      <c r="AB31" s="99"/>
      <c r="AC31" s="100"/>
      <c r="AD31" s="99"/>
      <c r="AE31" s="95">
        <v>100</v>
      </c>
      <c r="AF31" s="57">
        <v>102900</v>
      </c>
      <c r="AG31" s="95">
        <f>AE31*AF31</f>
      </c>
      <c r="AH31" s="91">
        <f>50+100</f>
      </c>
      <c r="AI31" s="27">
        <v>134500</v>
      </c>
      <c r="AJ31" s="92">
        <f>AH31*AI31</f>
      </c>
      <c r="AK31" s="24">
        <f>25+150</f>
      </c>
      <c r="AL31" s="57">
        <v>102900</v>
      </c>
      <c r="AM31" s="26">
        <f>AK31*AL31</f>
      </c>
      <c r="AN31" s="91"/>
      <c r="AO31" s="27"/>
      <c r="AP31" s="96">
        <f>AN31*AO31</f>
      </c>
    </row>
    <row x14ac:dyDescent="0.25" r="32" customHeight="1" ht="27">
      <c r="A32" s="24">
        <v>28</v>
      </c>
      <c r="B32" s="22" t="s">
        <v>74</v>
      </c>
      <c r="C32" s="23" t="s">
        <v>75</v>
      </c>
      <c r="D32" s="24">
        <f>169+122</f>
      </c>
      <c r="E32" s="57">
        <v>97000</v>
      </c>
      <c r="F32" s="26">
        <f>D32*E32*98%</f>
      </c>
      <c r="G32" s="90">
        <v>0.02</v>
      </c>
      <c r="H32" s="91">
        <f>150+100</f>
      </c>
      <c r="I32" s="27">
        <v>139000</v>
      </c>
      <c r="J32" s="92">
        <f>H32*I32</f>
      </c>
      <c r="K32" s="24">
        <f>275+110</f>
      </c>
      <c r="L32" s="57">
        <v>97000</v>
      </c>
      <c r="M32" s="26">
        <f>K32*L32*98%</f>
      </c>
      <c r="N32" s="90">
        <v>0.02</v>
      </c>
      <c r="O32" s="91">
        <f>47+100</f>
      </c>
      <c r="P32" s="27">
        <v>139000</v>
      </c>
      <c r="Q32" s="92">
        <f>O32*P32</f>
      </c>
      <c r="R32" s="21">
        <v>380</v>
      </c>
      <c r="S32" s="57">
        <v>97000</v>
      </c>
      <c r="T32" s="21">
        <f>R32*S32*98%</f>
      </c>
      <c r="U32" s="90">
        <v>0.02</v>
      </c>
      <c r="V32" s="91">
        <f>250+103</f>
      </c>
      <c r="W32" s="27">
        <v>139000</v>
      </c>
      <c r="X32" s="92">
        <f>V32*W32</f>
      </c>
      <c r="Y32" s="21">
        <f>310+40</f>
      </c>
      <c r="Z32" s="57">
        <v>97000</v>
      </c>
      <c r="AA32" s="21">
        <f>Y32*Z32</f>
      </c>
      <c r="AB32" s="91">
        <v>50</v>
      </c>
      <c r="AC32" s="27">
        <v>139000</v>
      </c>
      <c r="AD32" s="92">
        <f>AB32*AC32</f>
      </c>
      <c r="AE32" s="95">
        <v>397</v>
      </c>
      <c r="AF32" s="57">
        <v>106700</v>
      </c>
      <c r="AG32" s="95">
        <f>AE32*AF32</f>
      </c>
      <c r="AH32" s="91">
        <f>50+200</f>
      </c>
      <c r="AI32" s="27">
        <v>139000</v>
      </c>
      <c r="AJ32" s="92">
        <f>AH32*AI32</f>
      </c>
      <c r="AK32" s="24">
        <f>85+260</f>
      </c>
      <c r="AL32" s="57">
        <v>106700</v>
      </c>
      <c r="AM32" s="26">
        <f>AK32*AL32</f>
      </c>
      <c r="AN32" s="91">
        <v>200</v>
      </c>
      <c r="AO32" s="27">
        <v>139000</v>
      </c>
      <c r="AP32" s="96">
        <f>AN32*AO32</f>
      </c>
    </row>
    <row x14ac:dyDescent="0.25" r="33" customHeight="1" ht="27">
      <c r="A33" s="24">
        <v>29</v>
      </c>
      <c r="B33" s="22" t="s">
        <v>76</v>
      </c>
      <c r="C33" s="23" t="s">
        <v>77</v>
      </c>
      <c r="D33" s="24">
        <v>20</v>
      </c>
      <c r="E33" s="57">
        <v>114500</v>
      </c>
      <c r="F33" s="26">
        <f>D33*E33*98%</f>
      </c>
      <c r="G33" s="90">
        <v>0.02</v>
      </c>
      <c r="H33" s="91">
        <f>50+32</f>
      </c>
      <c r="I33" s="27">
        <v>168000</v>
      </c>
      <c r="J33" s="92">
        <f>H33*I33</f>
      </c>
      <c r="K33" s="24">
        <f>150+20</f>
      </c>
      <c r="L33" s="57">
        <v>114500</v>
      </c>
      <c r="M33" s="26">
        <f>K33*L33*98%</f>
      </c>
      <c r="N33" s="90">
        <v>0.02</v>
      </c>
      <c r="O33" s="91">
        <v>28</v>
      </c>
      <c r="P33" s="27">
        <v>168000</v>
      </c>
      <c r="Q33" s="92">
        <f>O33*P33</f>
      </c>
      <c r="R33" s="21">
        <v>50</v>
      </c>
      <c r="S33" s="57">
        <v>114500</v>
      </c>
      <c r="T33" s="21">
        <f>R33*S33*98%</f>
      </c>
      <c r="U33" s="90">
        <v>0.02</v>
      </c>
      <c r="V33" s="91">
        <f>50+22</f>
      </c>
      <c r="W33" s="27">
        <v>168000</v>
      </c>
      <c r="X33" s="92">
        <f>V33*W33</f>
      </c>
      <c r="Y33" s="21">
        <v>9</v>
      </c>
      <c r="Z33" s="57">
        <v>114500</v>
      </c>
      <c r="AA33" s="21">
        <f>Y33*Z33</f>
      </c>
      <c r="AB33" s="91">
        <v>50</v>
      </c>
      <c r="AC33" s="27">
        <v>168000</v>
      </c>
      <c r="AD33" s="92">
        <v>8400000</v>
      </c>
      <c r="AE33" s="95">
        <v>60</v>
      </c>
      <c r="AF33" s="57">
        <v>126000</v>
      </c>
      <c r="AG33" s="95">
        <f>AE33*AF33</f>
      </c>
      <c r="AH33" s="91">
        <v>50</v>
      </c>
      <c r="AI33" s="27">
        <v>168000</v>
      </c>
      <c r="AJ33" s="92">
        <f>AH33*AI33</f>
      </c>
      <c r="AK33" s="24">
        <f>25+65</f>
      </c>
      <c r="AL33" s="57">
        <v>126000</v>
      </c>
      <c r="AM33" s="26">
        <f>AK33*AL33</f>
      </c>
      <c r="AN33" s="91">
        <v>50</v>
      </c>
      <c r="AO33" s="27">
        <v>168000</v>
      </c>
      <c r="AP33" s="96">
        <f>AN33*AO33</f>
      </c>
    </row>
    <row x14ac:dyDescent="0.25" r="34" customHeight="1" ht="27">
      <c r="A34" s="24">
        <v>30</v>
      </c>
      <c r="B34" s="22" t="s">
        <v>78</v>
      </c>
      <c r="C34" s="23" t="s">
        <v>79</v>
      </c>
      <c r="D34" s="24">
        <f>70+127</f>
      </c>
      <c r="E34" s="57">
        <v>122000</v>
      </c>
      <c r="F34" s="26">
        <f>D34*E34*98%</f>
      </c>
      <c r="G34" s="90">
        <v>0.02</v>
      </c>
      <c r="H34" s="91">
        <f>50+40</f>
      </c>
      <c r="I34" s="27">
        <v>171000</v>
      </c>
      <c r="J34" s="92">
        <f>H34*I34</f>
      </c>
      <c r="K34" s="24">
        <f>163+100</f>
      </c>
      <c r="L34" s="57">
        <v>122000</v>
      </c>
      <c r="M34" s="26">
        <f>K34*L34*98%</f>
      </c>
      <c r="N34" s="90">
        <v>0.02</v>
      </c>
      <c r="O34" s="91">
        <v>50</v>
      </c>
      <c r="P34" s="27">
        <v>171000</v>
      </c>
      <c r="Q34" s="92">
        <f>O34*P34</f>
      </c>
      <c r="R34" s="21">
        <v>190</v>
      </c>
      <c r="S34" s="57">
        <v>122000</v>
      </c>
      <c r="T34" s="21">
        <f>R34*S34*98%</f>
      </c>
      <c r="U34" s="90">
        <v>0.02</v>
      </c>
      <c r="V34" s="91">
        <f>100+30</f>
      </c>
      <c r="W34" s="27">
        <v>171000</v>
      </c>
      <c r="X34" s="92">
        <f>V34*W34</f>
      </c>
      <c r="Y34" s="21">
        <f>150+22</f>
      </c>
      <c r="Z34" s="57">
        <v>122000</v>
      </c>
      <c r="AA34" s="21">
        <f>Y34*Z34</f>
      </c>
      <c r="AB34" s="91">
        <f>47+30</f>
      </c>
      <c r="AC34" s="27">
        <v>171000</v>
      </c>
      <c r="AD34" s="92">
        <f>AB34*AC34</f>
      </c>
      <c r="AE34" s="95">
        <v>205</v>
      </c>
      <c r="AF34" s="57">
        <v>134200</v>
      </c>
      <c r="AG34" s="95">
        <f>AE34*AF34</f>
      </c>
      <c r="AH34" s="91">
        <f>50+183</f>
      </c>
      <c r="AI34" s="27">
        <v>171000</v>
      </c>
      <c r="AJ34" s="92">
        <f>AH34*AI34</f>
      </c>
      <c r="AK34" s="24">
        <f>38+325</f>
      </c>
      <c r="AL34" s="57">
        <v>134200</v>
      </c>
      <c r="AM34" s="26">
        <f>AK34*AL34</f>
      </c>
      <c r="AN34" s="91"/>
      <c r="AO34" s="27"/>
      <c r="AP34" s="96">
        <f>AN34*AO34</f>
      </c>
    </row>
    <row x14ac:dyDescent="0.25" r="35" customHeight="1" ht="27">
      <c r="A35" s="24">
        <v>31</v>
      </c>
      <c r="B35" s="22" t="s">
        <v>80</v>
      </c>
      <c r="C35" s="23" t="s">
        <v>81</v>
      </c>
      <c r="D35" s="24">
        <f>15+20</f>
      </c>
      <c r="E35" s="57">
        <v>130000</v>
      </c>
      <c r="F35" s="26">
        <f>D35*E35*98%</f>
      </c>
      <c r="G35" s="90">
        <v>0.02</v>
      </c>
      <c r="H35" s="91"/>
      <c r="I35" s="27"/>
      <c r="J35" s="92"/>
      <c r="K35" s="24">
        <v>55</v>
      </c>
      <c r="L35" s="57">
        <v>130000</v>
      </c>
      <c r="M35" s="26">
        <f>K35*L35*98%</f>
      </c>
      <c r="N35" s="90">
        <v>0.02</v>
      </c>
      <c r="O35" s="91">
        <v>100</v>
      </c>
      <c r="P35" s="27">
        <v>190500</v>
      </c>
      <c r="Q35" s="92">
        <f>O35*P35</f>
      </c>
      <c r="R35" s="21">
        <v>77</v>
      </c>
      <c r="S35" s="57">
        <v>130000</v>
      </c>
      <c r="T35" s="21">
        <f>R35*S35*98%</f>
      </c>
      <c r="U35" s="90">
        <v>0.02</v>
      </c>
      <c r="V35" s="99"/>
      <c r="W35" s="100"/>
      <c r="X35" s="99"/>
      <c r="Y35" s="21">
        <v>20</v>
      </c>
      <c r="Z35" s="57">
        <v>130000</v>
      </c>
      <c r="AA35" s="21">
        <f>Y35*Z35</f>
      </c>
      <c r="AB35" s="99"/>
      <c r="AC35" s="100"/>
      <c r="AD35" s="99"/>
      <c r="AE35" s="95">
        <v>50</v>
      </c>
      <c r="AF35" s="57">
        <v>143000</v>
      </c>
      <c r="AG35" s="95">
        <f>AE35*AF35</f>
      </c>
      <c r="AH35" s="91">
        <v>50</v>
      </c>
      <c r="AI35" s="27">
        <v>190500</v>
      </c>
      <c r="AJ35" s="92">
        <f>AH35*AI35</f>
      </c>
      <c r="AK35" s="24">
        <f>50+180</f>
      </c>
      <c r="AL35" s="57">
        <v>143000</v>
      </c>
      <c r="AM35" s="26">
        <f>AK35*AL35</f>
      </c>
      <c r="AN35" s="91">
        <v>50</v>
      </c>
      <c r="AO35" s="27">
        <v>190500</v>
      </c>
      <c r="AP35" s="96">
        <f>AN35*AO35</f>
      </c>
    </row>
    <row x14ac:dyDescent="0.25" r="36" customHeight="1" ht="27">
      <c r="A36" s="24">
        <v>32</v>
      </c>
      <c r="B36" s="22" t="s">
        <v>82</v>
      </c>
      <c r="C36" s="23" t="s">
        <v>83</v>
      </c>
      <c r="D36" s="24"/>
      <c r="E36" s="57"/>
      <c r="F36" s="26"/>
      <c r="G36" s="90"/>
      <c r="H36" s="91"/>
      <c r="I36" s="27"/>
      <c r="J36" s="92"/>
      <c r="K36" s="24">
        <f>44+10</f>
      </c>
      <c r="L36" s="57">
        <v>144500</v>
      </c>
      <c r="M36" s="26">
        <f>K36*L36*98%</f>
      </c>
      <c r="N36" s="90">
        <v>0.02</v>
      </c>
      <c r="O36" s="99"/>
      <c r="P36" s="100"/>
      <c r="Q36" s="99"/>
      <c r="R36" s="21"/>
      <c r="S36" s="57"/>
      <c r="T36" s="21"/>
      <c r="U36" s="90"/>
      <c r="V36" s="91">
        <v>100</v>
      </c>
      <c r="W36" s="27">
        <v>206000</v>
      </c>
      <c r="X36" s="92">
        <f>V36*W36</f>
      </c>
      <c r="Y36" s="21">
        <f>56+10</f>
      </c>
      <c r="Z36" s="57">
        <v>144500</v>
      </c>
      <c r="AA36" s="21">
        <f>Y36*Z36</f>
      </c>
      <c r="AB36" s="99"/>
      <c r="AC36" s="100"/>
      <c r="AD36" s="99"/>
      <c r="AE36" s="95">
        <v>65</v>
      </c>
      <c r="AF36" s="57">
        <v>159000</v>
      </c>
      <c r="AG36" s="95">
        <f>AE36*AF36</f>
      </c>
      <c r="AH36" s="99"/>
      <c r="AI36" s="100"/>
      <c r="AJ36" s="99"/>
      <c r="AK36" s="24">
        <f>35+160</f>
      </c>
      <c r="AL36" s="57">
        <v>159000</v>
      </c>
      <c r="AM36" s="26">
        <f>AK36*AL36</f>
      </c>
      <c r="AN36" s="96">
        <v>20</v>
      </c>
      <c r="AO36" s="101">
        <v>206000</v>
      </c>
      <c r="AP36" s="96">
        <f>AN36*AO36</f>
      </c>
    </row>
    <row x14ac:dyDescent="0.25" r="37" customHeight="1" ht="27">
      <c r="A37" s="24">
        <v>33</v>
      </c>
      <c r="B37" s="22" t="s">
        <v>84</v>
      </c>
      <c r="C37" s="23" t="s">
        <v>85</v>
      </c>
      <c r="D37" s="24">
        <v>53</v>
      </c>
      <c r="E37" s="57">
        <v>144500</v>
      </c>
      <c r="F37" s="26">
        <f>D37*E37*98%</f>
      </c>
      <c r="G37" s="90">
        <v>0.02</v>
      </c>
      <c r="H37" s="91"/>
      <c r="I37" s="27"/>
      <c r="J37" s="92"/>
      <c r="K37" s="24">
        <f>80+59</f>
      </c>
      <c r="L37" s="57">
        <v>144500</v>
      </c>
      <c r="M37" s="26">
        <f>K37*L37*98%</f>
      </c>
      <c r="N37" s="90">
        <v>0.02</v>
      </c>
      <c r="O37" s="91">
        <v>100</v>
      </c>
      <c r="P37" s="27">
        <v>206000</v>
      </c>
      <c r="Q37" s="92">
        <f>O37*P37</f>
      </c>
      <c r="R37" s="21">
        <v>70</v>
      </c>
      <c r="S37" s="57">
        <v>144500</v>
      </c>
      <c r="T37" s="21">
        <f>R37*S37*98%</f>
      </c>
      <c r="U37" s="90">
        <v>0.02</v>
      </c>
      <c r="V37" s="91">
        <v>50</v>
      </c>
      <c r="W37" s="27">
        <v>206000</v>
      </c>
      <c r="X37" s="92">
        <f>V37*W37</f>
      </c>
      <c r="Y37" s="21">
        <f>56+13</f>
      </c>
      <c r="Z37" s="57">
        <v>144500</v>
      </c>
      <c r="AA37" s="21">
        <f>Y37*Z37</f>
      </c>
      <c r="AB37" s="91">
        <v>50</v>
      </c>
      <c r="AC37" s="27">
        <v>206000</v>
      </c>
      <c r="AD37" s="92">
        <f>AB37*AC37</f>
      </c>
      <c r="AE37" s="95">
        <v>30</v>
      </c>
      <c r="AF37" s="57">
        <v>159000</v>
      </c>
      <c r="AG37" s="95">
        <f>AE37*AF37</f>
      </c>
      <c r="AH37" s="99"/>
      <c r="AI37" s="100"/>
      <c r="AJ37" s="99"/>
      <c r="AK37" s="24">
        <v>15</v>
      </c>
      <c r="AL37" s="57">
        <v>159000</v>
      </c>
      <c r="AM37" s="26">
        <f>AK37*AL37</f>
      </c>
      <c r="AN37" s="99"/>
      <c r="AO37" s="100"/>
      <c r="AP37" s="96">
        <f>AN37*AO37</f>
      </c>
    </row>
    <row x14ac:dyDescent="0.25" r="38" customHeight="1" ht="27">
      <c r="A38" s="24">
        <v>34</v>
      </c>
      <c r="B38" s="22" t="s">
        <v>86</v>
      </c>
      <c r="C38" s="23" t="s">
        <v>87</v>
      </c>
      <c r="D38" s="24">
        <f>120+229</f>
      </c>
      <c r="E38" s="57">
        <v>153000</v>
      </c>
      <c r="F38" s="26">
        <f>D38*E38*98%</f>
      </c>
      <c r="G38" s="90">
        <v>0.02</v>
      </c>
      <c r="H38" s="91">
        <f>50+116</f>
      </c>
      <c r="I38" s="27">
        <v>213500</v>
      </c>
      <c r="J38" s="92">
        <f>H38*I38</f>
      </c>
      <c r="K38" s="24">
        <f>180+90</f>
      </c>
      <c r="L38" s="57">
        <v>153000</v>
      </c>
      <c r="M38" s="26">
        <f>K38*L38*98%</f>
      </c>
      <c r="N38" s="90">
        <v>0.02</v>
      </c>
      <c r="O38" s="91">
        <v>341</v>
      </c>
      <c r="P38" s="27">
        <v>213500</v>
      </c>
      <c r="Q38" s="92">
        <f>O38*P38</f>
      </c>
      <c r="R38" s="21">
        <v>140</v>
      </c>
      <c r="S38" s="57">
        <v>153000</v>
      </c>
      <c r="T38" s="21">
        <f>R38*S38*98%</f>
      </c>
      <c r="U38" s="90">
        <v>0.02</v>
      </c>
      <c r="V38" s="91">
        <f>209+143</f>
      </c>
      <c r="W38" s="27">
        <v>213500</v>
      </c>
      <c r="X38" s="92">
        <f>V38*W38</f>
      </c>
      <c r="Y38" s="21">
        <f>254+75</f>
      </c>
      <c r="Z38" s="57">
        <v>153000</v>
      </c>
      <c r="AA38" s="21">
        <f>Y38*Z38</f>
      </c>
      <c r="AB38" s="99"/>
      <c r="AC38" s="100"/>
      <c r="AD38" s="99"/>
      <c r="AE38" s="95">
        <v>415</v>
      </c>
      <c r="AF38" s="57">
        <v>168300</v>
      </c>
      <c r="AG38" s="95">
        <f>AE38*AF38</f>
      </c>
      <c r="AH38" s="91">
        <f>100+100</f>
      </c>
      <c r="AI38" s="27">
        <v>213500</v>
      </c>
      <c r="AJ38" s="92">
        <f>AH38*AI38</f>
      </c>
      <c r="AK38" s="24">
        <f>100+546</f>
      </c>
      <c r="AL38" s="57">
        <v>168300</v>
      </c>
      <c r="AM38" s="26">
        <f>AK38*AL38</f>
      </c>
      <c r="AN38" s="91">
        <v>100</v>
      </c>
      <c r="AO38" s="27">
        <v>213500</v>
      </c>
      <c r="AP38" s="96">
        <f>AN38*AO38</f>
      </c>
    </row>
    <row x14ac:dyDescent="0.25" r="39" customHeight="1" ht="27">
      <c r="A39" s="24">
        <v>35</v>
      </c>
      <c r="B39" s="22" t="s">
        <v>88</v>
      </c>
      <c r="C39" s="23" t="s">
        <v>89</v>
      </c>
      <c r="D39" s="24">
        <v>86</v>
      </c>
      <c r="E39" s="57">
        <v>160000</v>
      </c>
      <c r="F39" s="26">
        <f>D39*E39*98%</f>
      </c>
      <c r="G39" s="90">
        <v>0.02</v>
      </c>
      <c r="H39" s="91"/>
      <c r="I39" s="27"/>
      <c r="J39" s="92"/>
      <c r="K39" s="24"/>
      <c r="L39" s="57"/>
      <c r="M39" s="26"/>
      <c r="N39" s="90"/>
      <c r="O39" s="91">
        <v>100</v>
      </c>
      <c r="P39" s="27">
        <v>216500</v>
      </c>
      <c r="Q39" s="92">
        <f>O39*P39</f>
      </c>
      <c r="R39" s="21">
        <v>100</v>
      </c>
      <c r="S39" s="57">
        <v>160000</v>
      </c>
      <c r="T39" s="21">
        <f>R39*S39*98%</f>
      </c>
      <c r="U39" s="90">
        <v>0.02</v>
      </c>
      <c r="V39" s="99"/>
      <c r="W39" s="100"/>
      <c r="X39" s="99"/>
      <c r="Y39" s="48"/>
      <c r="Z39" s="93"/>
      <c r="AA39" s="48"/>
      <c r="AB39" s="99"/>
      <c r="AC39" s="100"/>
      <c r="AD39" s="99"/>
      <c r="AE39" s="95">
        <v>58</v>
      </c>
      <c r="AF39" s="57">
        <v>176000</v>
      </c>
      <c r="AG39" s="95">
        <f>AE39*AF39</f>
      </c>
      <c r="AH39" s="91">
        <v>100</v>
      </c>
      <c r="AI39" s="27">
        <v>216500</v>
      </c>
      <c r="AJ39" s="92">
        <f>AH39*AI39</f>
      </c>
      <c r="AK39" s="24">
        <f>26+75</f>
      </c>
      <c r="AL39" s="57">
        <v>176000</v>
      </c>
      <c r="AM39" s="26">
        <f>AK39*AL39</f>
      </c>
      <c r="AN39" s="91">
        <v>30</v>
      </c>
      <c r="AO39" s="27">
        <v>216500</v>
      </c>
      <c r="AP39" s="96">
        <f>AN39*AO39</f>
      </c>
    </row>
    <row x14ac:dyDescent="0.25" r="40" customHeight="1" ht="27">
      <c r="A40" s="24">
        <v>36</v>
      </c>
      <c r="B40" s="22" t="s">
        <v>92</v>
      </c>
      <c r="C40" s="23" t="s">
        <v>93</v>
      </c>
      <c r="D40" s="24"/>
      <c r="E40" s="57"/>
      <c r="F40" s="26"/>
      <c r="G40" s="90"/>
      <c r="H40" s="91"/>
      <c r="I40" s="27"/>
      <c r="J40" s="92"/>
      <c r="K40" s="24"/>
      <c r="L40" s="57"/>
      <c r="M40" s="26"/>
      <c r="N40" s="90"/>
      <c r="O40" s="99"/>
      <c r="P40" s="100"/>
      <c r="Q40" s="99"/>
      <c r="R40" s="21"/>
      <c r="S40" s="57"/>
      <c r="T40" s="21"/>
      <c r="U40" s="90"/>
      <c r="V40" s="99"/>
      <c r="W40" s="100"/>
      <c r="X40" s="99"/>
      <c r="Y40" s="48"/>
      <c r="Z40" s="93"/>
      <c r="AA40" s="48"/>
      <c r="AB40" s="99"/>
      <c r="AC40" s="100"/>
      <c r="AD40" s="99"/>
      <c r="AE40" s="48"/>
      <c r="AF40" s="48"/>
      <c r="AG40" s="48"/>
      <c r="AH40" s="99"/>
      <c r="AI40" s="100"/>
      <c r="AJ40" s="99"/>
      <c r="AK40" s="48"/>
      <c r="AL40" s="93"/>
      <c r="AM40" s="48"/>
      <c r="AN40" s="99"/>
      <c r="AO40" s="100"/>
      <c r="AP40" s="96">
        <f>AN40*AO40</f>
      </c>
    </row>
    <row x14ac:dyDescent="0.25" r="41" customHeight="1" ht="27">
      <c r="A41" s="24">
        <v>37</v>
      </c>
      <c r="B41" s="22" t="s">
        <v>94</v>
      </c>
      <c r="C41" s="23" t="s">
        <v>95</v>
      </c>
      <c r="D41" s="24"/>
      <c r="E41" s="57"/>
      <c r="F41" s="26"/>
      <c r="G41" s="90"/>
      <c r="H41" s="91"/>
      <c r="I41" s="27"/>
      <c r="J41" s="92"/>
      <c r="K41" s="24"/>
      <c r="L41" s="57"/>
      <c r="M41" s="26"/>
      <c r="N41" s="90"/>
      <c r="O41" s="91">
        <v>20</v>
      </c>
      <c r="P41" s="27">
        <v>247000</v>
      </c>
      <c r="Q41" s="92">
        <f>O41*P41</f>
      </c>
      <c r="R41" s="21"/>
      <c r="S41" s="57"/>
      <c r="T41" s="21"/>
      <c r="U41" s="90"/>
      <c r="V41" s="99"/>
      <c r="W41" s="100"/>
      <c r="X41" s="99"/>
      <c r="Y41" s="48"/>
      <c r="Z41" s="93"/>
      <c r="AA41" s="48"/>
      <c r="AB41" s="99"/>
      <c r="AC41" s="100"/>
      <c r="AD41" s="99"/>
      <c r="AE41" s="48"/>
      <c r="AF41" s="48"/>
      <c r="AG41" s="48"/>
      <c r="AH41" s="91">
        <v>50</v>
      </c>
      <c r="AI41" s="27">
        <v>247000</v>
      </c>
      <c r="AJ41" s="92">
        <f>AH41*AI41</f>
      </c>
      <c r="AK41" s="24">
        <v>10</v>
      </c>
      <c r="AL41" s="57">
        <v>191200</v>
      </c>
      <c r="AM41" s="26">
        <f>AK41*AL41</f>
      </c>
      <c r="AN41" s="91"/>
      <c r="AO41" s="27"/>
      <c r="AP41" s="96">
        <f>AN41*AO41</f>
      </c>
    </row>
    <row x14ac:dyDescent="0.25" r="42" customHeight="1" ht="27">
      <c r="A42" s="24">
        <v>38</v>
      </c>
      <c r="B42" s="22" t="s">
        <v>97</v>
      </c>
      <c r="C42" s="23" t="s">
        <v>98</v>
      </c>
      <c r="D42" s="24">
        <f>93+60</f>
      </c>
      <c r="E42" s="57">
        <v>183000</v>
      </c>
      <c r="F42" s="26">
        <f>D42*E42*98%</f>
      </c>
      <c r="G42" s="90">
        <v>0.02</v>
      </c>
      <c r="H42" s="91">
        <f>17+30</f>
      </c>
      <c r="I42" s="27">
        <v>256000</v>
      </c>
      <c r="J42" s="92">
        <f>H42*I42</f>
      </c>
      <c r="K42" s="24">
        <f>87+60</f>
      </c>
      <c r="L42" s="57">
        <v>183000</v>
      </c>
      <c r="M42" s="26">
        <f>K42*L42*98%</f>
      </c>
      <c r="N42" s="90">
        <v>0.02</v>
      </c>
      <c r="O42" s="91">
        <f>39+63</f>
      </c>
      <c r="P42" s="27">
        <v>256000</v>
      </c>
      <c r="Q42" s="92">
        <f>O42*P42</f>
      </c>
      <c r="R42" s="21"/>
      <c r="S42" s="57"/>
      <c r="T42" s="21"/>
      <c r="U42" s="90"/>
      <c r="V42" s="91">
        <f>50+81</f>
      </c>
      <c r="W42" s="27">
        <v>256000</v>
      </c>
      <c r="X42" s="92">
        <f>V42*W42</f>
      </c>
      <c r="Y42" s="21">
        <f>35+10</f>
      </c>
      <c r="Z42" s="57">
        <v>183000</v>
      </c>
      <c r="AA42" s="21">
        <f>Y42*Z42</f>
      </c>
      <c r="AB42" s="99"/>
      <c r="AC42" s="100"/>
      <c r="AD42" s="99"/>
      <c r="AE42" s="95">
        <v>215</v>
      </c>
      <c r="AF42" s="57">
        <v>197700</v>
      </c>
      <c r="AG42" s="95">
        <f>AE42*AF42</f>
      </c>
      <c r="AH42" s="99"/>
      <c r="AI42" s="100"/>
      <c r="AJ42" s="99"/>
      <c r="AK42" s="24">
        <v>50</v>
      </c>
      <c r="AL42" s="57">
        <v>197700</v>
      </c>
      <c r="AM42" s="26">
        <f>AK42*AL42</f>
      </c>
      <c r="AN42" s="96">
        <v>30</v>
      </c>
      <c r="AO42" s="101">
        <v>256000</v>
      </c>
      <c r="AP42" s="96">
        <f>AN42*AO42</f>
      </c>
    </row>
    <row x14ac:dyDescent="0.25" r="43" customHeight="1" ht="27">
      <c r="A43" s="24">
        <v>39</v>
      </c>
      <c r="B43" s="22" t="s">
        <v>99</v>
      </c>
      <c r="C43" s="23" t="s">
        <v>100</v>
      </c>
      <c r="D43" s="24"/>
      <c r="E43" s="57"/>
      <c r="F43" s="26"/>
      <c r="G43" s="90"/>
      <c r="H43" s="91"/>
      <c r="I43" s="27"/>
      <c r="J43" s="92"/>
      <c r="K43" s="24"/>
      <c r="L43" s="57"/>
      <c r="M43" s="26"/>
      <c r="N43" s="90"/>
      <c r="O43" s="99"/>
      <c r="P43" s="100"/>
      <c r="Q43" s="99"/>
      <c r="R43" s="21"/>
      <c r="S43" s="57"/>
      <c r="T43" s="21"/>
      <c r="U43" s="90"/>
      <c r="V43" s="99"/>
      <c r="W43" s="100"/>
      <c r="X43" s="99"/>
      <c r="Y43" s="48"/>
      <c r="Z43" s="93"/>
      <c r="AA43" s="48"/>
      <c r="AB43" s="99"/>
      <c r="AC43" s="100"/>
      <c r="AD43" s="99"/>
      <c r="AE43" s="48"/>
      <c r="AF43" s="48"/>
      <c r="AG43" s="48"/>
      <c r="AH43" s="91">
        <v>20</v>
      </c>
      <c r="AI43" s="27">
        <v>257500</v>
      </c>
      <c r="AJ43" s="92">
        <f>AH43*AI43</f>
      </c>
      <c r="AK43" s="24">
        <v>50</v>
      </c>
      <c r="AL43" s="57">
        <v>198800</v>
      </c>
      <c r="AM43" s="26">
        <f>AK43*AL43</f>
      </c>
      <c r="AN43" s="91"/>
      <c r="AO43" s="27"/>
      <c r="AP43" s="96">
        <f>AN43*AO43</f>
      </c>
    </row>
    <row x14ac:dyDescent="0.25" r="44" customHeight="1" ht="27">
      <c r="A44" s="24">
        <v>40</v>
      </c>
      <c r="B44" s="22" t="s">
        <v>101</v>
      </c>
      <c r="C44" s="23" t="s">
        <v>102</v>
      </c>
      <c r="D44" s="24"/>
      <c r="E44" s="57"/>
      <c r="F44" s="26"/>
      <c r="G44" s="90"/>
      <c r="H44" s="91"/>
      <c r="I44" s="27"/>
      <c r="J44" s="92"/>
      <c r="K44" s="24">
        <v>10</v>
      </c>
      <c r="L44" s="57">
        <v>194500</v>
      </c>
      <c r="M44" s="26">
        <f>K44*L44*98%</f>
      </c>
      <c r="N44" s="90">
        <v>0.02</v>
      </c>
      <c r="O44" s="99"/>
      <c r="P44" s="100"/>
      <c r="Q44" s="99"/>
      <c r="R44" s="21"/>
      <c r="S44" s="57"/>
      <c r="T44" s="21"/>
      <c r="U44" s="90"/>
      <c r="V44" s="99"/>
      <c r="W44" s="100"/>
      <c r="X44" s="99"/>
      <c r="Y44" s="48"/>
      <c r="Z44" s="93"/>
      <c r="AA44" s="48"/>
      <c r="AB44" s="99"/>
      <c r="AC44" s="100"/>
      <c r="AD44" s="99"/>
      <c r="AE44" s="48"/>
      <c r="AF44" s="48"/>
      <c r="AG44" s="48"/>
      <c r="AH44" s="99"/>
      <c r="AI44" s="100"/>
      <c r="AJ44" s="99"/>
      <c r="AK44" s="48"/>
      <c r="AL44" s="93"/>
      <c r="AM44" s="48"/>
      <c r="AN44" s="99"/>
      <c r="AO44" s="100"/>
      <c r="AP44" s="96">
        <f>AN44*AO44</f>
      </c>
    </row>
    <row x14ac:dyDescent="0.25" r="45" customHeight="1" ht="27">
      <c r="A45" s="24">
        <v>41</v>
      </c>
      <c r="B45" s="22" t="s">
        <v>104</v>
      </c>
      <c r="C45" s="23" t="s">
        <v>105</v>
      </c>
      <c r="D45" s="24"/>
      <c r="E45" s="57"/>
      <c r="F45" s="26"/>
      <c r="G45" s="90"/>
      <c r="H45" s="91"/>
      <c r="I45" s="27"/>
      <c r="J45" s="92"/>
      <c r="K45" s="24"/>
      <c r="L45" s="57"/>
      <c r="M45" s="26"/>
      <c r="N45" s="90"/>
      <c r="O45" s="99"/>
      <c r="P45" s="100"/>
      <c r="Q45" s="99"/>
      <c r="R45" s="21"/>
      <c r="S45" s="57"/>
      <c r="T45" s="21"/>
      <c r="U45" s="90"/>
      <c r="V45" s="99"/>
      <c r="W45" s="100"/>
      <c r="X45" s="99"/>
      <c r="Y45" s="48"/>
      <c r="Z45" s="93"/>
      <c r="AA45" s="48"/>
      <c r="AB45" s="99"/>
      <c r="AC45" s="100"/>
      <c r="AD45" s="99"/>
      <c r="AE45" s="48"/>
      <c r="AF45" s="48"/>
      <c r="AG45" s="48"/>
      <c r="AH45" s="99"/>
      <c r="AI45" s="100"/>
      <c r="AJ45" s="99"/>
      <c r="AK45" s="48"/>
      <c r="AL45" s="93"/>
      <c r="AM45" s="48"/>
      <c r="AN45" s="99"/>
      <c r="AO45" s="100"/>
      <c r="AP45" s="96">
        <f>AN45*AO45</f>
      </c>
    </row>
    <row x14ac:dyDescent="0.25" r="46" customHeight="1" ht="27">
      <c r="A46" s="24">
        <v>42</v>
      </c>
      <c r="B46" s="22" t="s">
        <v>107</v>
      </c>
      <c r="C46" s="23" t="s">
        <v>108</v>
      </c>
      <c r="D46" s="24">
        <v>100</v>
      </c>
      <c r="E46" s="57">
        <v>196500</v>
      </c>
      <c r="F46" s="26">
        <f>D46*E46*98%</f>
      </c>
      <c r="G46" s="90">
        <v>0.02</v>
      </c>
      <c r="H46" s="91">
        <v>20</v>
      </c>
      <c r="I46" s="27">
        <v>274500</v>
      </c>
      <c r="J46" s="92">
        <f>H46*I46</f>
      </c>
      <c r="K46" s="24">
        <v>50</v>
      </c>
      <c r="L46" s="57">
        <v>196500</v>
      </c>
      <c r="M46" s="26">
        <f>K46*L46*98%</f>
      </c>
      <c r="N46" s="90">
        <v>0.02</v>
      </c>
      <c r="O46" s="91">
        <v>34</v>
      </c>
      <c r="P46" s="27">
        <v>274500</v>
      </c>
      <c r="Q46" s="92">
        <f>O46*P46</f>
      </c>
      <c r="R46" s="21"/>
      <c r="S46" s="57"/>
      <c r="T46" s="21"/>
      <c r="U46" s="90"/>
      <c r="V46" s="91">
        <f>50+16</f>
      </c>
      <c r="W46" s="27">
        <v>274500</v>
      </c>
      <c r="X46" s="92">
        <f>V46*W46</f>
      </c>
      <c r="Y46" s="48"/>
      <c r="Z46" s="93"/>
      <c r="AA46" s="48"/>
      <c r="AB46" s="99"/>
      <c r="AC46" s="100"/>
      <c r="AD46" s="99"/>
      <c r="AE46" s="95">
        <v>30</v>
      </c>
      <c r="AF46" s="57">
        <v>212300</v>
      </c>
      <c r="AG46" s="95">
        <f>AE46*AF46</f>
      </c>
      <c r="AH46" s="99"/>
      <c r="AI46" s="100"/>
      <c r="AJ46" s="99"/>
      <c r="AK46" s="24">
        <f>40+80</f>
      </c>
      <c r="AL46" s="57">
        <v>212300</v>
      </c>
      <c r="AM46" s="26">
        <f>AK46*AL46</f>
      </c>
      <c r="AN46" s="99"/>
      <c r="AO46" s="100"/>
      <c r="AP46" s="96">
        <f>AN46*AO46</f>
      </c>
    </row>
    <row x14ac:dyDescent="0.25" r="47" customHeight="1" ht="27">
      <c r="A47" s="24">
        <v>43</v>
      </c>
      <c r="B47" s="22" t="s">
        <v>109</v>
      </c>
      <c r="C47" s="23" t="s">
        <v>110</v>
      </c>
      <c r="D47" s="24"/>
      <c r="E47" s="57"/>
      <c r="F47" s="26"/>
      <c r="G47" s="90"/>
      <c r="H47" s="91"/>
      <c r="I47" s="27"/>
      <c r="J47" s="92"/>
      <c r="K47" s="24"/>
      <c r="L47" s="57"/>
      <c r="M47" s="26"/>
      <c r="N47" s="90"/>
      <c r="O47" s="91">
        <v>20</v>
      </c>
      <c r="P47" s="27">
        <v>282000</v>
      </c>
      <c r="Q47" s="92">
        <f>O47*P47</f>
      </c>
      <c r="R47" s="48"/>
      <c r="S47" s="93"/>
      <c r="T47" s="48"/>
      <c r="U47" s="94"/>
      <c r="V47" s="99"/>
      <c r="W47" s="100"/>
      <c r="X47" s="99"/>
      <c r="Y47" s="48"/>
      <c r="Z47" s="93"/>
      <c r="AA47" s="48"/>
      <c r="AB47" s="99"/>
      <c r="AC47" s="100"/>
      <c r="AD47" s="99"/>
      <c r="AE47" s="48"/>
      <c r="AF47" s="48"/>
      <c r="AG47" s="48"/>
      <c r="AH47" s="99"/>
      <c r="AI47" s="100"/>
      <c r="AJ47" s="99"/>
      <c r="AK47" s="48"/>
      <c r="AL47" s="93"/>
      <c r="AM47" s="48"/>
      <c r="AN47" s="99"/>
      <c r="AO47" s="100"/>
      <c r="AP47" s="96">
        <f>AN47*AO47</f>
      </c>
    </row>
    <row x14ac:dyDescent="0.25" r="48" customHeight="1" ht="27">
      <c r="A48" s="24">
        <v>44</v>
      </c>
      <c r="B48" s="22" t="s">
        <v>112</v>
      </c>
      <c r="C48" s="23" t="s">
        <v>113</v>
      </c>
      <c r="D48" s="24"/>
      <c r="E48" s="57"/>
      <c r="F48" s="26"/>
      <c r="G48" s="90"/>
      <c r="H48" s="91">
        <v>30</v>
      </c>
      <c r="I48" s="27">
        <v>122000</v>
      </c>
      <c r="J48" s="92">
        <f>H48*I48</f>
      </c>
      <c r="K48" s="24">
        <f>100+10</f>
      </c>
      <c r="L48" s="57">
        <v>83000</v>
      </c>
      <c r="M48" s="26">
        <f>K48*L48*98%</f>
      </c>
      <c r="N48" s="90">
        <v>0.02</v>
      </c>
      <c r="O48" s="91">
        <v>100</v>
      </c>
      <c r="P48" s="27">
        <v>122000</v>
      </c>
      <c r="Q48" s="92">
        <f>O48*P48</f>
      </c>
      <c r="R48" s="21">
        <v>100</v>
      </c>
      <c r="S48" s="57">
        <v>83000</v>
      </c>
      <c r="T48" s="21">
        <f>R48*S48*98%</f>
      </c>
      <c r="U48" s="90">
        <v>0.02</v>
      </c>
      <c r="V48" s="91">
        <v>50</v>
      </c>
      <c r="W48" s="27">
        <v>122000</v>
      </c>
      <c r="X48" s="92">
        <f>V48*W48</f>
      </c>
      <c r="Y48" s="21">
        <v>15</v>
      </c>
      <c r="Z48" s="57">
        <v>83000</v>
      </c>
      <c r="AA48" s="21">
        <f>Y48*Z48</f>
      </c>
      <c r="AB48" s="91">
        <v>100</v>
      </c>
      <c r="AC48" s="27">
        <v>122000</v>
      </c>
      <c r="AD48" s="92">
        <v>12200000</v>
      </c>
      <c r="AE48" s="95">
        <v>120</v>
      </c>
      <c r="AF48" s="57">
        <v>91300</v>
      </c>
      <c r="AG48" s="95">
        <f>AE48*AF48</f>
      </c>
      <c r="AH48" s="91">
        <v>50</v>
      </c>
      <c r="AI48" s="27">
        <v>122000</v>
      </c>
      <c r="AJ48" s="92">
        <f>AH48*AI48</f>
      </c>
      <c r="AK48" s="24">
        <f>25+195</f>
      </c>
      <c r="AL48" s="57">
        <v>91300</v>
      </c>
      <c r="AM48" s="26">
        <f>AK48*AL48</f>
      </c>
      <c r="AN48" s="91"/>
      <c r="AO48" s="27"/>
      <c r="AP48" s="96">
        <f>AN48*AO48</f>
      </c>
    </row>
    <row x14ac:dyDescent="0.25" r="49" customHeight="1" ht="27">
      <c r="A49" s="24">
        <v>45</v>
      </c>
      <c r="B49" s="22" t="s">
        <v>114</v>
      </c>
      <c r="C49" s="23" t="s">
        <v>115</v>
      </c>
      <c r="D49" s="24"/>
      <c r="E49" s="57"/>
      <c r="F49" s="26"/>
      <c r="G49" s="90"/>
      <c r="H49" s="91"/>
      <c r="I49" s="27"/>
      <c r="J49" s="92"/>
      <c r="K49" s="24"/>
      <c r="L49" s="57"/>
      <c r="M49" s="26"/>
      <c r="N49" s="90"/>
      <c r="O49" s="91">
        <f>10+20</f>
      </c>
      <c r="P49" s="27">
        <v>340500</v>
      </c>
      <c r="Q49" s="92">
        <f>O49*P49</f>
      </c>
      <c r="R49" s="48"/>
      <c r="S49" s="93"/>
      <c r="T49" s="48"/>
      <c r="U49" s="94"/>
      <c r="V49" s="91">
        <v>10</v>
      </c>
      <c r="W49" s="27">
        <v>340500</v>
      </c>
      <c r="X49" s="92">
        <f>V49*W49</f>
      </c>
      <c r="Y49" s="21">
        <v>7</v>
      </c>
      <c r="Z49" s="57">
        <v>239000</v>
      </c>
      <c r="AA49" s="21">
        <f>Y49*Z49</f>
      </c>
      <c r="AB49" s="91">
        <v>10</v>
      </c>
      <c r="AC49" s="27">
        <v>363500</v>
      </c>
      <c r="AD49" s="92">
        <f>AB49*AC49</f>
      </c>
      <c r="AE49" s="48"/>
      <c r="AF49" s="48"/>
      <c r="AG49" s="48"/>
      <c r="AH49" s="99"/>
      <c r="AI49" s="100"/>
      <c r="AJ49" s="99"/>
      <c r="AK49" s="48"/>
      <c r="AL49" s="93"/>
      <c r="AM49" s="48"/>
      <c r="AN49" s="99"/>
      <c r="AO49" s="100"/>
      <c r="AP49" s="96">
        <f>AN49*AO49</f>
      </c>
    </row>
    <row x14ac:dyDescent="0.25" r="50" customHeight="1" ht="27">
      <c r="A50" s="24">
        <v>46</v>
      </c>
      <c r="B50" s="22" t="s">
        <v>116</v>
      </c>
      <c r="C50" s="23" t="s">
        <v>117</v>
      </c>
      <c r="D50" s="24"/>
      <c r="E50" s="57"/>
      <c r="F50" s="26"/>
      <c r="G50" s="90"/>
      <c r="H50" s="91"/>
      <c r="I50" s="27"/>
      <c r="J50" s="92"/>
      <c r="K50" s="24"/>
      <c r="L50" s="57"/>
      <c r="M50" s="26"/>
      <c r="N50" s="90"/>
      <c r="O50" s="99"/>
      <c r="P50" s="100"/>
      <c r="Q50" s="99"/>
      <c r="R50" s="48"/>
      <c r="S50" s="93"/>
      <c r="T50" s="48"/>
      <c r="U50" s="94"/>
      <c r="V50" s="99"/>
      <c r="W50" s="100"/>
      <c r="X50" s="99"/>
      <c r="Y50" s="48"/>
      <c r="Z50" s="93"/>
      <c r="AA50" s="48"/>
      <c r="AB50" s="99"/>
      <c r="AC50" s="100"/>
      <c r="AD50" s="99"/>
      <c r="AE50" s="48"/>
      <c r="AF50" s="48"/>
      <c r="AG50" s="48"/>
      <c r="AH50" s="99"/>
      <c r="AI50" s="100"/>
      <c r="AJ50" s="99"/>
      <c r="AK50" s="48"/>
      <c r="AL50" s="93"/>
      <c r="AM50" s="48"/>
      <c r="AN50" s="99"/>
      <c r="AO50" s="100"/>
      <c r="AP50" s="96">
        <f>AN50*AO50</f>
      </c>
    </row>
    <row x14ac:dyDescent="0.25" r="51" customHeight="1" ht="27">
      <c r="A51" s="24">
        <v>47</v>
      </c>
      <c r="B51" s="22" t="s">
        <v>118</v>
      </c>
      <c r="C51" s="23" t="s">
        <v>119</v>
      </c>
      <c r="D51" s="24">
        <v>30</v>
      </c>
      <c r="E51" s="57">
        <v>255000</v>
      </c>
      <c r="F51" s="26">
        <f>D51*E51*98%</f>
      </c>
      <c r="G51" s="90">
        <v>0.02</v>
      </c>
      <c r="H51" s="91">
        <f>20+10</f>
      </c>
      <c r="I51" s="27">
        <v>363500</v>
      </c>
      <c r="J51" s="92">
        <f>H51*I51</f>
      </c>
      <c r="K51" s="24"/>
      <c r="L51" s="57"/>
      <c r="M51" s="26"/>
      <c r="N51" s="90"/>
      <c r="O51" s="99"/>
      <c r="P51" s="100"/>
      <c r="Q51" s="99"/>
      <c r="R51" s="21">
        <v>46</v>
      </c>
      <c r="S51" s="57">
        <v>255000</v>
      </c>
      <c r="T51" s="21">
        <f>R51*S51*98%</f>
      </c>
      <c r="U51" s="90">
        <v>0.02</v>
      </c>
      <c r="V51" s="91">
        <v>20</v>
      </c>
      <c r="W51" s="27">
        <v>363500</v>
      </c>
      <c r="X51" s="92">
        <f>V51*W51</f>
      </c>
      <c r="Y51" s="48"/>
      <c r="Z51" s="93"/>
      <c r="AA51" s="48"/>
      <c r="AB51" s="99"/>
      <c r="AC51" s="100"/>
      <c r="AD51" s="99"/>
      <c r="AE51" s="95">
        <v>74</v>
      </c>
      <c r="AF51" s="57">
        <v>272900</v>
      </c>
      <c r="AG51" s="95">
        <f>AE51*AF51</f>
      </c>
      <c r="AH51" s="99"/>
      <c r="AI51" s="100"/>
      <c r="AJ51" s="99"/>
      <c r="AK51" s="24">
        <v>10</v>
      </c>
      <c r="AL51" s="57">
        <v>272900</v>
      </c>
      <c r="AM51" s="26">
        <f>AK51*AL51</f>
      </c>
      <c r="AN51" s="99"/>
      <c r="AO51" s="100"/>
      <c r="AP51" s="96">
        <f>AN51*AO51</f>
      </c>
    </row>
    <row x14ac:dyDescent="0.25" r="52" customHeight="1" ht="27">
      <c r="A52" s="24">
        <v>48</v>
      </c>
      <c r="B52" s="22" t="s">
        <v>121</v>
      </c>
      <c r="C52" s="23" t="s">
        <v>122</v>
      </c>
      <c r="D52" s="24"/>
      <c r="E52" s="57"/>
      <c r="F52" s="26"/>
      <c r="G52" s="90"/>
      <c r="H52" s="91"/>
      <c r="I52" s="27"/>
      <c r="J52" s="92"/>
      <c r="K52" s="24"/>
      <c r="L52" s="57"/>
      <c r="M52" s="26"/>
      <c r="N52" s="90"/>
      <c r="O52" s="99"/>
      <c r="P52" s="100"/>
      <c r="Q52" s="99"/>
      <c r="R52" s="48"/>
      <c r="S52" s="93"/>
      <c r="T52" s="48"/>
      <c r="U52" s="94"/>
      <c r="V52" s="99"/>
      <c r="W52" s="100"/>
      <c r="X52" s="99"/>
      <c r="Y52" s="48"/>
      <c r="Z52" s="93"/>
      <c r="AA52" s="48"/>
      <c r="AB52" s="99"/>
      <c r="AC52" s="100"/>
      <c r="AD52" s="99"/>
      <c r="AE52" s="48"/>
      <c r="AF52" s="48"/>
      <c r="AG52" s="48"/>
      <c r="AH52" s="91">
        <v>20</v>
      </c>
      <c r="AI52" s="27">
        <v>222000</v>
      </c>
      <c r="AJ52" s="92">
        <f>AH52*AI52</f>
      </c>
      <c r="AK52" s="24">
        <v>20</v>
      </c>
      <c r="AL52" s="57">
        <v>175000</v>
      </c>
      <c r="AM52" s="26">
        <f>AK52*AL52</f>
      </c>
      <c r="AN52" s="91"/>
      <c r="AO52" s="27"/>
      <c r="AP52" s="96">
        <f>AN52*AO52</f>
      </c>
    </row>
    <row x14ac:dyDescent="0.25" r="53" customHeight="1" ht="27">
      <c r="A53" s="24">
        <v>49</v>
      </c>
      <c r="B53" s="22" t="s">
        <v>124</v>
      </c>
      <c r="C53" s="23" t="s">
        <v>125</v>
      </c>
      <c r="D53" s="21"/>
      <c r="E53" s="58"/>
      <c r="F53" s="21"/>
      <c r="G53" s="102"/>
      <c r="H53" s="91"/>
      <c r="I53" s="27"/>
      <c r="J53" s="92"/>
      <c r="K53" s="48"/>
      <c r="L53" s="93"/>
      <c r="M53" s="48"/>
      <c r="N53" s="94"/>
      <c r="O53" s="99"/>
      <c r="P53" s="100"/>
      <c r="Q53" s="99"/>
      <c r="R53" s="48"/>
      <c r="S53" s="93"/>
      <c r="T53" s="48"/>
      <c r="U53" s="94"/>
      <c r="V53" s="99"/>
      <c r="W53" s="100"/>
      <c r="X53" s="99"/>
      <c r="Y53" s="48"/>
      <c r="Z53" s="93"/>
      <c r="AA53" s="48"/>
      <c r="AB53" s="91">
        <v>10</v>
      </c>
      <c r="AC53" s="27">
        <v>234500</v>
      </c>
      <c r="AD53" s="92">
        <f>AB53*AC53</f>
      </c>
      <c r="AE53" s="103"/>
      <c r="AF53" s="93"/>
      <c r="AG53" s="103"/>
      <c r="AH53" s="91">
        <v>20</v>
      </c>
      <c r="AI53" s="27">
        <v>234500</v>
      </c>
      <c r="AJ53" s="92">
        <f>AH53*AI53</f>
      </c>
      <c r="AK53" s="48"/>
      <c r="AL53" s="93"/>
      <c r="AM53" s="48"/>
      <c r="AN53" s="91"/>
      <c r="AO53" s="27"/>
      <c r="AP53" s="96">
        <f>AN53*AO53</f>
      </c>
    </row>
    <row x14ac:dyDescent="0.25" r="54" customHeight="1" ht="27">
      <c r="A54" s="24">
        <v>50</v>
      </c>
      <c r="B54" s="22" t="s">
        <v>126</v>
      </c>
      <c r="C54" s="23" t="s">
        <v>127</v>
      </c>
      <c r="D54" s="24"/>
      <c r="E54" s="57"/>
      <c r="F54" s="26"/>
      <c r="G54" s="90"/>
      <c r="H54" s="91"/>
      <c r="I54" s="27"/>
      <c r="J54" s="92"/>
      <c r="K54" s="24"/>
      <c r="L54" s="57"/>
      <c r="M54" s="26"/>
      <c r="N54" s="90"/>
      <c r="O54" s="99"/>
      <c r="P54" s="100"/>
      <c r="Q54" s="99"/>
      <c r="R54" s="48"/>
      <c r="S54" s="93"/>
      <c r="T54" s="48"/>
      <c r="U54" s="94"/>
      <c r="V54" s="99"/>
      <c r="W54" s="100"/>
      <c r="X54" s="99"/>
      <c r="Y54" s="48"/>
      <c r="Z54" s="93"/>
      <c r="AA54" s="48"/>
      <c r="AB54" s="99"/>
      <c r="AC54" s="100"/>
      <c r="AD54" s="99"/>
      <c r="AE54" s="95">
        <v>10</v>
      </c>
      <c r="AF54" s="57">
        <v>240500</v>
      </c>
      <c r="AG54" s="95">
        <f>AE54*AF54</f>
      </c>
      <c r="AH54" s="99"/>
      <c r="AI54" s="100"/>
      <c r="AJ54" s="99"/>
      <c r="AK54" s="48"/>
      <c r="AL54" s="93"/>
      <c r="AM54" s="48"/>
      <c r="AN54" s="99"/>
      <c r="AO54" s="100"/>
      <c r="AP54" s="96">
        <f>AN54*AO54</f>
      </c>
    </row>
    <row x14ac:dyDescent="0.25" r="55" customHeight="1" ht="27">
      <c r="A55" s="24">
        <v>51</v>
      </c>
      <c r="B55" s="22" t="s">
        <v>128</v>
      </c>
      <c r="C55" s="23" t="s">
        <v>129</v>
      </c>
      <c r="D55" s="24"/>
      <c r="E55" s="57"/>
      <c r="F55" s="26"/>
      <c r="G55" s="90"/>
      <c r="H55" s="91">
        <v>20</v>
      </c>
      <c r="I55" s="27">
        <v>339000</v>
      </c>
      <c r="J55" s="92">
        <f>H55*I55</f>
      </c>
      <c r="K55" s="24"/>
      <c r="L55" s="57"/>
      <c r="M55" s="26"/>
      <c r="N55" s="90"/>
      <c r="O55" s="99"/>
      <c r="P55" s="100"/>
      <c r="Q55" s="99"/>
      <c r="R55" s="48"/>
      <c r="S55" s="93"/>
      <c r="T55" s="48"/>
      <c r="U55" s="94"/>
      <c r="V55" s="99"/>
      <c r="W55" s="100"/>
      <c r="X55" s="99"/>
      <c r="Y55" s="48"/>
      <c r="Z55" s="93"/>
      <c r="AA55" s="48"/>
      <c r="AB55" s="91">
        <v>10</v>
      </c>
      <c r="AC55" s="27">
        <v>339000</v>
      </c>
      <c r="AD55" s="92">
        <f>AB55*AC55</f>
      </c>
      <c r="AE55" s="95">
        <v>20</v>
      </c>
      <c r="AF55" s="57">
        <v>261500</v>
      </c>
      <c r="AG55" s="95">
        <f>AE55*AF55</f>
      </c>
      <c r="AH55" s="91">
        <v>30</v>
      </c>
      <c r="AI55" s="27">
        <v>339000</v>
      </c>
      <c r="AJ55" s="92">
        <f>AH55*AI55</f>
      </c>
      <c r="AK55" s="48"/>
      <c r="AL55" s="93"/>
      <c r="AM55" s="48"/>
      <c r="AN55" s="91"/>
      <c r="AO55" s="27"/>
      <c r="AP55" s="96">
        <f>AN55*AO55</f>
      </c>
    </row>
    <row x14ac:dyDescent="0.25" r="56" customHeight="1" ht="27">
      <c r="A56" s="24">
        <v>52</v>
      </c>
      <c r="B56" s="22" t="s">
        <v>131</v>
      </c>
      <c r="C56" s="23" t="s">
        <v>132</v>
      </c>
      <c r="D56" s="24"/>
      <c r="E56" s="57"/>
      <c r="F56" s="26"/>
      <c r="G56" s="90"/>
      <c r="H56" s="91"/>
      <c r="I56" s="27"/>
      <c r="J56" s="92"/>
      <c r="K56" s="24"/>
      <c r="L56" s="57"/>
      <c r="M56" s="26"/>
      <c r="N56" s="90"/>
      <c r="O56" s="99"/>
      <c r="P56" s="100"/>
      <c r="Q56" s="99"/>
      <c r="R56" s="48"/>
      <c r="S56" s="93"/>
      <c r="T56" s="48"/>
      <c r="U56" s="94"/>
      <c r="V56" s="99"/>
      <c r="W56" s="100"/>
      <c r="X56" s="99"/>
      <c r="Y56" s="48"/>
      <c r="Z56" s="93"/>
      <c r="AA56" s="48"/>
      <c r="AB56" s="99"/>
      <c r="AC56" s="100"/>
      <c r="AD56" s="99"/>
      <c r="AE56" s="48"/>
      <c r="AF56" s="48"/>
      <c r="AG56" s="48"/>
      <c r="AH56" s="99"/>
      <c r="AI56" s="100"/>
      <c r="AJ56" s="99"/>
      <c r="AK56" s="48"/>
      <c r="AL56" s="93"/>
      <c r="AM56" s="48"/>
      <c r="AN56" s="99"/>
      <c r="AO56" s="100"/>
      <c r="AP56" s="96">
        <f>AN56*AO56</f>
      </c>
    </row>
    <row x14ac:dyDescent="0.25" r="57" customHeight="1" ht="27">
      <c r="A57" s="24">
        <v>53</v>
      </c>
      <c r="B57" s="22" t="s">
        <v>134</v>
      </c>
      <c r="C57" s="23" t="s">
        <v>135</v>
      </c>
      <c r="D57" s="24"/>
      <c r="E57" s="57"/>
      <c r="F57" s="26"/>
      <c r="G57" s="90"/>
      <c r="H57" s="91"/>
      <c r="I57" s="27"/>
      <c r="J57" s="92"/>
      <c r="K57" s="24"/>
      <c r="L57" s="57"/>
      <c r="M57" s="26"/>
      <c r="N57" s="90"/>
      <c r="O57" s="99"/>
      <c r="P57" s="100"/>
      <c r="Q57" s="99"/>
      <c r="R57" s="48"/>
      <c r="S57" s="93"/>
      <c r="T57" s="48"/>
      <c r="U57" s="94"/>
      <c r="V57" s="99"/>
      <c r="W57" s="100"/>
      <c r="X57" s="99"/>
      <c r="Y57" s="48"/>
      <c r="Z57" s="93"/>
      <c r="AA57" s="48"/>
      <c r="AB57" s="99"/>
      <c r="AC57" s="100"/>
      <c r="AD57" s="99"/>
      <c r="AE57" s="95">
        <v>10</v>
      </c>
      <c r="AF57" s="57">
        <v>189000</v>
      </c>
      <c r="AG57" s="95">
        <f>AE57*AF57</f>
      </c>
      <c r="AH57" s="99"/>
      <c r="AI57" s="100"/>
      <c r="AJ57" s="99"/>
      <c r="AK57" s="48"/>
      <c r="AL57" s="93"/>
      <c r="AM57" s="48"/>
      <c r="AN57" s="99"/>
      <c r="AO57" s="100"/>
      <c r="AP57" s="96">
        <f>AN57*AO57</f>
      </c>
    </row>
    <row x14ac:dyDescent="0.25" r="58" customHeight="1" ht="27">
      <c r="A58" s="24">
        <v>54</v>
      </c>
      <c r="B58" s="22" t="s">
        <v>137</v>
      </c>
      <c r="C58" s="23" t="s">
        <v>138</v>
      </c>
      <c r="D58" s="24"/>
      <c r="E58" s="57"/>
      <c r="F58" s="26"/>
      <c r="G58" s="90"/>
      <c r="H58" s="91"/>
      <c r="I58" s="27"/>
      <c r="J58" s="92"/>
      <c r="K58" s="24"/>
      <c r="L58" s="57"/>
      <c r="M58" s="26"/>
      <c r="N58" s="90"/>
      <c r="O58" s="99"/>
      <c r="P58" s="100"/>
      <c r="Q58" s="99"/>
      <c r="R58" s="48"/>
      <c r="S58" s="93"/>
      <c r="T58" s="48"/>
      <c r="U58" s="94"/>
      <c r="V58" s="99"/>
      <c r="W58" s="100"/>
      <c r="X58" s="99"/>
      <c r="Y58" s="48"/>
      <c r="Z58" s="93"/>
      <c r="AA58" s="48"/>
      <c r="AB58" s="91">
        <v>14</v>
      </c>
      <c r="AC58" s="27">
        <v>271500</v>
      </c>
      <c r="AD58" s="92">
        <f>AB58*AC58</f>
      </c>
      <c r="AE58" s="48"/>
      <c r="AF58" s="48"/>
      <c r="AG58" s="48"/>
      <c r="AH58" s="91">
        <v>6</v>
      </c>
      <c r="AI58" s="27">
        <v>271500</v>
      </c>
      <c r="AJ58" s="92">
        <f>AH58*AI58</f>
      </c>
      <c r="AK58" s="48"/>
      <c r="AL58" s="93"/>
      <c r="AM58" s="48"/>
      <c r="AN58" s="91">
        <v>10</v>
      </c>
      <c r="AO58" s="27">
        <v>271500</v>
      </c>
      <c r="AP58" s="96">
        <f>AN58*AO58</f>
      </c>
    </row>
    <row x14ac:dyDescent="0.25" r="59" customHeight="1" ht="27">
      <c r="A59" s="24">
        <v>55</v>
      </c>
      <c r="B59" s="22" t="s">
        <v>139</v>
      </c>
      <c r="C59" s="23" t="s">
        <v>140</v>
      </c>
      <c r="D59" s="24">
        <f>40+30</f>
      </c>
      <c r="E59" s="57">
        <v>38500</v>
      </c>
      <c r="F59" s="26">
        <f>D59*E59*98%</f>
      </c>
      <c r="G59" s="90">
        <v>0.02</v>
      </c>
      <c r="H59" s="91">
        <f>127+65</f>
      </c>
      <c r="I59" s="27">
        <v>55500</v>
      </c>
      <c r="J59" s="92">
        <f>H59*I59</f>
      </c>
      <c r="K59" s="24">
        <f>170+70</f>
      </c>
      <c r="L59" s="57">
        <v>38500</v>
      </c>
      <c r="M59" s="26">
        <f>K59*L59*98%</f>
      </c>
      <c r="N59" s="90">
        <v>0.02</v>
      </c>
      <c r="O59" s="91">
        <f>135+273</f>
      </c>
      <c r="P59" s="27">
        <v>55500</v>
      </c>
      <c r="Q59" s="92">
        <f>O59*P59</f>
      </c>
      <c r="R59" s="21">
        <v>150</v>
      </c>
      <c r="S59" s="57">
        <v>38500</v>
      </c>
      <c r="T59" s="21">
        <f>R59*S59*98%</f>
      </c>
      <c r="U59" s="90">
        <v>0.02</v>
      </c>
      <c r="V59" s="91">
        <f>200+250</f>
      </c>
      <c r="W59" s="27">
        <v>55500</v>
      </c>
      <c r="X59" s="92">
        <f>V59*W59</f>
      </c>
      <c r="Y59" s="21">
        <f>283+35</f>
      </c>
      <c r="Z59" s="57">
        <v>38500</v>
      </c>
      <c r="AA59" s="21">
        <f>Y59*Z59</f>
      </c>
      <c r="AB59" s="91">
        <f>100+100</f>
      </c>
      <c r="AC59" s="27">
        <v>55500</v>
      </c>
      <c r="AD59" s="92">
        <f>AB59*AC59</f>
      </c>
      <c r="AE59" s="95">
        <v>432</v>
      </c>
      <c r="AF59" s="57">
        <v>42400</v>
      </c>
      <c r="AG59" s="95">
        <f>AE59*AF59</f>
      </c>
      <c r="AH59" s="91">
        <v>100</v>
      </c>
      <c r="AI59" s="27">
        <v>55500</v>
      </c>
      <c r="AJ59" s="92">
        <f>AH59*AI59</f>
      </c>
      <c r="AK59" s="24">
        <f>80+575</f>
      </c>
      <c r="AL59" s="57">
        <v>42400</v>
      </c>
      <c r="AM59" s="26">
        <f>AK59*AL59</f>
      </c>
      <c r="AN59" s="91">
        <v>500</v>
      </c>
      <c r="AO59" s="27">
        <v>55500</v>
      </c>
      <c r="AP59" s="96">
        <f>AN59*AO59</f>
      </c>
    </row>
    <row x14ac:dyDescent="0.25" r="60" customHeight="1" ht="27">
      <c r="A60" s="24">
        <v>56</v>
      </c>
      <c r="B60" s="22" t="s">
        <v>141</v>
      </c>
      <c r="C60" s="23" t="s">
        <v>142</v>
      </c>
      <c r="D60" s="9"/>
      <c r="E60" s="104"/>
      <c r="F60" s="35"/>
      <c r="G60" s="90"/>
      <c r="H60" s="91">
        <v>20</v>
      </c>
      <c r="I60" s="27">
        <v>139500</v>
      </c>
      <c r="J60" s="92">
        <f>H60*I60</f>
      </c>
      <c r="K60" s="36"/>
      <c r="L60" s="93"/>
      <c r="M60" s="48"/>
      <c r="N60" s="94"/>
      <c r="O60" s="99"/>
      <c r="P60" s="100"/>
      <c r="Q60" s="99"/>
      <c r="R60" s="48"/>
      <c r="S60" s="93"/>
      <c r="T60" s="48"/>
      <c r="U60" s="94"/>
      <c r="V60" s="99"/>
      <c r="W60" s="100"/>
      <c r="X60" s="99"/>
      <c r="Y60" s="48"/>
      <c r="Z60" s="93"/>
      <c r="AA60" s="48"/>
      <c r="AB60" s="99"/>
      <c r="AC60" s="100"/>
      <c r="AD60" s="99"/>
      <c r="AE60" s="103"/>
      <c r="AF60" s="93"/>
      <c r="AG60" s="103"/>
      <c r="AH60" s="91">
        <v>50</v>
      </c>
      <c r="AI60" s="27">
        <v>139500</v>
      </c>
      <c r="AJ60" s="92">
        <f>AH60*AI60</f>
      </c>
      <c r="AK60" s="48"/>
      <c r="AL60" s="93"/>
      <c r="AM60" s="48"/>
      <c r="AN60" s="91"/>
      <c r="AO60" s="27"/>
      <c r="AP60" s="96">
        <f>AN60*AO60</f>
      </c>
    </row>
    <row x14ac:dyDescent="0.25" r="61" customHeight="1" ht="27">
      <c r="A61" s="24">
        <v>57</v>
      </c>
      <c r="B61" s="22" t="s">
        <v>144</v>
      </c>
      <c r="C61" s="23" t="s">
        <v>145</v>
      </c>
      <c r="D61" s="9"/>
      <c r="E61" s="58"/>
      <c r="F61" s="36"/>
      <c r="G61" s="21"/>
      <c r="H61" s="91"/>
      <c r="I61" s="27"/>
      <c r="J61" s="92"/>
      <c r="K61" s="36"/>
      <c r="L61" s="105"/>
      <c r="M61" s="36"/>
      <c r="N61" s="94"/>
      <c r="O61" s="99"/>
      <c r="P61" s="100"/>
      <c r="Q61" s="99"/>
      <c r="R61" s="48"/>
      <c r="S61" s="93"/>
      <c r="T61" s="48"/>
      <c r="U61" s="94"/>
      <c r="V61" s="91">
        <v>30</v>
      </c>
      <c r="W61" s="27">
        <v>165000</v>
      </c>
      <c r="X61" s="92">
        <f>V61*W61</f>
      </c>
      <c r="Y61" s="48"/>
      <c r="Z61" s="93"/>
      <c r="AA61" s="48"/>
      <c r="AB61" s="91">
        <v>50</v>
      </c>
      <c r="AC61" s="27">
        <v>165000</v>
      </c>
      <c r="AD61" s="92">
        <v>8250000</v>
      </c>
      <c r="AE61" s="103"/>
      <c r="AF61" s="93"/>
      <c r="AG61" s="103"/>
      <c r="AH61" s="99"/>
      <c r="AI61" s="100"/>
      <c r="AJ61" s="99"/>
      <c r="AK61" s="48"/>
      <c r="AL61" s="93"/>
      <c r="AM61" s="48"/>
      <c r="AN61" s="99"/>
      <c r="AO61" s="100"/>
      <c r="AP61" s="96">
        <f>AN61*AO61</f>
      </c>
    </row>
    <row x14ac:dyDescent="0.25" r="62" customHeight="1" ht="27">
      <c r="A62" s="9" t="s">
        <v>194</v>
      </c>
      <c r="B62" s="69"/>
      <c r="C62" s="70"/>
      <c r="D62" s="21">
        <f>SUM(D7:D61)</f>
      </c>
      <c r="E62" s="105"/>
      <c r="F62" s="36">
        <f>SUM(F7:F61)</f>
      </c>
      <c r="G62" s="36"/>
      <c r="H62" s="88">
        <f>SUM(H7:H61)</f>
      </c>
      <c r="I62" s="20"/>
      <c r="J62" s="92">
        <f>SUM(J7:J61)</f>
      </c>
      <c r="K62" s="21">
        <f>SUM(K7:K61)</f>
      </c>
      <c r="L62" s="105"/>
      <c r="M62" s="36">
        <f>SUM(M7:M61)</f>
      </c>
      <c r="N62" s="106"/>
      <c r="O62" s="96">
        <f>SUM(O7:O61)</f>
      </c>
      <c r="P62" s="101"/>
      <c r="Q62" s="96">
        <f>SUM(Q7:Q61)</f>
      </c>
      <c r="R62" s="21">
        <f>SUM(R7:R61)</f>
      </c>
      <c r="S62" s="105"/>
      <c r="T62" s="36">
        <f>SUM(T7:T61)</f>
      </c>
      <c r="U62" s="106"/>
      <c r="V62" s="96">
        <f>SUM(V7:V61)</f>
      </c>
      <c r="W62" s="101"/>
      <c r="X62" s="96">
        <f>SUM(X7:X61)</f>
      </c>
      <c r="Y62" s="21">
        <f>SUM(Y7:Y61)</f>
      </c>
      <c r="Z62" s="105"/>
      <c r="AA62" s="36">
        <f>SUM(AA7:AA61)</f>
      </c>
      <c r="AB62" s="96">
        <f>SUM(AB7:AB61)</f>
      </c>
      <c r="AC62" s="101"/>
      <c r="AD62" s="96">
        <f>SUM(AD7:AD61)</f>
      </c>
      <c r="AE62" s="107">
        <f>SUM(AE8:AE61)</f>
      </c>
      <c r="AF62" s="58"/>
      <c r="AG62" s="107">
        <f>SUM(AG8:AG61)</f>
      </c>
      <c r="AH62" s="96">
        <f>SUM(AH7:AH61)</f>
      </c>
      <c r="AI62" s="100"/>
      <c r="AJ62" s="96">
        <f>SUM(AJ7:AJ61)</f>
      </c>
      <c r="AK62" s="21">
        <f>SUM(AK7:AK61)</f>
      </c>
      <c r="AL62" s="105"/>
      <c r="AM62" s="36">
        <f>SUM(AM7:AM61)</f>
      </c>
      <c r="AN62" s="96">
        <f>SUM(AN7:AN61)</f>
      </c>
      <c r="AO62" s="100"/>
      <c r="AP62" s="96">
        <f>SUM(AP7:AP61)</f>
      </c>
    </row>
    <row x14ac:dyDescent="0.25" r="63" customHeight="1" ht="27">
      <c r="A63" s="38"/>
      <c r="B63" s="39"/>
      <c r="C63" s="5"/>
      <c r="D63" s="38"/>
      <c r="E63" s="38"/>
      <c r="F63" s="38"/>
      <c r="G63" s="79"/>
      <c r="H63" s="38"/>
      <c r="I63" s="38"/>
      <c r="J63" s="38"/>
      <c r="K63" s="38"/>
      <c r="L63" s="38"/>
      <c r="M63" s="38"/>
      <c r="N63" s="79"/>
      <c r="O63" s="38"/>
      <c r="P63" s="38"/>
      <c r="Q63" s="38"/>
      <c r="R63" s="38"/>
      <c r="S63" s="38"/>
      <c r="T63" s="38"/>
      <c r="U63" s="79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</row>
    <row x14ac:dyDescent="0.25" r="64" customHeight="1" ht="27">
      <c r="A64" s="38"/>
      <c r="B64" s="39"/>
      <c r="C64" s="5"/>
      <c r="D64" s="38"/>
      <c r="E64" s="38"/>
      <c r="F64" s="41"/>
      <c r="G64" s="79"/>
      <c r="H64" s="38"/>
      <c r="I64" s="38"/>
      <c r="J64" s="38"/>
      <c r="K64" s="40"/>
      <c r="L64" s="38"/>
      <c r="M64" s="41"/>
      <c r="N64" s="79"/>
      <c r="O64" s="38"/>
      <c r="P64" s="38"/>
      <c r="Q64" s="38"/>
      <c r="R64" s="40"/>
      <c r="S64" s="38"/>
      <c r="T64" s="41"/>
      <c r="U64" s="79"/>
      <c r="V64" s="38"/>
      <c r="W64" s="38"/>
      <c r="X64" s="38"/>
      <c r="Y64" s="40"/>
      <c r="Z64" s="38"/>
      <c r="AA64" s="41"/>
      <c r="AB64" s="38"/>
      <c r="AC64" s="38"/>
      <c r="AD64" s="38"/>
      <c r="AE64" s="38"/>
      <c r="AF64" s="38"/>
      <c r="AG64" s="38"/>
      <c r="AH64" s="38"/>
      <c r="AI64" s="38"/>
      <c r="AJ64" s="38"/>
      <c r="AK64" s="40"/>
      <c r="AL64" s="38"/>
      <c r="AM64" s="41"/>
      <c r="AN64" s="42"/>
      <c r="AO64" s="42"/>
      <c r="AP64" s="42"/>
    </row>
    <row x14ac:dyDescent="0.25" r="65" customHeight="1" ht="27">
      <c r="A65" s="38"/>
      <c r="B65" s="39"/>
      <c r="C65" s="5"/>
      <c r="D65" s="38"/>
      <c r="E65" s="38"/>
      <c r="F65" s="38"/>
      <c r="G65" s="79"/>
      <c r="H65" s="38"/>
      <c r="I65" s="38"/>
      <c r="J65" s="38"/>
      <c r="K65" s="38"/>
      <c r="L65" s="38"/>
      <c r="M65" s="38"/>
      <c r="N65" s="79"/>
      <c r="O65" s="38"/>
      <c r="P65" s="38"/>
      <c r="Q65" s="38"/>
      <c r="R65" s="38"/>
      <c r="S65" s="38"/>
      <c r="T65" s="38"/>
      <c r="U65" s="79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42"/>
      <c r="AO65" s="42"/>
      <c r="AP65" s="42"/>
    </row>
    <row x14ac:dyDescent="0.25" r="66" customHeight="1" ht="27">
      <c r="A66" s="42"/>
      <c r="B66" s="44"/>
      <c r="C66" s="72"/>
      <c r="D66" s="42"/>
      <c r="E66" s="40"/>
      <c r="F66" s="40"/>
      <c r="G66" s="108"/>
      <c r="H66" s="38"/>
      <c r="I66" s="38"/>
      <c r="J66" s="38"/>
      <c r="K66" s="40"/>
      <c r="L66" s="40"/>
      <c r="M66" s="40"/>
      <c r="N66" s="108"/>
      <c r="O66" s="38"/>
      <c r="P66" s="38"/>
      <c r="Q66" s="38"/>
      <c r="R66" s="40"/>
      <c r="S66" s="40"/>
      <c r="T66" s="40"/>
      <c r="U66" s="108"/>
      <c r="V66" s="38"/>
      <c r="W66" s="38"/>
      <c r="X66" s="38"/>
      <c r="Y66" s="40"/>
      <c r="Z66" s="40"/>
      <c r="AA66" s="40"/>
      <c r="AB66" s="38"/>
      <c r="AC66" s="38"/>
      <c r="AD66" s="38"/>
      <c r="AE66" s="40"/>
      <c r="AF66" s="40"/>
      <c r="AG66" s="40"/>
      <c r="AH66" s="38"/>
      <c r="AI66" s="38"/>
      <c r="AJ66" s="38"/>
      <c r="AK66" s="40"/>
      <c r="AL66" s="40"/>
      <c r="AM66" s="40"/>
      <c r="AN66" s="42"/>
      <c r="AO66" s="42"/>
      <c r="AP66" s="42"/>
    </row>
    <row x14ac:dyDescent="0.25" r="67" customHeight="1" ht="27">
      <c r="A67" s="38"/>
      <c r="B67" s="39"/>
      <c r="C67" s="5"/>
      <c r="D67" s="38"/>
      <c r="E67" s="38"/>
      <c r="F67" s="38"/>
      <c r="G67" s="79"/>
      <c r="H67" s="38"/>
      <c r="I67" s="38"/>
      <c r="J67" s="38"/>
      <c r="K67" s="38"/>
      <c r="L67" s="38"/>
      <c r="M67" s="38"/>
      <c r="N67" s="79"/>
      <c r="O67" s="38"/>
      <c r="P67" s="38"/>
      <c r="Q67" s="38"/>
      <c r="R67" s="38"/>
      <c r="S67" s="38"/>
      <c r="T67" s="38"/>
      <c r="U67" s="79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</row>
    <row x14ac:dyDescent="0.25" r="68" customHeight="1" ht="27">
      <c r="A68" s="38"/>
      <c r="B68" s="39"/>
      <c r="C68" s="5"/>
      <c r="D68" s="38"/>
      <c r="E68" s="38"/>
      <c r="F68" s="38"/>
      <c r="G68" s="79"/>
      <c r="H68" s="38"/>
      <c r="I68" s="38"/>
      <c r="J68" s="38"/>
      <c r="K68" s="38"/>
      <c r="L68" s="38"/>
      <c r="M68" s="38"/>
      <c r="N68" s="79"/>
      <c r="O68" s="38"/>
      <c r="P68" s="38"/>
      <c r="Q68" s="38"/>
      <c r="R68" s="38"/>
      <c r="S68" s="38"/>
      <c r="T68" s="38"/>
      <c r="U68" s="79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</row>
    <row x14ac:dyDescent="0.25" r="69" customHeight="1" ht="27">
      <c r="A69" s="38"/>
      <c r="B69" s="39"/>
      <c r="C69" s="5"/>
      <c r="D69" s="38"/>
      <c r="E69" s="38"/>
      <c r="F69" s="38"/>
      <c r="G69" s="79"/>
      <c r="H69" s="38"/>
      <c r="I69" s="38"/>
      <c r="J69" s="38"/>
      <c r="K69" s="38"/>
      <c r="L69" s="38"/>
      <c r="M69" s="38"/>
      <c r="N69" s="79"/>
      <c r="O69" s="38"/>
      <c r="P69" s="38"/>
      <c r="Q69" s="38"/>
      <c r="R69" s="38"/>
      <c r="S69" s="38"/>
      <c r="T69" s="38"/>
      <c r="U69" s="79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</row>
    <row x14ac:dyDescent="0.25" r="70" customHeight="1" ht="27">
      <c r="A70" s="38"/>
      <c r="B70" s="39"/>
      <c r="C70" s="5"/>
      <c r="D70" s="38"/>
      <c r="E70" s="38"/>
      <c r="F70" s="38"/>
      <c r="G70" s="79"/>
      <c r="H70" s="38"/>
      <c r="I70" s="38"/>
      <c r="J70" s="38"/>
      <c r="K70" s="38"/>
      <c r="L70" s="38"/>
      <c r="M70" s="38"/>
      <c r="N70" s="79"/>
      <c r="O70" s="38"/>
      <c r="P70" s="38"/>
      <c r="Q70" s="38"/>
      <c r="R70" s="38"/>
      <c r="S70" s="38"/>
      <c r="T70" s="38"/>
      <c r="U70" s="79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</row>
    <row x14ac:dyDescent="0.25" r="71" customHeight="1" ht="27">
      <c r="A71" s="38"/>
      <c r="B71" s="39"/>
      <c r="C71" s="5"/>
      <c r="D71" s="38"/>
      <c r="E71" s="38"/>
      <c r="F71" s="38"/>
      <c r="G71" s="79"/>
      <c r="H71" s="38"/>
      <c r="I71" s="38"/>
      <c r="J71" s="38"/>
      <c r="K71" s="38"/>
      <c r="L71" s="38"/>
      <c r="M71" s="38"/>
      <c r="N71" s="79"/>
      <c r="O71" s="38"/>
      <c r="P71" s="38"/>
      <c r="Q71" s="38"/>
      <c r="R71" s="38"/>
      <c r="S71" s="38"/>
      <c r="T71" s="38"/>
      <c r="U71" s="79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</row>
    <row x14ac:dyDescent="0.25" r="72" customHeight="1" ht="27">
      <c r="A72" s="38"/>
      <c r="B72" s="39"/>
      <c r="C72" s="5"/>
      <c r="D72" s="38"/>
      <c r="E72" s="38"/>
      <c r="F72" s="38"/>
      <c r="G72" s="79"/>
      <c r="H72" s="38"/>
      <c r="I72" s="38"/>
      <c r="J72" s="38"/>
      <c r="K72" s="38"/>
      <c r="L72" s="38"/>
      <c r="M72" s="38"/>
      <c r="N72" s="79"/>
      <c r="O72" s="38"/>
      <c r="P72" s="38"/>
      <c r="Q72" s="38"/>
      <c r="R72" s="38"/>
      <c r="S72" s="38"/>
      <c r="T72" s="38"/>
      <c r="U72" s="79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</row>
    <row x14ac:dyDescent="0.25" r="73" customHeight="1" ht="27">
      <c r="A73" s="38"/>
      <c r="B73" s="39"/>
      <c r="C73" s="5"/>
      <c r="D73" s="38"/>
      <c r="E73" s="38"/>
      <c r="F73" s="38"/>
      <c r="G73" s="79"/>
      <c r="H73" s="38"/>
      <c r="I73" s="38"/>
      <c r="J73" s="38"/>
      <c r="K73" s="38"/>
      <c r="L73" s="38"/>
      <c r="M73" s="38"/>
      <c r="N73" s="79"/>
      <c r="O73" s="38"/>
      <c r="P73" s="38"/>
      <c r="Q73" s="38"/>
      <c r="R73" s="38"/>
      <c r="S73" s="38"/>
      <c r="T73" s="38"/>
      <c r="U73" s="79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</row>
    <row x14ac:dyDescent="0.25" r="74" customHeight="1" ht="27">
      <c r="A74" s="38"/>
      <c r="B74" s="39"/>
      <c r="C74" s="5"/>
      <c r="D74" s="38"/>
      <c r="E74" s="38"/>
      <c r="F74" s="38"/>
      <c r="G74" s="79"/>
      <c r="H74" s="38"/>
      <c r="I74" s="38"/>
      <c r="J74" s="38"/>
      <c r="K74" s="38"/>
      <c r="L74" s="38"/>
      <c r="M74" s="38"/>
      <c r="N74" s="79"/>
      <c r="O74" s="38"/>
      <c r="P74" s="38"/>
      <c r="Q74" s="38"/>
      <c r="R74" s="38"/>
      <c r="S74" s="38"/>
      <c r="T74" s="38"/>
      <c r="U74" s="79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</row>
    <row x14ac:dyDescent="0.25" r="75" customHeight="1" ht="27">
      <c r="A75" s="38"/>
      <c r="B75" s="39"/>
      <c r="C75" s="5"/>
      <c r="D75" s="38"/>
      <c r="E75" s="38"/>
      <c r="F75" s="38"/>
      <c r="G75" s="79"/>
      <c r="H75" s="38"/>
      <c r="I75" s="38"/>
      <c r="J75" s="38"/>
      <c r="K75" s="38"/>
      <c r="L75" s="38"/>
      <c r="M75" s="38"/>
      <c r="N75" s="79"/>
      <c r="O75" s="38"/>
      <c r="P75" s="38"/>
      <c r="Q75" s="38"/>
      <c r="R75" s="38"/>
      <c r="S75" s="38"/>
      <c r="T75" s="38"/>
      <c r="U75" s="79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</row>
    <row x14ac:dyDescent="0.25" r="76" customHeight="1" ht="27">
      <c r="A76" s="38"/>
      <c r="B76" s="39"/>
      <c r="C76" s="5"/>
      <c r="D76" s="38"/>
      <c r="E76" s="38"/>
      <c r="F76" s="38"/>
      <c r="G76" s="79"/>
      <c r="H76" s="38"/>
      <c r="I76" s="38"/>
      <c r="J76" s="38"/>
      <c r="K76" s="38"/>
      <c r="L76" s="38"/>
      <c r="M76" s="38"/>
      <c r="N76" s="79"/>
      <c r="O76" s="38"/>
      <c r="P76" s="38"/>
      <c r="Q76" s="38"/>
      <c r="R76" s="38"/>
      <c r="S76" s="38"/>
      <c r="T76" s="38"/>
      <c r="U76" s="79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</row>
    <row x14ac:dyDescent="0.25" r="77" customHeight="1" ht="27">
      <c r="A77" s="38"/>
      <c r="B77" s="39"/>
      <c r="C77" s="5"/>
      <c r="D77" s="38"/>
      <c r="E77" s="38"/>
      <c r="F77" s="38"/>
      <c r="G77" s="79"/>
      <c r="H77" s="38"/>
      <c r="I77" s="38"/>
      <c r="J77" s="38"/>
      <c r="K77" s="38"/>
      <c r="L77" s="38"/>
      <c r="M77" s="38"/>
      <c r="N77" s="79"/>
      <c r="O77" s="38"/>
      <c r="P77" s="38"/>
      <c r="Q77" s="38"/>
      <c r="R77" s="38"/>
      <c r="S77" s="38"/>
      <c r="T77" s="38"/>
      <c r="U77" s="79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</row>
    <row x14ac:dyDescent="0.25" r="78" customHeight="1" ht="27">
      <c r="A78" s="38"/>
      <c r="B78" s="39"/>
      <c r="C78" s="5"/>
      <c r="D78" s="38"/>
      <c r="E78" s="38"/>
      <c r="F78" s="38"/>
      <c r="G78" s="79"/>
      <c r="H78" s="38"/>
      <c r="I78" s="38"/>
      <c r="J78" s="38"/>
      <c r="K78" s="38"/>
      <c r="L78" s="38"/>
      <c r="M78" s="38"/>
      <c r="N78" s="79"/>
      <c r="O78" s="38"/>
      <c r="P78" s="38"/>
      <c r="Q78" s="38"/>
      <c r="R78" s="38"/>
      <c r="S78" s="38"/>
      <c r="T78" s="38"/>
      <c r="U78" s="79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</row>
    <row x14ac:dyDescent="0.25" r="79" customHeight="1" ht="27">
      <c r="A79" s="38"/>
      <c r="B79" s="39"/>
      <c r="C79" s="5"/>
      <c r="D79" s="38"/>
      <c r="E79" s="38"/>
      <c r="F79" s="38"/>
      <c r="G79" s="79"/>
      <c r="H79" s="38"/>
      <c r="I79" s="38"/>
      <c r="J79" s="38"/>
      <c r="K79" s="38"/>
      <c r="L79" s="38"/>
      <c r="M79" s="38"/>
      <c r="N79" s="79"/>
      <c r="O79" s="38"/>
      <c r="P79" s="38"/>
      <c r="Q79" s="38"/>
      <c r="R79" s="38"/>
      <c r="S79" s="38"/>
      <c r="T79" s="38"/>
      <c r="U79" s="79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</row>
    <row x14ac:dyDescent="0.25" r="80" customHeight="1" ht="18.75">
      <c r="A80" s="42"/>
      <c r="B80" s="44"/>
      <c r="C80" s="72"/>
      <c r="D80" s="42"/>
      <c r="E80" s="42"/>
      <c r="F80" s="38"/>
      <c r="G80" s="79"/>
      <c r="H80" s="42"/>
      <c r="I80" s="42"/>
      <c r="J80" s="42"/>
      <c r="K80" s="38"/>
      <c r="L80" s="42"/>
      <c r="M80" s="38"/>
      <c r="N80" s="79"/>
      <c r="O80" s="42"/>
      <c r="P80" s="42"/>
      <c r="Q80" s="42"/>
      <c r="R80" s="38"/>
      <c r="S80" s="42"/>
      <c r="T80" s="38"/>
      <c r="U80" s="79"/>
      <c r="V80" s="42"/>
      <c r="W80" s="42"/>
      <c r="X80" s="42"/>
      <c r="Y80" s="38"/>
      <c r="Z80" s="42"/>
      <c r="AA80" s="38"/>
      <c r="AB80" s="42"/>
      <c r="AC80" s="42"/>
      <c r="AD80" s="42"/>
      <c r="AE80" s="42"/>
      <c r="AF80" s="42"/>
      <c r="AG80" s="42"/>
      <c r="AH80" s="42"/>
      <c r="AI80" s="42"/>
      <c r="AJ80" s="42"/>
      <c r="AK80" s="38"/>
      <c r="AL80" s="42"/>
      <c r="AM80" s="38"/>
      <c r="AN80" s="42"/>
      <c r="AO80" s="42"/>
      <c r="AP80" s="42"/>
    </row>
    <row x14ac:dyDescent="0.25" r="81" customHeight="1" ht="18.75">
      <c r="A81" s="42"/>
      <c r="B81" s="44"/>
      <c r="C81" s="72"/>
      <c r="D81" s="42"/>
      <c r="E81" s="42"/>
      <c r="F81" s="38"/>
      <c r="G81" s="79"/>
      <c r="H81" s="42"/>
      <c r="I81" s="42"/>
      <c r="J81" s="42"/>
      <c r="K81" s="38"/>
      <c r="L81" s="42"/>
      <c r="M81" s="38"/>
      <c r="N81" s="79"/>
      <c r="O81" s="42"/>
      <c r="P81" s="42"/>
      <c r="Q81" s="42"/>
      <c r="R81" s="38"/>
      <c r="S81" s="42"/>
      <c r="T81" s="38"/>
      <c r="U81" s="79"/>
      <c r="V81" s="42"/>
      <c r="W81" s="42"/>
      <c r="X81" s="42"/>
      <c r="Y81" s="38"/>
      <c r="Z81" s="42"/>
      <c r="AA81" s="38"/>
      <c r="AB81" s="42"/>
      <c r="AC81" s="42"/>
      <c r="AD81" s="42"/>
      <c r="AE81" s="42"/>
      <c r="AF81" s="42"/>
      <c r="AG81" s="42"/>
      <c r="AH81" s="42"/>
      <c r="AI81" s="42"/>
      <c r="AJ81" s="42"/>
      <c r="AK81" s="38"/>
      <c r="AL81" s="42"/>
      <c r="AM81" s="38"/>
      <c r="AN81" s="42"/>
      <c r="AO81" s="42"/>
      <c r="AP81" s="42"/>
    </row>
    <row x14ac:dyDescent="0.25" r="82" customHeight="1" ht="18.75">
      <c r="A82" s="42"/>
      <c r="B82" s="44"/>
      <c r="C82" s="72"/>
      <c r="D82" s="42"/>
      <c r="E82" s="42"/>
      <c r="F82" s="38"/>
      <c r="G82" s="79"/>
      <c r="H82" s="42"/>
      <c r="I82" s="42"/>
      <c r="J82" s="42"/>
      <c r="K82" s="38"/>
      <c r="L82" s="42"/>
      <c r="M82" s="38"/>
      <c r="N82" s="79"/>
      <c r="O82" s="42"/>
      <c r="P82" s="42"/>
      <c r="Q82" s="42"/>
      <c r="R82" s="38"/>
      <c r="S82" s="42"/>
      <c r="T82" s="38"/>
      <c r="U82" s="79"/>
      <c r="V82" s="42"/>
      <c r="W82" s="42"/>
      <c r="X82" s="42"/>
      <c r="Y82" s="38"/>
      <c r="Z82" s="42"/>
      <c r="AA82" s="38"/>
      <c r="AB82" s="42"/>
      <c r="AC82" s="42"/>
      <c r="AD82" s="42"/>
      <c r="AE82" s="42"/>
      <c r="AF82" s="42"/>
      <c r="AG82" s="42"/>
      <c r="AH82" s="42"/>
      <c r="AI82" s="42"/>
      <c r="AJ82" s="42"/>
      <c r="AK82" s="38"/>
      <c r="AL82" s="42"/>
      <c r="AM82" s="38"/>
      <c r="AN82" s="42"/>
      <c r="AO82" s="42"/>
      <c r="AP82" s="42"/>
    </row>
    <row x14ac:dyDescent="0.25" r="83" customHeight="1" ht="18.75">
      <c r="A83" s="42"/>
      <c r="B83" s="44"/>
      <c r="C83" s="72"/>
      <c r="D83" s="42"/>
      <c r="E83" s="42"/>
      <c r="F83" s="38"/>
      <c r="G83" s="79"/>
      <c r="H83" s="42"/>
      <c r="I83" s="42"/>
      <c r="J83" s="42"/>
      <c r="K83" s="38"/>
      <c r="L83" s="42"/>
      <c r="M83" s="38"/>
      <c r="N83" s="79"/>
      <c r="O83" s="42"/>
      <c r="P83" s="42"/>
      <c r="Q83" s="42"/>
      <c r="R83" s="38"/>
      <c r="S83" s="42"/>
      <c r="T83" s="38"/>
      <c r="U83" s="79"/>
      <c r="V83" s="42"/>
      <c r="W83" s="42"/>
      <c r="X83" s="42"/>
      <c r="Y83" s="38"/>
      <c r="Z83" s="42"/>
      <c r="AA83" s="38"/>
      <c r="AB83" s="42"/>
      <c r="AC83" s="42"/>
      <c r="AD83" s="42"/>
      <c r="AE83" s="42"/>
      <c r="AF83" s="42"/>
      <c r="AG83" s="42"/>
      <c r="AH83" s="42"/>
      <c r="AI83" s="42"/>
      <c r="AJ83" s="42"/>
      <c r="AK83" s="38"/>
      <c r="AL83" s="42"/>
      <c r="AM83" s="38"/>
      <c r="AN83" s="42"/>
      <c r="AO83" s="42"/>
      <c r="AP83" s="42"/>
    </row>
    <row x14ac:dyDescent="0.25" r="84" customHeight="1" ht="18.75">
      <c r="A84" s="42"/>
      <c r="B84" s="44"/>
      <c r="C84" s="72"/>
      <c r="D84" s="42"/>
      <c r="E84" s="42"/>
      <c r="F84" s="38"/>
      <c r="G84" s="79"/>
      <c r="H84" s="42"/>
      <c r="I84" s="42"/>
      <c r="J84" s="42"/>
      <c r="K84" s="38"/>
      <c r="L84" s="42"/>
      <c r="M84" s="38"/>
      <c r="N84" s="79"/>
      <c r="O84" s="42"/>
      <c r="P84" s="42"/>
      <c r="Q84" s="42"/>
      <c r="R84" s="38"/>
      <c r="S84" s="42"/>
      <c r="T84" s="38"/>
      <c r="U84" s="79"/>
      <c r="V84" s="42"/>
      <c r="W84" s="42"/>
      <c r="X84" s="42"/>
      <c r="Y84" s="38"/>
      <c r="Z84" s="42"/>
      <c r="AA84" s="38"/>
      <c r="AB84" s="42"/>
      <c r="AC84" s="42"/>
      <c r="AD84" s="42"/>
      <c r="AE84" s="42"/>
      <c r="AF84" s="42"/>
      <c r="AG84" s="42"/>
      <c r="AH84" s="42"/>
      <c r="AI84" s="42"/>
      <c r="AJ84" s="42"/>
      <c r="AK84" s="38"/>
      <c r="AL84" s="42"/>
      <c r="AM84" s="38"/>
      <c r="AN84" s="42"/>
      <c r="AO84" s="42"/>
      <c r="AP84" s="42"/>
    </row>
    <row x14ac:dyDescent="0.25" r="85" customHeight="1" ht="18.75">
      <c r="A85" s="42"/>
      <c r="B85" s="44"/>
      <c r="C85" s="72"/>
      <c r="D85" s="42"/>
      <c r="E85" s="42"/>
      <c r="F85" s="38"/>
      <c r="G85" s="79"/>
      <c r="H85" s="42"/>
      <c r="I85" s="42"/>
      <c r="J85" s="42"/>
      <c r="K85" s="38"/>
      <c r="L85" s="42"/>
      <c r="M85" s="38"/>
      <c r="N85" s="79"/>
      <c r="O85" s="42"/>
      <c r="P85" s="42"/>
      <c r="Q85" s="42"/>
      <c r="R85" s="38"/>
      <c r="S85" s="42"/>
      <c r="T85" s="38"/>
      <c r="U85" s="79"/>
      <c r="V85" s="42"/>
      <c r="W85" s="42"/>
      <c r="X85" s="42"/>
      <c r="Y85" s="38"/>
      <c r="Z85" s="42"/>
      <c r="AA85" s="38"/>
      <c r="AB85" s="42"/>
      <c r="AC85" s="42"/>
      <c r="AD85" s="42"/>
      <c r="AE85" s="42"/>
      <c r="AF85" s="42"/>
      <c r="AG85" s="42"/>
      <c r="AH85" s="42"/>
      <c r="AI85" s="42"/>
      <c r="AJ85" s="42"/>
      <c r="AK85" s="38"/>
      <c r="AL85" s="42"/>
      <c r="AM85" s="38"/>
      <c r="AN85" s="42"/>
      <c r="AO85" s="42"/>
      <c r="AP85" s="42"/>
    </row>
    <row x14ac:dyDescent="0.25" r="86" customHeight="1" ht="18.75">
      <c r="A86" s="42"/>
      <c r="B86" s="44"/>
      <c r="C86" s="72"/>
      <c r="D86" s="42"/>
      <c r="E86" s="42"/>
      <c r="F86" s="38"/>
      <c r="G86" s="79"/>
      <c r="H86" s="42"/>
      <c r="I86" s="42"/>
      <c r="J86" s="42"/>
      <c r="K86" s="38"/>
      <c r="L86" s="42"/>
      <c r="M86" s="38"/>
      <c r="N86" s="79"/>
      <c r="O86" s="42"/>
      <c r="P86" s="42"/>
      <c r="Q86" s="42"/>
      <c r="R86" s="38"/>
      <c r="S86" s="42"/>
      <c r="T86" s="38"/>
      <c r="U86" s="79"/>
      <c r="V86" s="42"/>
      <c r="W86" s="42"/>
      <c r="X86" s="42"/>
      <c r="Y86" s="38"/>
      <c r="Z86" s="42"/>
      <c r="AA86" s="38"/>
      <c r="AB86" s="42"/>
      <c r="AC86" s="42"/>
      <c r="AD86" s="42"/>
      <c r="AE86" s="42"/>
      <c r="AF86" s="42"/>
      <c r="AG86" s="42"/>
      <c r="AH86" s="42"/>
      <c r="AI86" s="42"/>
      <c r="AJ86" s="42"/>
      <c r="AK86" s="38"/>
      <c r="AL86" s="42"/>
      <c r="AM86" s="38"/>
      <c r="AN86" s="42"/>
      <c r="AO86" s="42"/>
      <c r="AP86" s="42"/>
    </row>
    <row x14ac:dyDescent="0.25" r="87" customHeight="1" ht="18.75">
      <c r="A87" s="42"/>
      <c r="B87" s="44"/>
      <c r="C87" s="72"/>
      <c r="D87" s="42"/>
      <c r="E87" s="42"/>
      <c r="F87" s="38"/>
      <c r="G87" s="79"/>
      <c r="H87" s="42"/>
      <c r="I87" s="42"/>
      <c r="J87" s="42"/>
      <c r="K87" s="38"/>
      <c r="L87" s="42"/>
      <c r="M87" s="38"/>
      <c r="N87" s="79"/>
      <c r="O87" s="42"/>
      <c r="P87" s="42"/>
      <c r="Q87" s="42"/>
      <c r="R87" s="38"/>
      <c r="S87" s="42"/>
      <c r="T87" s="38"/>
      <c r="U87" s="79"/>
      <c r="V87" s="42"/>
      <c r="W87" s="42"/>
      <c r="X87" s="42"/>
      <c r="Y87" s="38"/>
      <c r="Z87" s="42"/>
      <c r="AA87" s="38"/>
      <c r="AB87" s="42"/>
      <c r="AC87" s="42"/>
      <c r="AD87" s="42"/>
      <c r="AE87" s="42"/>
      <c r="AF87" s="42"/>
      <c r="AG87" s="42"/>
      <c r="AH87" s="42"/>
      <c r="AI87" s="42"/>
      <c r="AJ87" s="42"/>
      <c r="AK87" s="38"/>
      <c r="AL87" s="42"/>
      <c r="AM87" s="38"/>
      <c r="AN87" s="42"/>
      <c r="AO87" s="42"/>
      <c r="AP87" s="42"/>
    </row>
    <row x14ac:dyDescent="0.25" r="88" customHeight="1" ht="18.75">
      <c r="A88" s="42"/>
      <c r="B88" s="44"/>
      <c r="C88" s="72"/>
      <c r="D88" s="42"/>
      <c r="E88" s="42"/>
      <c r="F88" s="38"/>
      <c r="G88" s="79"/>
      <c r="H88" s="42"/>
      <c r="I88" s="42"/>
      <c r="J88" s="42"/>
      <c r="K88" s="38"/>
      <c r="L88" s="42"/>
      <c r="M88" s="38"/>
      <c r="N88" s="79"/>
      <c r="O88" s="42"/>
      <c r="P88" s="42"/>
      <c r="Q88" s="42"/>
      <c r="R88" s="38"/>
      <c r="S88" s="42"/>
      <c r="T88" s="38"/>
      <c r="U88" s="79"/>
      <c r="V88" s="42"/>
      <c r="W88" s="42"/>
      <c r="X88" s="42"/>
      <c r="Y88" s="38"/>
      <c r="Z88" s="42"/>
      <c r="AA88" s="38"/>
      <c r="AB88" s="42"/>
      <c r="AC88" s="42"/>
      <c r="AD88" s="42"/>
      <c r="AE88" s="42"/>
      <c r="AF88" s="42"/>
      <c r="AG88" s="42"/>
      <c r="AH88" s="42"/>
      <c r="AI88" s="42"/>
      <c r="AJ88" s="42"/>
      <c r="AK88" s="38"/>
      <c r="AL88" s="42"/>
      <c r="AM88" s="38"/>
      <c r="AN88" s="42"/>
      <c r="AO88" s="42"/>
      <c r="AP88" s="42"/>
    </row>
    <row x14ac:dyDescent="0.25" r="89" customHeight="1" ht="18.75">
      <c r="A89" s="42"/>
      <c r="B89" s="44"/>
      <c r="C89" s="72"/>
      <c r="D89" s="42"/>
      <c r="E89" s="42"/>
      <c r="F89" s="38"/>
      <c r="G89" s="79"/>
      <c r="H89" s="42"/>
      <c r="I89" s="42"/>
      <c r="J89" s="42"/>
      <c r="K89" s="38"/>
      <c r="L89" s="42"/>
      <c r="M89" s="38"/>
      <c r="N89" s="79"/>
      <c r="O89" s="42"/>
      <c r="P89" s="42"/>
      <c r="Q89" s="42"/>
      <c r="R89" s="38"/>
      <c r="S89" s="42"/>
      <c r="T89" s="38"/>
      <c r="U89" s="79"/>
      <c r="V89" s="42"/>
      <c r="W89" s="42"/>
      <c r="X89" s="42"/>
      <c r="Y89" s="38"/>
      <c r="Z89" s="42"/>
      <c r="AA89" s="38"/>
      <c r="AB89" s="42"/>
      <c r="AC89" s="42"/>
      <c r="AD89" s="42"/>
      <c r="AE89" s="42"/>
      <c r="AF89" s="42"/>
      <c r="AG89" s="42"/>
      <c r="AH89" s="42"/>
      <c r="AI89" s="42"/>
      <c r="AJ89" s="42"/>
      <c r="AK89" s="38"/>
      <c r="AL89" s="42"/>
      <c r="AM89" s="38"/>
      <c r="AN89" s="42"/>
      <c r="AO89" s="42"/>
      <c r="AP89" s="42"/>
    </row>
    <row x14ac:dyDescent="0.25" r="90" customHeight="1" ht="18.75">
      <c r="A90" s="42"/>
      <c r="B90" s="44"/>
      <c r="C90" s="72"/>
      <c r="D90" s="42"/>
      <c r="E90" s="42"/>
      <c r="F90" s="38"/>
      <c r="G90" s="79"/>
      <c r="H90" s="42"/>
      <c r="I90" s="42"/>
      <c r="J90" s="42"/>
      <c r="K90" s="38"/>
      <c r="L90" s="42"/>
      <c r="M90" s="38"/>
      <c r="N90" s="79"/>
      <c r="O90" s="42"/>
      <c r="P90" s="42"/>
      <c r="Q90" s="42"/>
      <c r="R90" s="38"/>
      <c r="S90" s="42"/>
      <c r="T90" s="38"/>
      <c r="U90" s="79"/>
      <c r="V90" s="42"/>
      <c r="W90" s="42"/>
      <c r="X90" s="42"/>
      <c r="Y90" s="38"/>
      <c r="Z90" s="42"/>
      <c r="AA90" s="38"/>
      <c r="AB90" s="42"/>
      <c r="AC90" s="42"/>
      <c r="AD90" s="42"/>
      <c r="AE90" s="42"/>
      <c r="AF90" s="42"/>
      <c r="AG90" s="42"/>
      <c r="AH90" s="42"/>
      <c r="AI90" s="42"/>
      <c r="AJ90" s="42"/>
      <c r="AK90" s="38"/>
      <c r="AL90" s="42"/>
      <c r="AM90" s="38"/>
      <c r="AN90" s="42"/>
      <c r="AO90" s="42"/>
      <c r="AP90" s="42"/>
    </row>
    <row x14ac:dyDescent="0.25" r="91" customHeight="1" ht="18.75">
      <c r="A91" s="42"/>
      <c r="B91" s="44"/>
      <c r="C91" s="72"/>
      <c r="D91" s="42"/>
      <c r="E91" s="42"/>
      <c r="F91" s="38"/>
      <c r="G91" s="79"/>
      <c r="H91" s="42"/>
      <c r="I91" s="42"/>
      <c r="J91" s="42"/>
      <c r="K91" s="38"/>
      <c r="L91" s="42"/>
      <c r="M91" s="38"/>
      <c r="N91" s="79"/>
      <c r="O91" s="42"/>
      <c r="P91" s="42"/>
      <c r="Q91" s="42"/>
      <c r="R91" s="38"/>
      <c r="S91" s="42"/>
      <c r="T91" s="38"/>
      <c r="U91" s="79"/>
      <c r="V91" s="42"/>
      <c r="W91" s="42"/>
      <c r="X91" s="42"/>
      <c r="Y91" s="38"/>
      <c r="Z91" s="42"/>
      <c r="AA91" s="38"/>
      <c r="AB91" s="42"/>
      <c r="AC91" s="42"/>
      <c r="AD91" s="42"/>
      <c r="AE91" s="42"/>
      <c r="AF91" s="42"/>
      <c r="AG91" s="42"/>
      <c r="AH91" s="42"/>
      <c r="AI91" s="42"/>
      <c r="AJ91" s="42"/>
      <c r="AK91" s="38"/>
      <c r="AL91" s="42"/>
      <c r="AM91" s="38"/>
      <c r="AN91" s="42"/>
      <c r="AO91" s="42"/>
      <c r="AP91" s="42"/>
    </row>
    <row x14ac:dyDescent="0.25" r="92" customHeight="1" ht="18.75">
      <c r="A92" s="42"/>
      <c r="B92" s="44"/>
      <c r="C92" s="72"/>
      <c r="D92" s="42"/>
      <c r="E92" s="42"/>
      <c r="F92" s="38"/>
      <c r="G92" s="79"/>
      <c r="H92" s="42"/>
      <c r="I92" s="42"/>
      <c r="J92" s="42"/>
      <c r="K92" s="38"/>
      <c r="L92" s="42"/>
      <c r="M92" s="38"/>
      <c r="N92" s="79"/>
      <c r="O92" s="42"/>
      <c r="P92" s="42"/>
      <c r="Q92" s="42"/>
      <c r="R92" s="38"/>
      <c r="S92" s="42"/>
      <c r="T92" s="38"/>
      <c r="U92" s="79"/>
      <c r="V92" s="42"/>
      <c r="W92" s="42"/>
      <c r="X92" s="42"/>
      <c r="Y92" s="38"/>
      <c r="Z92" s="42"/>
      <c r="AA92" s="38"/>
      <c r="AB92" s="42"/>
      <c r="AC92" s="42"/>
      <c r="AD92" s="42"/>
      <c r="AE92" s="42"/>
      <c r="AF92" s="42"/>
      <c r="AG92" s="42"/>
      <c r="AH92" s="42"/>
      <c r="AI92" s="42"/>
      <c r="AJ92" s="42"/>
      <c r="AK92" s="38"/>
      <c r="AL92" s="42"/>
      <c r="AM92" s="38"/>
      <c r="AN92" s="42"/>
      <c r="AO92" s="42"/>
      <c r="AP92" s="42"/>
    </row>
    <row x14ac:dyDescent="0.25" r="93" customHeight="1" ht="18.75">
      <c r="A93" s="42"/>
      <c r="B93" s="44"/>
      <c r="C93" s="72"/>
      <c r="D93" s="42"/>
      <c r="E93" s="42"/>
      <c r="F93" s="38"/>
      <c r="G93" s="79"/>
      <c r="H93" s="42"/>
      <c r="I93" s="42"/>
      <c r="J93" s="42"/>
      <c r="K93" s="38"/>
      <c r="L93" s="42"/>
      <c r="M93" s="38"/>
      <c r="N93" s="79"/>
      <c r="O93" s="42"/>
      <c r="P93" s="42"/>
      <c r="Q93" s="42"/>
      <c r="R93" s="38"/>
      <c r="S93" s="42"/>
      <c r="T93" s="38"/>
      <c r="U93" s="79"/>
      <c r="V93" s="42"/>
      <c r="W93" s="42"/>
      <c r="X93" s="42"/>
      <c r="Y93" s="38"/>
      <c r="Z93" s="42"/>
      <c r="AA93" s="38"/>
      <c r="AB93" s="42"/>
      <c r="AC93" s="42"/>
      <c r="AD93" s="42"/>
      <c r="AE93" s="42"/>
      <c r="AF93" s="42"/>
      <c r="AG93" s="42"/>
      <c r="AH93" s="42"/>
      <c r="AI93" s="42"/>
      <c r="AJ93" s="42"/>
      <c r="AK93" s="38"/>
      <c r="AL93" s="42"/>
      <c r="AM93" s="38"/>
      <c r="AN93" s="42"/>
      <c r="AO93" s="42"/>
      <c r="AP93" s="42"/>
    </row>
    <row x14ac:dyDescent="0.25" r="94" customHeight="1" ht="18.75">
      <c r="A94" s="42"/>
      <c r="B94" s="44"/>
      <c r="C94" s="72"/>
      <c r="D94" s="42"/>
      <c r="E94" s="42"/>
      <c r="F94" s="38"/>
      <c r="G94" s="79"/>
      <c r="H94" s="42"/>
      <c r="I94" s="42"/>
      <c r="J94" s="42"/>
      <c r="K94" s="38"/>
      <c r="L94" s="42"/>
      <c r="M94" s="38"/>
      <c r="N94" s="79"/>
      <c r="O94" s="42"/>
      <c r="P94" s="42"/>
      <c r="Q94" s="42"/>
      <c r="R94" s="38"/>
      <c r="S94" s="42"/>
      <c r="T94" s="38"/>
      <c r="U94" s="79"/>
      <c r="V94" s="42"/>
      <c r="W94" s="42"/>
      <c r="X94" s="42"/>
      <c r="Y94" s="38"/>
      <c r="Z94" s="42"/>
      <c r="AA94" s="38"/>
      <c r="AB94" s="42"/>
      <c r="AC94" s="42"/>
      <c r="AD94" s="42"/>
      <c r="AE94" s="42"/>
      <c r="AF94" s="42"/>
      <c r="AG94" s="42"/>
      <c r="AH94" s="42"/>
      <c r="AI94" s="42"/>
      <c r="AJ94" s="42"/>
      <c r="AK94" s="38"/>
      <c r="AL94" s="42"/>
      <c r="AM94" s="38"/>
      <c r="AN94" s="42"/>
      <c r="AO94" s="42"/>
      <c r="AP94" s="42"/>
    </row>
    <row x14ac:dyDescent="0.25" r="95" customHeight="1" ht="18.75">
      <c r="A95" s="42"/>
      <c r="B95" s="44"/>
      <c r="C95" s="72"/>
      <c r="D95" s="42"/>
      <c r="E95" s="42"/>
      <c r="F95" s="38"/>
      <c r="G95" s="79"/>
      <c r="H95" s="42"/>
      <c r="I95" s="42"/>
      <c r="J95" s="42"/>
      <c r="K95" s="38"/>
      <c r="L95" s="42"/>
      <c r="M95" s="38"/>
      <c r="N95" s="79"/>
      <c r="O95" s="42"/>
      <c r="P95" s="42"/>
      <c r="Q95" s="42"/>
      <c r="R95" s="38"/>
      <c r="S95" s="42"/>
      <c r="T95" s="38"/>
      <c r="U95" s="79"/>
      <c r="V95" s="42"/>
      <c r="W95" s="42"/>
      <c r="X95" s="42"/>
      <c r="Y95" s="38"/>
      <c r="Z95" s="42"/>
      <c r="AA95" s="38"/>
      <c r="AB95" s="42"/>
      <c r="AC95" s="42"/>
      <c r="AD95" s="42"/>
      <c r="AE95" s="42"/>
      <c r="AF95" s="42"/>
      <c r="AG95" s="42"/>
      <c r="AH95" s="42"/>
      <c r="AI95" s="42"/>
      <c r="AJ95" s="42"/>
      <c r="AK95" s="38"/>
      <c r="AL95" s="42"/>
      <c r="AM95" s="38"/>
      <c r="AN95" s="42"/>
      <c r="AO95" s="42"/>
      <c r="AP95" s="42"/>
    </row>
    <row x14ac:dyDescent="0.25" r="96" customHeight="1" ht="18.75">
      <c r="A96" s="42"/>
      <c r="B96" s="44"/>
      <c r="C96" s="72"/>
      <c r="D96" s="42"/>
      <c r="E96" s="42"/>
      <c r="F96" s="38"/>
      <c r="G96" s="79"/>
      <c r="H96" s="42"/>
      <c r="I96" s="42"/>
      <c r="J96" s="42"/>
      <c r="K96" s="38"/>
      <c r="L96" s="42"/>
      <c r="M96" s="38"/>
      <c r="N96" s="79"/>
      <c r="O96" s="42"/>
      <c r="P96" s="42"/>
      <c r="Q96" s="42"/>
      <c r="R96" s="38"/>
      <c r="S96" s="42"/>
      <c r="T96" s="38"/>
      <c r="U96" s="79"/>
      <c r="V96" s="42"/>
      <c r="W96" s="42"/>
      <c r="X96" s="42"/>
      <c r="Y96" s="38"/>
      <c r="Z96" s="42"/>
      <c r="AA96" s="38"/>
      <c r="AB96" s="42"/>
      <c r="AC96" s="42"/>
      <c r="AD96" s="42"/>
      <c r="AE96" s="42"/>
      <c r="AF96" s="42"/>
      <c r="AG96" s="42"/>
      <c r="AH96" s="42"/>
      <c r="AI96" s="42"/>
      <c r="AJ96" s="42"/>
      <c r="AK96" s="38"/>
      <c r="AL96" s="42"/>
      <c r="AM96" s="38"/>
      <c r="AN96" s="42"/>
      <c r="AO96" s="42"/>
      <c r="AP96" s="42"/>
    </row>
    <row x14ac:dyDescent="0.25" r="97" customHeight="1" ht="18.75">
      <c r="A97" s="42"/>
      <c r="B97" s="44"/>
      <c r="C97" s="72"/>
      <c r="D97" s="42"/>
      <c r="E97" s="42"/>
      <c r="F97" s="38"/>
      <c r="G97" s="79"/>
      <c r="H97" s="42"/>
      <c r="I97" s="42"/>
      <c r="J97" s="42"/>
      <c r="K97" s="38"/>
      <c r="L97" s="42"/>
      <c r="M97" s="38"/>
      <c r="N97" s="79"/>
      <c r="O97" s="42"/>
      <c r="P97" s="42"/>
      <c r="Q97" s="42"/>
      <c r="R97" s="38"/>
      <c r="S97" s="42"/>
      <c r="T97" s="38"/>
      <c r="U97" s="79"/>
      <c r="V97" s="42"/>
      <c r="W97" s="42"/>
      <c r="X97" s="42"/>
      <c r="Y97" s="38"/>
      <c r="Z97" s="42"/>
      <c r="AA97" s="38"/>
      <c r="AB97" s="42"/>
      <c r="AC97" s="42"/>
      <c r="AD97" s="42"/>
      <c r="AE97" s="42"/>
      <c r="AF97" s="42"/>
      <c r="AG97" s="42"/>
      <c r="AH97" s="42"/>
      <c r="AI97" s="42"/>
      <c r="AJ97" s="42"/>
      <c r="AK97" s="38"/>
      <c r="AL97" s="42"/>
      <c r="AM97" s="38"/>
      <c r="AN97" s="42"/>
      <c r="AO97" s="42"/>
      <c r="AP97" s="42"/>
    </row>
    <row x14ac:dyDescent="0.25" r="98" customHeight="1" ht="18.75">
      <c r="A98" s="42"/>
      <c r="B98" s="44"/>
      <c r="C98" s="72"/>
      <c r="D98" s="42"/>
      <c r="E98" s="42"/>
      <c r="F98" s="38"/>
      <c r="G98" s="79"/>
      <c r="H98" s="42"/>
      <c r="I98" s="42"/>
      <c r="J98" s="42"/>
      <c r="K98" s="38"/>
      <c r="L98" s="42"/>
      <c r="M98" s="38"/>
      <c r="N98" s="79"/>
      <c r="O98" s="42"/>
      <c r="P98" s="42"/>
      <c r="Q98" s="42"/>
      <c r="R98" s="38"/>
      <c r="S98" s="42"/>
      <c r="T98" s="38"/>
      <c r="U98" s="79"/>
      <c r="V98" s="42"/>
      <c r="W98" s="42"/>
      <c r="X98" s="42"/>
      <c r="Y98" s="38"/>
      <c r="Z98" s="42"/>
      <c r="AA98" s="38"/>
      <c r="AB98" s="42"/>
      <c r="AC98" s="42"/>
      <c r="AD98" s="42"/>
      <c r="AE98" s="42"/>
      <c r="AF98" s="42"/>
      <c r="AG98" s="42"/>
      <c r="AH98" s="42"/>
      <c r="AI98" s="42"/>
      <c r="AJ98" s="42"/>
      <c r="AK98" s="38"/>
      <c r="AL98" s="42"/>
      <c r="AM98" s="38"/>
      <c r="AN98" s="42"/>
      <c r="AO98" s="42"/>
      <c r="AP98" s="42"/>
    </row>
    <row x14ac:dyDescent="0.25" r="99" customHeight="1" ht="18.75">
      <c r="A99" s="42"/>
      <c r="B99" s="44"/>
      <c r="C99" s="72"/>
      <c r="D99" s="42"/>
      <c r="E99" s="42"/>
      <c r="F99" s="38"/>
      <c r="G99" s="79"/>
      <c r="H99" s="42"/>
      <c r="I99" s="42"/>
      <c r="J99" s="42"/>
      <c r="K99" s="38"/>
      <c r="L99" s="42"/>
      <c r="M99" s="38"/>
      <c r="N99" s="79"/>
      <c r="O99" s="42"/>
      <c r="P99" s="42"/>
      <c r="Q99" s="42"/>
      <c r="R99" s="38"/>
      <c r="S99" s="42"/>
      <c r="T99" s="38"/>
      <c r="U99" s="79"/>
      <c r="V99" s="42"/>
      <c r="W99" s="42"/>
      <c r="X99" s="42"/>
      <c r="Y99" s="38"/>
      <c r="Z99" s="42"/>
      <c r="AA99" s="38"/>
      <c r="AB99" s="42"/>
      <c r="AC99" s="42"/>
      <c r="AD99" s="42"/>
      <c r="AE99" s="42"/>
      <c r="AF99" s="42"/>
      <c r="AG99" s="42"/>
      <c r="AH99" s="42"/>
      <c r="AI99" s="42"/>
      <c r="AJ99" s="42"/>
      <c r="AK99" s="38"/>
      <c r="AL99" s="42"/>
      <c r="AM99" s="38"/>
      <c r="AN99" s="42"/>
      <c r="AO99" s="42"/>
      <c r="AP99" s="42"/>
    </row>
    <row x14ac:dyDescent="0.25" r="100" customHeight="1" ht="18.75">
      <c r="A100" s="42"/>
      <c r="B100" s="44"/>
      <c r="C100" s="72"/>
      <c r="D100" s="42"/>
      <c r="E100" s="42"/>
      <c r="F100" s="38"/>
      <c r="G100" s="79"/>
      <c r="H100" s="42"/>
      <c r="I100" s="42"/>
      <c r="J100" s="42"/>
      <c r="K100" s="38"/>
      <c r="L100" s="42"/>
      <c r="M100" s="38"/>
      <c r="N100" s="79"/>
      <c r="O100" s="42"/>
      <c r="P100" s="42"/>
      <c r="Q100" s="42"/>
      <c r="R100" s="38"/>
      <c r="S100" s="42"/>
      <c r="T100" s="38"/>
      <c r="U100" s="79"/>
      <c r="V100" s="42"/>
      <c r="W100" s="42"/>
      <c r="X100" s="42"/>
      <c r="Y100" s="38"/>
      <c r="Z100" s="42"/>
      <c r="AA100" s="38"/>
      <c r="AB100" s="42"/>
      <c r="AC100" s="42"/>
      <c r="AD100" s="42"/>
      <c r="AE100" s="42"/>
      <c r="AF100" s="42"/>
      <c r="AG100" s="42"/>
      <c r="AH100" s="42"/>
      <c r="AI100" s="42"/>
      <c r="AJ100" s="42"/>
      <c r="AK100" s="38"/>
      <c r="AL100" s="42"/>
      <c r="AM100" s="38"/>
      <c r="AN100" s="42"/>
      <c r="AO100" s="42"/>
      <c r="AP100" s="42"/>
    </row>
    <row x14ac:dyDescent="0.25" r="101" customHeight="1" ht="18.75">
      <c r="A101" s="42"/>
      <c r="B101" s="44"/>
      <c r="C101" s="72"/>
      <c r="D101" s="42"/>
      <c r="E101" s="42"/>
      <c r="F101" s="38"/>
      <c r="G101" s="79"/>
      <c r="H101" s="42"/>
      <c r="I101" s="42"/>
      <c r="J101" s="42"/>
      <c r="K101" s="38"/>
      <c r="L101" s="42"/>
      <c r="M101" s="38"/>
      <c r="N101" s="79"/>
      <c r="O101" s="42"/>
      <c r="P101" s="42"/>
      <c r="Q101" s="42"/>
      <c r="R101" s="38"/>
      <c r="S101" s="42"/>
      <c r="T101" s="38"/>
      <c r="U101" s="79"/>
      <c r="V101" s="42"/>
      <c r="W101" s="42"/>
      <c r="X101" s="42"/>
      <c r="Y101" s="38"/>
      <c r="Z101" s="42"/>
      <c r="AA101" s="38"/>
      <c r="AB101" s="42"/>
      <c r="AC101" s="42"/>
      <c r="AD101" s="42"/>
      <c r="AE101" s="42"/>
      <c r="AF101" s="42"/>
      <c r="AG101" s="42"/>
      <c r="AH101" s="42"/>
      <c r="AI101" s="42"/>
      <c r="AJ101" s="42"/>
      <c r="AK101" s="38"/>
      <c r="AL101" s="42"/>
      <c r="AM101" s="38"/>
      <c r="AN101" s="42"/>
      <c r="AO101" s="42"/>
      <c r="AP101" s="42"/>
    </row>
    <row x14ac:dyDescent="0.25" r="102" customHeight="1" ht="18.75">
      <c r="A102" s="42"/>
      <c r="B102" s="44"/>
      <c r="C102" s="72"/>
      <c r="D102" s="42"/>
      <c r="E102" s="42"/>
      <c r="F102" s="38"/>
      <c r="G102" s="79"/>
      <c r="H102" s="42"/>
      <c r="I102" s="42"/>
      <c r="J102" s="42"/>
      <c r="K102" s="38"/>
      <c r="L102" s="42"/>
      <c r="M102" s="38"/>
      <c r="N102" s="79"/>
      <c r="O102" s="42"/>
      <c r="P102" s="42"/>
      <c r="Q102" s="42"/>
      <c r="R102" s="38"/>
      <c r="S102" s="42"/>
      <c r="T102" s="38"/>
      <c r="U102" s="79"/>
      <c r="V102" s="42"/>
      <c r="W102" s="42"/>
      <c r="X102" s="42"/>
      <c r="Y102" s="38"/>
      <c r="Z102" s="42"/>
      <c r="AA102" s="38"/>
      <c r="AB102" s="42"/>
      <c r="AC102" s="42"/>
      <c r="AD102" s="42"/>
      <c r="AE102" s="42"/>
      <c r="AF102" s="42"/>
      <c r="AG102" s="42"/>
      <c r="AH102" s="42"/>
      <c r="AI102" s="42"/>
      <c r="AJ102" s="42"/>
      <c r="AK102" s="38"/>
      <c r="AL102" s="42"/>
      <c r="AM102" s="38"/>
      <c r="AN102" s="42"/>
      <c r="AO102" s="42"/>
      <c r="AP102" s="42"/>
    </row>
    <row x14ac:dyDescent="0.25" r="103" customHeight="1" ht="18.75">
      <c r="A103" s="42"/>
      <c r="B103" s="44"/>
      <c r="C103" s="72"/>
      <c r="D103" s="42"/>
      <c r="E103" s="42"/>
      <c r="F103" s="38"/>
      <c r="G103" s="79"/>
      <c r="H103" s="42"/>
      <c r="I103" s="42"/>
      <c r="J103" s="42"/>
      <c r="K103" s="38"/>
      <c r="L103" s="42"/>
      <c r="M103" s="38"/>
      <c r="N103" s="79"/>
      <c r="O103" s="42"/>
      <c r="P103" s="42"/>
      <c r="Q103" s="42"/>
      <c r="R103" s="38"/>
      <c r="S103" s="42"/>
      <c r="T103" s="38"/>
      <c r="U103" s="79"/>
      <c r="V103" s="42"/>
      <c r="W103" s="42"/>
      <c r="X103" s="42"/>
      <c r="Y103" s="38"/>
      <c r="Z103" s="42"/>
      <c r="AA103" s="38"/>
      <c r="AB103" s="42"/>
      <c r="AC103" s="42"/>
      <c r="AD103" s="42"/>
      <c r="AE103" s="42"/>
      <c r="AF103" s="42"/>
      <c r="AG103" s="42"/>
      <c r="AH103" s="42"/>
      <c r="AI103" s="42"/>
      <c r="AJ103" s="42"/>
      <c r="AK103" s="38"/>
      <c r="AL103" s="42"/>
      <c r="AM103" s="38"/>
      <c r="AN103" s="42"/>
      <c r="AO103" s="42"/>
      <c r="AP103" s="42"/>
    </row>
    <row x14ac:dyDescent="0.25" r="104" customHeight="1" ht="18.75">
      <c r="A104" s="42"/>
      <c r="B104" s="44"/>
      <c r="C104" s="72"/>
      <c r="D104" s="42"/>
      <c r="E104" s="42"/>
      <c r="F104" s="38"/>
      <c r="G104" s="79"/>
      <c r="H104" s="42"/>
      <c r="I104" s="42"/>
      <c r="J104" s="42"/>
      <c r="K104" s="38"/>
      <c r="L104" s="42"/>
      <c r="M104" s="38"/>
      <c r="N104" s="79"/>
      <c r="O104" s="42"/>
      <c r="P104" s="42"/>
      <c r="Q104" s="42"/>
      <c r="R104" s="38"/>
      <c r="S104" s="42"/>
      <c r="T104" s="38"/>
      <c r="U104" s="79"/>
      <c r="V104" s="42"/>
      <c r="W104" s="42"/>
      <c r="X104" s="42"/>
      <c r="Y104" s="38"/>
      <c r="Z104" s="42"/>
      <c r="AA104" s="38"/>
      <c r="AB104" s="42"/>
      <c r="AC104" s="42"/>
      <c r="AD104" s="42"/>
      <c r="AE104" s="42"/>
      <c r="AF104" s="42"/>
      <c r="AG104" s="42"/>
      <c r="AH104" s="42"/>
      <c r="AI104" s="42"/>
      <c r="AJ104" s="42"/>
      <c r="AK104" s="38"/>
      <c r="AL104" s="42"/>
      <c r="AM104" s="38"/>
      <c r="AN104" s="42"/>
      <c r="AO104" s="42"/>
      <c r="AP104" s="42"/>
    </row>
    <row x14ac:dyDescent="0.25" r="105" customHeight="1" ht="18.75">
      <c r="A105" s="42"/>
      <c r="B105" s="44"/>
      <c r="C105" s="72"/>
      <c r="D105" s="42"/>
      <c r="E105" s="42"/>
      <c r="F105" s="38"/>
      <c r="G105" s="79"/>
      <c r="H105" s="42"/>
      <c r="I105" s="42"/>
      <c r="J105" s="42"/>
      <c r="K105" s="38"/>
      <c r="L105" s="42"/>
      <c r="M105" s="38"/>
      <c r="N105" s="79"/>
      <c r="O105" s="42"/>
      <c r="P105" s="42"/>
      <c r="Q105" s="42"/>
      <c r="R105" s="38"/>
      <c r="S105" s="42"/>
      <c r="T105" s="38"/>
      <c r="U105" s="79"/>
      <c r="V105" s="42"/>
      <c r="W105" s="42"/>
      <c r="X105" s="42"/>
      <c r="Y105" s="38"/>
      <c r="Z105" s="42"/>
      <c r="AA105" s="38"/>
      <c r="AB105" s="42"/>
      <c r="AC105" s="42"/>
      <c r="AD105" s="42"/>
      <c r="AE105" s="42"/>
      <c r="AF105" s="42"/>
      <c r="AG105" s="42"/>
      <c r="AH105" s="42"/>
      <c r="AI105" s="42"/>
      <c r="AJ105" s="42"/>
      <c r="AK105" s="38"/>
      <c r="AL105" s="42"/>
      <c r="AM105" s="38"/>
      <c r="AN105" s="42"/>
      <c r="AO105" s="42"/>
      <c r="AP105" s="42"/>
    </row>
    <row x14ac:dyDescent="0.25" r="106" customHeight="1" ht="18.75">
      <c r="A106" s="42"/>
      <c r="B106" s="44"/>
      <c r="C106" s="72"/>
      <c r="D106" s="42"/>
      <c r="E106" s="42"/>
      <c r="F106" s="38"/>
      <c r="G106" s="79"/>
      <c r="H106" s="42"/>
      <c r="I106" s="42"/>
      <c r="J106" s="42"/>
      <c r="K106" s="38"/>
      <c r="L106" s="42"/>
      <c r="M106" s="38"/>
      <c r="N106" s="79"/>
      <c r="O106" s="42"/>
      <c r="P106" s="42"/>
      <c r="Q106" s="42"/>
      <c r="R106" s="38"/>
      <c r="S106" s="42"/>
      <c r="T106" s="38"/>
      <c r="U106" s="79"/>
      <c r="V106" s="42"/>
      <c r="W106" s="42"/>
      <c r="X106" s="42"/>
      <c r="Y106" s="38"/>
      <c r="Z106" s="42"/>
      <c r="AA106" s="38"/>
      <c r="AB106" s="42"/>
      <c r="AC106" s="42"/>
      <c r="AD106" s="42"/>
      <c r="AE106" s="42"/>
      <c r="AF106" s="42"/>
      <c r="AG106" s="42"/>
      <c r="AH106" s="42"/>
      <c r="AI106" s="42"/>
      <c r="AJ106" s="42"/>
      <c r="AK106" s="38"/>
      <c r="AL106" s="42"/>
      <c r="AM106" s="38"/>
      <c r="AN106" s="42"/>
      <c r="AO106" s="42"/>
      <c r="AP106" s="42"/>
    </row>
    <row x14ac:dyDescent="0.25" r="107" customHeight="1" ht="18.75">
      <c r="A107" s="42"/>
      <c r="B107" s="44"/>
      <c r="C107" s="72"/>
      <c r="D107" s="42"/>
      <c r="E107" s="42"/>
      <c r="F107" s="38"/>
      <c r="G107" s="79"/>
      <c r="H107" s="42"/>
      <c r="I107" s="42"/>
      <c r="J107" s="42"/>
      <c r="K107" s="38"/>
      <c r="L107" s="42"/>
      <c r="M107" s="38"/>
      <c r="N107" s="79"/>
      <c r="O107" s="42"/>
      <c r="P107" s="42"/>
      <c r="Q107" s="42"/>
      <c r="R107" s="38"/>
      <c r="S107" s="42"/>
      <c r="T107" s="38"/>
      <c r="U107" s="79"/>
      <c r="V107" s="42"/>
      <c r="W107" s="42"/>
      <c r="X107" s="42"/>
      <c r="Y107" s="38"/>
      <c r="Z107" s="42"/>
      <c r="AA107" s="38"/>
      <c r="AB107" s="42"/>
      <c r="AC107" s="42"/>
      <c r="AD107" s="42"/>
      <c r="AE107" s="42"/>
      <c r="AF107" s="42"/>
      <c r="AG107" s="42"/>
      <c r="AH107" s="42"/>
      <c r="AI107" s="42"/>
      <c r="AJ107" s="42"/>
      <c r="AK107" s="38"/>
      <c r="AL107" s="42"/>
      <c r="AM107" s="38"/>
      <c r="AN107" s="42"/>
      <c r="AO107" s="42"/>
      <c r="AP107" s="42"/>
    </row>
    <row x14ac:dyDescent="0.25" r="108" customHeight="1" ht="18.75">
      <c r="A108" s="42"/>
      <c r="B108" s="44"/>
      <c r="C108" s="72"/>
      <c r="D108" s="42"/>
      <c r="E108" s="42"/>
      <c r="F108" s="38"/>
      <c r="G108" s="79"/>
      <c r="H108" s="42"/>
      <c r="I108" s="42"/>
      <c r="J108" s="42"/>
      <c r="K108" s="38"/>
      <c r="L108" s="42"/>
      <c r="M108" s="38"/>
      <c r="N108" s="79"/>
      <c r="O108" s="42"/>
      <c r="P108" s="42"/>
      <c r="Q108" s="42"/>
      <c r="R108" s="38"/>
      <c r="S108" s="42"/>
      <c r="T108" s="38"/>
      <c r="U108" s="79"/>
      <c r="V108" s="42"/>
      <c r="W108" s="42"/>
      <c r="X108" s="42"/>
      <c r="Y108" s="38"/>
      <c r="Z108" s="42"/>
      <c r="AA108" s="38"/>
      <c r="AB108" s="42"/>
      <c r="AC108" s="42"/>
      <c r="AD108" s="42"/>
      <c r="AE108" s="42"/>
      <c r="AF108" s="42"/>
      <c r="AG108" s="42"/>
      <c r="AH108" s="42"/>
      <c r="AI108" s="42"/>
      <c r="AJ108" s="42"/>
      <c r="AK108" s="38"/>
      <c r="AL108" s="42"/>
      <c r="AM108" s="38"/>
      <c r="AN108" s="42"/>
      <c r="AO108" s="42"/>
      <c r="AP108" s="42"/>
    </row>
    <row x14ac:dyDescent="0.25" r="109" customHeight="1" ht="18.75">
      <c r="A109" s="42"/>
      <c r="B109" s="44"/>
      <c r="C109" s="72"/>
      <c r="D109" s="42"/>
      <c r="E109" s="42"/>
      <c r="F109" s="38"/>
      <c r="G109" s="79"/>
      <c r="H109" s="42"/>
      <c r="I109" s="42"/>
      <c r="J109" s="42"/>
      <c r="K109" s="38"/>
      <c r="L109" s="42"/>
      <c r="M109" s="38"/>
      <c r="N109" s="79"/>
      <c r="O109" s="42"/>
      <c r="P109" s="42"/>
      <c r="Q109" s="42"/>
      <c r="R109" s="38"/>
      <c r="S109" s="42"/>
      <c r="T109" s="38"/>
      <c r="U109" s="79"/>
      <c r="V109" s="42"/>
      <c r="W109" s="42"/>
      <c r="X109" s="42"/>
      <c r="Y109" s="38"/>
      <c r="Z109" s="42"/>
      <c r="AA109" s="38"/>
      <c r="AB109" s="42"/>
      <c r="AC109" s="42"/>
      <c r="AD109" s="42"/>
      <c r="AE109" s="42"/>
      <c r="AF109" s="42"/>
      <c r="AG109" s="42"/>
      <c r="AH109" s="42"/>
      <c r="AI109" s="42"/>
      <c r="AJ109" s="42"/>
      <c r="AK109" s="38"/>
      <c r="AL109" s="42"/>
      <c r="AM109" s="38"/>
      <c r="AN109" s="42"/>
      <c r="AO109" s="42"/>
      <c r="AP109" s="42"/>
    </row>
    <row x14ac:dyDescent="0.25" r="110" customHeight="1" ht="18.75">
      <c r="A110" s="42"/>
      <c r="B110" s="44"/>
      <c r="C110" s="72"/>
      <c r="D110" s="42"/>
      <c r="E110" s="42"/>
      <c r="F110" s="38"/>
      <c r="G110" s="79"/>
      <c r="H110" s="42"/>
      <c r="I110" s="42"/>
      <c r="J110" s="42"/>
      <c r="K110" s="38"/>
      <c r="L110" s="42"/>
      <c r="M110" s="38"/>
      <c r="N110" s="79"/>
      <c r="O110" s="42"/>
      <c r="P110" s="42"/>
      <c r="Q110" s="42"/>
      <c r="R110" s="38"/>
      <c r="S110" s="42"/>
      <c r="T110" s="38"/>
      <c r="U110" s="79"/>
      <c r="V110" s="42"/>
      <c r="W110" s="42"/>
      <c r="X110" s="42"/>
      <c r="Y110" s="38"/>
      <c r="Z110" s="42"/>
      <c r="AA110" s="38"/>
      <c r="AB110" s="42"/>
      <c r="AC110" s="42"/>
      <c r="AD110" s="42"/>
      <c r="AE110" s="42"/>
      <c r="AF110" s="42"/>
      <c r="AG110" s="42"/>
      <c r="AH110" s="42"/>
      <c r="AI110" s="42"/>
      <c r="AJ110" s="42"/>
      <c r="AK110" s="38"/>
      <c r="AL110" s="42"/>
      <c r="AM110" s="38"/>
      <c r="AN110" s="42"/>
      <c r="AO110" s="42"/>
      <c r="AP110" s="42"/>
    </row>
    <row x14ac:dyDescent="0.25" r="111" customHeight="1" ht="18.75">
      <c r="A111" s="42"/>
      <c r="B111" s="44"/>
      <c r="C111" s="72"/>
      <c r="D111" s="42"/>
      <c r="E111" s="42"/>
      <c r="F111" s="38"/>
      <c r="G111" s="79"/>
      <c r="H111" s="42"/>
      <c r="I111" s="42"/>
      <c r="J111" s="42"/>
      <c r="K111" s="38"/>
      <c r="L111" s="42"/>
      <c r="M111" s="38"/>
      <c r="N111" s="79"/>
      <c r="O111" s="42"/>
      <c r="P111" s="42"/>
      <c r="Q111" s="42"/>
      <c r="R111" s="38"/>
      <c r="S111" s="42"/>
      <c r="T111" s="38"/>
      <c r="U111" s="79"/>
      <c r="V111" s="42"/>
      <c r="W111" s="42"/>
      <c r="X111" s="42"/>
      <c r="Y111" s="38"/>
      <c r="Z111" s="42"/>
      <c r="AA111" s="38"/>
      <c r="AB111" s="42"/>
      <c r="AC111" s="42"/>
      <c r="AD111" s="42"/>
      <c r="AE111" s="42"/>
      <c r="AF111" s="42"/>
      <c r="AG111" s="42"/>
      <c r="AH111" s="42"/>
      <c r="AI111" s="42"/>
      <c r="AJ111" s="42"/>
      <c r="AK111" s="38"/>
      <c r="AL111" s="42"/>
      <c r="AM111" s="38"/>
      <c r="AN111" s="42"/>
      <c r="AO111" s="42"/>
      <c r="AP111" s="42"/>
    </row>
    <row x14ac:dyDescent="0.25" r="112" customHeight="1" ht="18.75">
      <c r="A112" s="42"/>
      <c r="B112" s="44"/>
      <c r="C112" s="72"/>
      <c r="D112" s="42"/>
      <c r="E112" s="42"/>
      <c r="F112" s="38"/>
      <c r="G112" s="79"/>
      <c r="H112" s="42"/>
      <c r="I112" s="42"/>
      <c r="J112" s="42"/>
      <c r="K112" s="38"/>
      <c r="L112" s="42"/>
      <c r="M112" s="38"/>
      <c r="N112" s="79"/>
      <c r="O112" s="42"/>
      <c r="P112" s="42"/>
      <c r="Q112" s="42"/>
      <c r="R112" s="38"/>
      <c r="S112" s="42"/>
      <c r="T112" s="38"/>
      <c r="U112" s="79"/>
      <c r="V112" s="42"/>
      <c r="W112" s="42"/>
      <c r="X112" s="42"/>
      <c r="Y112" s="38"/>
      <c r="Z112" s="42"/>
      <c r="AA112" s="38"/>
      <c r="AB112" s="42"/>
      <c r="AC112" s="42"/>
      <c r="AD112" s="42"/>
      <c r="AE112" s="42"/>
      <c r="AF112" s="42"/>
      <c r="AG112" s="42"/>
      <c r="AH112" s="42"/>
      <c r="AI112" s="42"/>
      <c r="AJ112" s="42"/>
      <c r="AK112" s="38"/>
      <c r="AL112" s="42"/>
      <c r="AM112" s="38"/>
      <c r="AN112" s="42"/>
      <c r="AO112" s="42"/>
      <c r="AP112" s="42"/>
    </row>
    <row x14ac:dyDescent="0.25" r="113" customHeight="1" ht="18.75">
      <c r="A113" s="42"/>
      <c r="B113" s="44"/>
      <c r="C113" s="72"/>
      <c r="D113" s="42"/>
      <c r="E113" s="42"/>
      <c r="F113" s="38"/>
      <c r="G113" s="79"/>
      <c r="H113" s="42"/>
      <c r="I113" s="42"/>
      <c r="J113" s="42"/>
      <c r="K113" s="38"/>
      <c r="L113" s="42"/>
      <c r="M113" s="38"/>
      <c r="N113" s="79"/>
      <c r="O113" s="42"/>
      <c r="P113" s="42"/>
      <c r="Q113" s="42"/>
      <c r="R113" s="38"/>
      <c r="S113" s="42"/>
      <c r="T113" s="38"/>
      <c r="U113" s="79"/>
      <c r="V113" s="42"/>
      <c r="W113" s="42"/>
      <c r="X113" s="42"/>
      <c r="Y113" s="38"/>
      <c r="Z113" s="42"/>
      <c r="AA113" s="38"/>
      <c r="AB113" s="42"/>
      <c r="AC113" s="42"/>
      <c r="AD113" s="42"/>
      <c r="AE113" s="42"/>
      <c r="AF113" s="42"/>
      <c r="AG113" s="42"/>
      <c r="AH113" s="42"/>
      <c r="AI113" s="42"/>
      <c r="AJ113" s="42"/>
      <c r="AK113" s="38"/>
      <c r="AL113" s="42"/>
      <c r="AM113" s="38"/>
      <c r="AN113" s="42"/>
      <c r="AO113" s="42"/>
      <c r="AP113" s="42"/>
    </row>
    <row x14ac:dyDescent="0.25" r="114" customHeight="1" ht="18.75">
      <c r="A114" s="42"/>
      <c r="B114" s="44"/>
      <c r="C114" s="72"/>
      <c r="D114" s="42"/>
      <c r="E114" s="42"/>
      <c r="F114" s="38"/>
      <c r="G114" s="79"/>
      <c r="H114" s="42"/>
      <c r="I114" s="42"/>
      <c r="J114" s="42"/>
      <c r="K114" s="38"/>
      <c r="L114" s="42"/>
      <c r="M114" s="38"/>
      <c r="N114" s="79"/>
      <c r="O114" s="42"/>
      <c r="P114" s="42"/>
      <c r="Q114" s="42"/>
      <c r="R114" s="38"/>
      <c r="S114" s="42"/>
      <c r="T114" s="38"/>
      <c r="U114" s="79"/>
      <c r="V114" s="42"/>
      <c r="W114" s="42"/>
      <c r="X114" s="42"/>
      <c r="Y114" s="38"/>
      <c r="Z114" s="42"/>
      <c r="AA114" s="38"/>
      <c r="AB114" s="42"/>
      <c r="AC114" s="42"/>
      <c r="AD114" s="42"/>
      <c r="AE114" s="42"/>
      <c r="AF114" s="42"/>
      <c r="AG114" s="42"/>
      <c r="AH114" s="42"/>
      <c r="AI114" s="42"/>
      <c r="AJ114" s="42"/>
      <c r="AK114" s="38"/>
      <c r="AL114" s="42"/>
      <c r="AM114" s="38"/>
      <c r="AN114" s="42"/>
      <c r="AO114" s="42"/>
      <c r="AP114" s="42"/>
    </row>
    <row x14ac:dyDescent="0.25" r="115" customHeight="1" ht="18.75">
      <c r="A115" s="42"/>
      <c r="B115" s="44"/>
      <c r="C115" s="72"/>
      <c r="D115" s="42"/>
      <c r="E115" s="42"/>
      <c r="F115" s="38"/>
      <c r="G115" s="79"/>
      <c r="H115" s="42"/>
      <c r="I115" s="42"/>
      <c r="J115" s="42"/>
      <c r="K115" s="38"/>
      <c r="L115" s="42"/>
      <c r="M115" s="38"/>
      <c r="N115" s="79"/>
      <c r="O115" s="42"/>
      <c r="P115" s="42"/>
      <c r="Q115" s="42"/>
      <c r="R115" s="38"/>
      <c r="S115" s="42"/>
      <c r="T115" s="38"/>
      <c r="U115" s="79"/>
      <c r="V115" s="42"/>
      <c r="W115" s="42"/>
      <c r="X115" s="42"/>
      <c r="Y115" s="38"/>
      <c r="Z115" s="42"/>
      <c r="AA115" s="38"/>
      <c r="AB115" s="42"/>
      <c r="AC115" s="42"/>
      <c r="AD115" s="42"/>
      <c r="AE115" s="42"/>
      <c r="AF115" s="42"/>
      <c r="AG115" s="42"/>
      <c r="AH115" s="42"/>
      <c r="AI115" s="42"/>
      <c r="AJ115" s="42"/>
      <c r="AK115" s="38"/>
      <c r="AL115" s="42"/>
      <c r="AM115" s="38"/>
      <c r="AN115" s="42"/>
      <c r="AO115" s="42"/>
      <c r="AP115" s="42"/>
    </row>
    <row x14ac:dyDescent="0.25" r="116" customHeight="1" ht="18.75">
      <c r="A116" s="42"/>
      <c r="B116" s="44"/>
      <c r="C116" s="72"/>
      <c r="D116" s="42"/>
      <c r="E116" s="42"/>
      <c r="F116" s="38"/>
      <c r="G116" s="79"/>
      <c r="H116" s="42"/>
      <c r="I116" s="42"/>
      <c r="J116" s="42"/>
      <c r="K116" s="38"/>
      <c r="L116" s="42"/>
      <c r="M116" s="38"/>
      <c r="N116" s="79"/>
      <c r="O116" s="42"/>
      <c r="P116" s="42"/>
      <c r="Q116" s="42"/>
      <c r="R116" s="38"/>
      <c r="S116" s="42"/>
      <c r="T116" s="38"/>
      <c r="U116" s="79"/>
      <c r="V116" s="42"/>
      <c r="W116" s="42"/>
      <c r="X116" s="42"/>
      <c r="Y116" s="38"/>
      <c r="Z116" s="42"/>
      <c r="AA116" s="38"/>
      <c r="AB116" s="42"/>
      <c r="AC116" s="42"/>
      <c r="AD116" s="42"/>
      <c r="AE116" s="42"/>
      <c r="AF116" s="42"/>
      <c r="AG116" s="42"/>
      <c r="AH116" s="42"/>
      <c r="AI116" s="42"/>
      <c r="AJ116" s="42"/>
      <c r="AK116" s="38"/>
      <c r="AL116" s="42"/>
      <c r="AM116" s="38"/>
      <c r="AN116" s="42"/>
      <c r="AO116" s="42"/>
      <c r="AP116" s="42"/>
    </row>
    <row x14ac:dyDescent="0.25" r="117" customHeight="1" ht="18.75">
      <c r="A117" s="42"/>
      <c r="B117" s="44"/>
      <c r="C117" s="72"/>
      <c r="D117" s="42"/>
      <c r="E117" s="42"/>
      <c r="F117" s="38"/>
      <c r="G117" s="79"/>
      <c r="H117" s="42"/>
      <c r="I117" s="42"/>
      <c r="J117" s="42"/>
      <c r="K117" s="38"/>
      <c r="L117" s="42"/>
      <c r="M117" s="38"/>
      <c r="N117" s="79"/>
      <c r="O117" s="42"/>
      <c r="P117" s="42"/>
      <c r="Q117" s="42"/>
      <c r="R117" s="38"/>
      <c r="S117" s="42"/>
      <c r="T117" s="38"/>
      <c r="U117" s="79"/>
      <c r="V117" s="42"/>
      <c r="W117" s="42"/>
      <c r="X117" s="42"/>
      <c r="Y117" s="38"/>
      <c r="Z117" s="42"/>
      <c r="AA117" s="38"/>
      <c r="AB117" s="42"/>
      <c r="AC117" s="42"/>
      <c r="AD117" s="42"/>
      <c r="AE117" s="42"/>
      <c r="AF117" s="42"/>
      <c r="AG117" s="42"/>
      <c r="AH117" s="42"/>
      <c r="AI117" s="42"/>
      <c r="AJ117" s="42"/>
      <c r="AK117" s="38"/>
      <c r="AL117" s="42"/>
      <c r="AM117" s="38"/>
      <c r="AN117" s="42"/>
      <c r="AO117" s="42"/>
      <c r="AP117" s="42"/>
    </row>
    <row x14ac:dyDescent="0.25" r="118" customHeight="1" ht="18.75">
      <c r="A118" s="42"/>
      <c r="B118" s="44"/>
      <c r="C118" s="72"/>
      <c r="D118" s="42"/>
      <c r="E118" s="42"/>
      <c r="F118" s="38"/>
      <c r="G118" s="79"/>
      <c r="H118" s="42"/>
      <c r="I118" s="42"/>
      <c r="J118" s="42"/>
      <c r="K118" s="38"/>
      <c r="L118" s="42"/>
      <c r="M118" s="38"/>
      <c r="N118" s="79"/>
      <c r="O118" s="42"/>
      <c r="P118" s="42"/>
      <c r="Q118" s="42"/>
      <c r="R118" s="38"/>
      <c r="S118" s="42"/>
      <c r="T118" s="38"/>
      <c r="U118" s="79"/>
      <c r="V118" s="42"/>
      <c r="W118" s="42"/>
      <c r="X118" s="42"/>
      <c r="Y118" s="38"/>
      <c r="Z118" s="42"/>
      <c r="AA118" s="38"/>
      <c r="AB118" s="42"/>
      <c r="AC118" s="42"/>
      <c r="AD118" s="42"/>
      <c r="AE118" s="42"/>
      <c r="AF118" s="42"/>
      <c r="AG118" s="42"/>
      <c r="AH118" s="42"/>
      <c r="AI118" s="42"/>
      <c r="AJ118" s="42"/>
      <c r="AK118" s="38"/>
      <c r="AL118" s="42"/>
      <c r="AM118" s="38"/>
      <c r="AN118" s="42"/>
      <c r="AO118" s="42"/>
      <c r="AP118" s="42"/>
    </row>
    <row x14ac:dyDescent="0.25" r="119" customHeight="1" ht="18.75">
      <c r="A119" s="42"/>
      <c r="B119" s="44"/>
      <c r="C119" s="72"/>
      <c r="D119" s="42"/>
      <c r="E119" s="42"/>
      <c r="F119" s="38"/>
      <c r="G119" s="79"/>
      <c r="H119" s="42"/>
      <c r="I119" s="42"/>
      <c r="J119" s="42"/>
      <c r="K119" s="38"/>
      <c r="L119" s="42"/>
      <c r="M119" s="38"/>
      <c r="N119" s="79"/>
      <c r="O119" s="42"/>
      <c r="P119" s="42"/>
      <c r="Q119" s="42"/>
      <c r="R119" s="38"/>
      <c r="S119" s="42"/>
      <c r="T119" s="38"/>
      <c r="U119" s="79"/>
      <c r="V119" s="42"/>
      <c r="W119" s="42"/>
      <c r="X119" s="42"/>
      <c r="Y119" s="38"/>
      <c r="Z119" s="42"/>
      <c r="AA119" s="38"/>
      <c r="AB119" s="42"/>
      <c r="AC119" s="42"/>
      <c r="AD119" s="42"/>
      <c r="AE119" s="42"/>
      <c r="AF119" s="42"/>
      <c r="AG119" s="42"/>
      <c r="AH119" s="42"/>
      <c r="AI119" s="42"/>
      <c r="AJ119" s="42"/>
      <c r="AK119" s="38"/>
      <c r="AL119" s="42"/>
      <c r="AM119" s="38"/>
      <c r="AN119" s="42"/>
      <c r="AO119" s="42"/>
      <c r="AP119" s="42"/>
    </row>
    <row x14ac:dyDescent="0.25" r="120" customHeight="1" ht="18.75">
      <c r="A120" s="42"/>
      <c r="B120" s="44"/>
      <c r="C120" s="72"/>
      <c r="D120" s="42"/>
      <c r="E120" s="42"/>
      <c r="F120" s="38"/>
      <c r="G120" s="79"/>
      <c r="H120" s="42"/>
      <c r="I120" s="42"/>
      <c r="J120" s="42"/>
      <c r="K120" s="38"/>
      <c r="L120" s="42"/>
      <c r="M120" s="38"/>
      <c r="N120" s="79"/>
      <c r="O120" s="42"/>
      <c r="P120" s="42"/>
      <c r="Q120" s="42"/>
      <c r="R120" s="38"/>
      <c r="S120" s="42"/>
      <c r="T120" s="38"/>
      <c r="U120" s="79"/>
      <c r="V120" s="42"/>
      <c r="W120" s="42"/>
      <c r="X120" s="42"/>
      <c r="Y120" s="38"/>
      <c r="Z120" s="42"/>
      <c r="AA120" s="38"/>
      <c r="AB120" s="42"/>
      <c r="AC120" s="42"/>
      <c r="AD120" s="42"/>
      <c r="AE120" s="42"/>
      <c r="AF120" s="42"/>
      <c r="AG120" s="42"/>
      <c r="AH120" s="42"/>
      <c r="AI120" s="42"/>
      <c r="AJ120" s="42"/>
      <c r="AK120" s="38"/>
      <c r="AL120" s="42"/>
      <c r="AM120" s="38"/>
      <c r="AN120" s="42"/>
      <c r="AO120" s="42"/>
      <c r="AP120" s="42"/>
    </row>
    <row x14ac:dyDescent="0.25" r="121" customHeight="1" ht="18.75">
      <c r="A121" s="42"/>
      <c r="B121" s="44"/>
      <c r="C121" s="72"/>
      <c r="D121" s="42"/>
      <c r="E121" s="42"/>
      <c r="F121" s="38"/>
      <c r="G121" s="79"/>
      <c r="H121" s="42"/>
      <c r="I121" s="42"/>
      <c r="J121" s="42"/>
      <c r="K121" s="38"/>
      <c r="L121" s="42"/>
      <c r="M121" s="38"/>
      <c r="N121" s="79"/>
      <c r="O121" s="42"/>
      <c r="P121" s="42"/>
      <c r="Q121" s="42"/>
      <c r="R121" s="38"/>
      <c r="S121" s="42"/>
      <c r="T121" s="38"/>
      <c r="U121" s="79"/>
      <c r="V121" s="42"/>
      <c r="W121" s="42"/>
      <c r="X121" s="42"/>
      <c r="Y121" s="38"/>
      <c r="Z121" s="42"/>
      <c r="AA121" s="38"/>
      <c r="AB121" s="42"/>
      <c r="AC121" s="42"/>
      <c r="AD121" s="42"/>
      <c r="AE121" s="42"/>
      <c r="AF121" s="42"/>
      <c r="AG121" s="42"/>
      <c r="AH121" s="42"/>
      <c r="AI121" s="42"/>
      <c r="AJ121" s="42"/>
      <c r="AK121" s="38"/>
      <c r="AL121" s="42"/>
      <c r="AM121" s="38"/>
      <c r="AN121" s="42"/>
      <c r="AO121" s="42"/>
      <c r="AP121" s="42"/>
    </row>
    <row x14ac:dyDescent="0.25" r="122" customHeight="1" ht="18.75">
      <c r="A122" s="42"/>
      <c r="B122" s="44"/>
      <c r="C122" s="72"/>
      <c r="D122" s="42"/>
      <c r="E122" s="42"/>
      <c r="F122" s="38"/>
      <c r="G122" s="79"/>
      <c r="H122" s="42"/>
      <c r="I122" s="42"/>
      <c r="J122" s="42"/>
      <c r="K122" s="38"/>
      <c r="L122" s="42"/>
      <c r="M122" s="38"/>
      <c r="N122" s="79"/>
      <c r="O122" s="42"/>
      <c r="P122" s="42"/>
      <c r="Q122" s="42"/>
      <c r="R122" s="38"/>
      <c r="S122" s="42"/>
      <c r="T122" s="38"/>
      <c r="U122" s="79"/>
      <c r="V122" s="42"/>
      <c r="W122" s="42"/>
      <c r="X122" s="42"/>
      <c r="Y122" s="38"/>
      <c r="Z122" s="42"/>
      <c r="AA122" s="38"/>
      <c r="AB122" s="42"/>
      <c r="AC122" s="42"/>
      <c r="AD122" s="42"/>
      <c r="AE122" s="42"/>
      <c r="AF122" s="42"/>
      <c r="AG122" s="42"/>
      <c r="AH122" s="42"/>
      <c r="AI122" s="42"/>
      <c r="AJ122" s="42"/>
      <c r="AK122" s="38"/>
      <c r="AL122" s="42"/>
      <c r="AM122" s="38"/>
      <c r="AN122" s="42"/>
      <c r="AO122" s="42"/>
      <c r="AP122" s="42"/>
    </row>
    <row x14ac:dyDescent="0.25" r="123" customHeight="1" ht="18.75">
      <c r="A123" s="42"/>
      <c r="B123" s="44"/>
      <c r="C123" s="72"/>
      <c r="D123" s="42"/>
      <c r="E123" s="42"/>
      <c r="F123" s="38"/>
      <c r="G123" s="79"/>
      <c r="H123" s="42"/>
      <c r="I123" s="42"/>
      <c r="J123" s="42"/>
      <c r="K123" s="38"/>
      <c r="L123" s="42"/>
      <c r="M123" s="38"/>
      <c r="N123" s="79"/>
      <c r="O123" s="42"/>
      <c r="P123" s="42"/>
      <c r="Q123" s="42"/>
      <c r="R123" s="38"/>
      <c r="S123" s="42"/>
      <c r="T123" s="38"/>
      <c r="U123" s="79"/>
      <c r="V123" s="42"/>
      <c r="W123" s="42"/>
      <c r="X123" s="42"/>
      <c r="Y123" s="38"/>
      <c r="Z123" s="42"/>
      <c r="AA123" s="38"/>
      <c r="AB123" s="42"/>
      <c r="AC123" s="42"/>
      <c r="AD123" s="42"/>
      <c r="AE123" s="42"/>
      <c r="AF123" s="42"/>
      <c r="AG123" s="42"/>
      <c r="AH123" s="42"/>
      <c r="AI123" s="42"/>
      <c r="AJ123" s="42"/>
      <c r="AK123" s="38"/>
      <c r="AL123" s="42"/>
      <c r="AM123" s="38"/>
      <c r="AN123" s="42"/>
      <c r="AO123" s="42"/>
      <c r="AP123" s="42"/>
    </row>
    <row x14ac:dyDescent="0.25" r="124" customHeight="1" ht="18.75">
      <c r="A124" s="42"/>
      <c r="B124" s="44"/>
      <c r="C124" s="72"/>
      <c r="D124" s="42"/>
      <c r="E124" s="42"/>
      <c r="F124" s="38"/>
      <c r="G124" s="79"/>
      <c r="H124" s="42"/>
      <c r="I124" s="42"/>
      <c r="J124" s="42"/>
      <c r="K124" s="38"/>
      <c r="L124" s="42"/>
      <c r="M124" s="38"/>
      <c r="N124" s="79"/>
      <c r="O124" s="42"/>
      <c r="P124" s="42"/>
      <c r="Q124" s="42"/>
      <c r="R124" s="38"/>
      <c r="S124" s="42"/>
      <c r="T124" s="38"/>
      <c r="U124" s="79"/>
      <c r="V124" s="42"/>
      <c r="W124" s="42"/>
      <c r="X124" s="42"/>
      <c r="Y124" s="38"/>
      <c r="Z124" s="42"/>
      <c r="AA124" s="38"/>
      <c r="AB124" s="42"/>
      <c r="AC124" s="42"/>
      <c r="AD124" s="42"/>
      <c r="AE124" s="42"/>
      <c r="AF124" s="42"/>
      <c r="AG124" s="42"/>
      <c r="AH124" s="42"/>
      <c r="AI124" s="42"/>
      <c r="AJ124" s="42"/>
      <c r="AK124" s="38"/>
      <c r="AL124" s="42"/>
      <c r="AM124" s="38"/>
      <c r="AN124" s="42"/>
      <c r="AO124" s="42"/>
      <c r="AP124" s="42"/>
    </row>
  </sheetData>
  <mergeCells count="17">
    <mergeCell ref="A1:AP1"/>
    <mergeCell ref="A3:A4"/>
    <mergeCell ref="B3:B4"/>
    <mergeCell ref="C3:C4"/>
    <mergeCell ref="D3:G3"/>
    <mergeCell ref="H3:J3"/>
    <mergeCell ref="K3:N3"/>
    <mergeCell ref="O3:Q3"/>
    <mergeCell ref="R3:U3"/>
    <mergeCell ref="V3:X3"/>
    <mergeCell ref="Y3:AA3"/>
    <mergeCell ref="AB3:AD3"/>
    <mergeCell ref="AE3:AG3"/>
    <mergeCell ref="AH3:AJ3"/>
    <mergeCell ref="AK3:AM3"/>
    <mergeCell ref="AN3:AP3"/>
    <mergeCell ref="A62:C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6"/>
  <sheetViews>
    <sheetView workbookViewId="0"/>
  </sheetViews>
  <sheetFormatPr defaultRowHeight="15" x14ac:dyDescent="0.25"/>
  <cols>
    <col min="1" max="1" style="45" width="6.005" customWidth="1" bestFit="1"/>
    <col min="2" max="2" style="46" width="9.005" customWidth="1" bestFit="1"/>
    <col min="3" max="3" style="47" width="43.005" customWidth="1" bestFit="1"/>
    <col min="4" max="4" style="45" width="9.005" customWidth="1" bestFit="1"/>
    <col min="5" max="5" style="73" width="11.005" customWidth="1" bestFit="1"/>
    <col min="6" max="6" style="45" width="16.005" customWidth="1" bestFit="1"/>
    <col min="7" max="7" style="45" width="9.005" customWidth="1" bestFit="1"/>
    <col min="8" max="8" style="73" width="11.005" customWidth="1" bestFit="1"/>
    <col min="9" max="9" style="45" width="16.005" customWidth="1" bestFit="1"/>
  </cols>
  <sheetData>
    <row x14ac:dyDescent="0.25" r="1" customHeight="1" ht="24.75">
      <c r="A1" s="4" t="s">
        <v>189</v>
      </c>
      <c r="B1" s="61"/>
      <c r="C1" s="62"/>
      <c r="D1" s="4"/>
      <c r="E1" s="4"/>
      <c r="F1" s="4"/>
      <c r="G1" s="4"/>
      <c r="H1" s="4"/>
      <c r="I1" s="4"/>
    </row>
    <row x14ac:dyDescent="0.25" r="2" customHeight="1" ht="24.75">
      <c r="A2" s="63"/>
      <c r="B2" s="64"/>
      <c r="C2" s="65"/>
      <c r="D2" s="63"/>
      <c r="E2" s="41"/>
      <c r="F2" s="63"/>
      <c r="G2" s="66" t="s">
        <v>190</v>
      </c>
      <c r="H2" s="66"/>
      <c r="I2" s="66"/>
    </row>
    <row x14ac:dyDescent="0.25" r="3" customHeight="1" ht="39.75">
      <c r="A3" s="67" t="s">
        <v>191</v>
      </c>
      <c r="B3" s="68" t="s">
        <v>2</v>
      </c>
      <c r="C3" s="52" t="s">
        <v>3</v>
      </c>
      <c r="D3" s="13" t="s">
        <v>192</v>
      </c>
      <c r="E3" s="14"/>
      <c r="F3" s="15"/>
      <c r="G3" s="13" t="s">
        <v>193</v>
      </c>
      <c r="H3" s="14"/>
      <c r="I3" s="15"/>
    </row>
    <row x14ac:dyDescent="0.25" r="4" customHeight="1" ht="24.75">
      <c r="A4" s="13"/>
      <c r="B4" s="9"/>
      <c r="C4" s="53"/>
      <c r="D4" s="13" t="s">
        <v>9</v>
      </c>
      <c r="E4" s="55" t="s">
        <v>10</v>
      </c>
      <c r="F4" s="13" t="s">
        <v>11</v>
      </c>
      <c r="G4" s="13" t="s">
        <v>9</v>
      </c>
      <c r="H4" s="20" t="s">
        <v>10</v>
      </c>
      <c r="I4" s="13" t="s">
        <v>11</v>
      </c>
    </row>
    <row x14ac:dyDescent="0.25" r="5" customHeight="1" ht="39.75">
      <c r="A5" s="24">
        <v>1</v>
      </c>
      <c r="B5" s="22" t="s">
        <v>12</v>
      </c>
      <c r="C5" s="23" t="s">
        <v>13</v>
      </c>
      <c r="D5" s="24">
        <v>300</v>
      </c>
      <c r="E5" s="57">
        <v>15000</v>
      </c>
      <c r="F5" s="24">
        <v>4500000</v>
      </c>
      <c r="G5" s="21">
        <v>810</v>
      </c>
      <c r="H5" s="27">
        <v>20000</v>
      </c>
      <c r="I5" s="21">
        <v>16200000</v>
      </c>
    </row>
    <row x14ac:dyDescent="0.25" r="6" customHeight="1" ht="39.75">
      <c r="A6" s="24">
        <v>2</v>
      </c>
      <c r="B6" s="22" t="s">
        <v>14</v>
      </c>
      <c r="C6" s="23" t="s">
        <v>15</v>
      </c>
      <c r="D6" s="24">
        <v>500</v>
      </c>
      <c r="E6" s="57">
        <v>14000</v>
      </c>
      <c r="F6" s="24">
        <v>6958000</v>
      </c>
      <c r="G6" s="21">
        <v>710</v>
      </c>
      <c r="H6" s="27">
        <v>20000</v>
      </c>
      <c r="I6" s="21">
        <v>14200000</v>
      </c>
    </row>
    <row x14ac:dyDescent="0.25" r="7" customHeight="1" ht="39.75">
      <c r="A7" s="24">
        <v>3</v>
      </c>
      <c r="B7" s="22" t="s">
        <v>17</v>
      </c>
      <c r="C7" s="23" t="s">
        <v>18</v>
      </c>
      <c r="D7" s="24">
        <v>270</v>
      </c>
      <c r="E7" s="57" t="s">
        <v>149</v>
      </c>
      <c r="F7" s="24">
        <v>9746500</v>
      </c>
      <c r="G7" s="21">
        <v>250</v>
      </c>
      <c r="H7" s="27">
        <v>52500</v>
      </c>
      <c r="I7" s="21">
        <v>13125000</v>
      </c>
    </row>
    <row x14ac:dyDescent="0.25" r="8" customHeight="1" ht="39.75">
      <c r="A8" s="24">
        <v>4</v>
      </c>
      <c r="B8" s="22" t="s">
        <v>19</v>
      </c>
      <c r="C8" s="23" t="s">
        <v>20</v>
      </c>
      <c r="D8" s="24">
        <v>2750</v>
      </c>
      <c r="E8" s="57" t="s">
        <v>150</v>
      </c>
      <c r="F8" s="24">
        <v>104291900</v>
      </c>
      <c r="G8" s="21">
        <v>2580</v>
      </c>
      <c r="H8" s="27">
        <v>53000</v>
      </c>
      <c r="I8" s="21">
        <v>136740000</v>
      </c>
    </row>
    <row x14ac:dyDescent="0.25" r="9" customHeight="1" ht="39.75">
      <c r="A9" s="24">
        <v>5</v>
      </c>
      <c r="B9" s="22" t="s">
        <v>21</v>
      </c>
      <c r="C9" s="23" t="s">
        <v>22</v>
      </c>
      <c r="D9" s="24">
        <v>2035</v>
      </c>
      <c r="E9" s="57" t="s">
        <v>151</v>
      </c>
      <c r="F9" s="24">
        <v>89347950</v>
      </c>
      <c r="G9" s="21">
        <v>1741</v>
      </c>
      <c r="H9" s="27">
        <v>62500</v>
      </c>
      <c r="I9" s="21">
        <v>108812500</v>
      </c>
    </row>
    <row x14ac:dyDescent="0.25" r="10" customHeight="1" ht="39.75">
      <c r="A10" s="24">
        <v>6</v>
      </c>
      <c r="B10" s="22" t="s">
        <v>23</v>
      </c>
      <c r="C10" s="23" t="s">
        <v>24</v>
      </c>
      <c r="D10" s="24">
        <v>60</v>
      </c>
      <c r="E10" s="57">
        <v>62400</v>
      </c>
      <c r="F10" s="24">
        <v>3744000</v>
      </c>
      <c r="G10" s="21">
        <v>20</v>
      </c>
      <c r="H10" s="27">
        <v>90500</v>
      </c>
      <c r="I10" s="21">
        <v>1810000</v>
      </c>
    </row>
    <row x14ac:dyDescent="0.25" r="11" customHeight="1" ht="39.75">
      <c r="A11" s="24">
        <v>7</v>
      </c>
      <c r="B11" s="22" t="s">
        <v>25</v>
      </c>
      <c r="C11" s="23" t="s">
        <v>26</v>
      </c>
      <c r="D11" s="24">
        <v>20</v>
      </c>
      <c r="E11" s="57">
        <v>47900</v>
      </c>
      <c r="F11" s="24">
        <v>958000</v>
      </c>
      <c r="G11" s="21">
        <v>30</v>
      </c>
      <c r="H11" s="27">
        <v>64000</v>
      </c>
      <c r="I11" s="21">
        <v>1920000</v>
      </c>
    </row>
    <row x14ac:dyDescent="0.25" r="12" customHeight="1" ht="39.75">
      <c r="A12" s="24">
        <v>8</v>
      </c>
      <c r="B12" s="22" t="s">
        <v>27</v>
      </c>
      <c r="C12" s="23" t="s">
        <v>28</v>
      </c>
      <c r="D12" s="24">
        <v>540</v>
      </c>
      <c r="E12" s="57">
        <v>48400</v>
      </c>
      <c r="F12" s="24">
        <v>24675200</v>
      </c>
      <c r="G12" s="21">
        <v>250</v>
      </c>
      <c r="H12" s="27">
        <v>64500</v>
      </c>
      <c r="I12" s="21">
        <v>16125000</v>
      </c>
    </row>
    <row x14ac:dyDescent="0.25" r="13" customHeight="1" ht="39.75">
      <c r="A13" s="24">
        <v>9</v>
      </c>
      <c r="B13" s="22" t="s">
        <v>29</v>
      </c>
      <c r="C13" s="23" t="s">
        <v>30</v>
      </c>
      <c r="D13" s="24">
        <v>100</v>
      </c>
      <c r="E13" s="57">
        <v>49000</v>
      </c>
      <c r="F13" s="24">
        <v>4802000</v>
      </c>
      <c r="G13" s="21">
        <v>0</v>
      </c>
      <c r="H13" s="29"/>
      <c r="I13" s="21">
        <v>0</v>
      </c>
    </row>
    <row x14ac:dyDescent="0.25" r="14" customHeight="1" ht="39.75">
      <c r="A14" s="24">
        <v>10</v>
      </c>
      <c r="B14" s="22" t="s">
        <v>32</v>
      </c>
      <c r="C14" s="23" t="s">
        <v>33</v>
      </c>
      <c r="D14" s="24">
        <v>165</v>
      </c>
      <c r="E14" s="57">
        <v>56700</v>
      </c>
      <c r="F14" s="24">
        <v>9355500</v>
      </c>
      <c r="G14" s="21">
        <v>0</v>
      </c>
      <c r="H14" s="29"/>
      <c r="I14" s="21">
        <v>0</v>
      </c>
    </row>
    <row x14ac:dyDescent="0.25" r="15" customHeight="1" ht="39.75">
      <c r="A15" s="24">
        <v>11</v>
      </c>
      <c r="B15" s="22" t="s">
        <v>34</v>
      </c>
      <c r="C15" s="23" t="s">
        <v>35</v>
      </c>
      <c r="D15" s="24">
        <v>155</v>
      </c>
      <c r="E15" s="57" t="s">
        <v>155</v>
      </c>
      <c r="F15" s="24">
        <v>8641000</v>
      </c>
      <c r="G15" s="21">
        <v>50</v>
      </c>
      <c r="H15" s="27">
        <v>76500</v>
      </c>
      <c r="I15" s="21">
        <v>3825000</v>
      </c>
    </row>
    <row x14ac:dyDescent="0.25" r="16" customHeight="1" ht="39.75">
      <c r="A16" s="24">
        <v>12</v>
      </c>
      <c r="B16" s="22" t="s">
        <v>37</v>
      </c>
      <c r="C16" s="23" t="s">
        <v>38</v>
      </c>
      <c r="D16" s="24">
        <v>180</v>
      </c>
      <c r="E16" s="57" t="s">
        <v>156</v>
      </c>
      <c r="F16" s="24">
        <v>9760900</v>
      </c>
      <c r="G16" s="21">
        <v>100</v>
      </c>
      <c r="H16" s="27">
        <v>79000</v>
      </c>
      <c r="I16" s="21">
        <v>7900000</v>
      </c>
    </row>
    <row x14ac:dyDescent="0.25" r="17" customHeight="1" ht="39.75">
      <c r="A17" s="24">
        <v>13</v>
      </c>
      <c r="B17" s="22" t="s">
        <v>39</v>
      </c>
      <c r="C17" s="23" t="s">
        <v>40</v>
      </c>
      <c r="D17" s="24">
        <v>600</v>
      </c>
      <c r="E17" s="57" t="s">
        <v>157</v>
      </c>
      <c r="F17" s="24">
        <v>33102000</v>
      </c>
      <c r="G17" s="21">
        <v>141</v>
      </c>
      <c r="H17" s="27">
        <v>79500</v>
      </c>
      <c r="I17" s="21">
        <v>11209500</v>
      </c>
    </row>
    <row x14ac:dyDescent="0.25" r="18" customHeight="1" ht="39.75">
      <c r="A18" s="24">
        <v>14</v>
      </c>
      <c r="B18" s="22" t="s">
        <v>42</v>
      </c>
      <c r="C18" s="23" t="s">
        <v>43</v>
      </c>
      <c r="D18" s="24">
        <v>65</v>
      </c>
      <c r="E18" s="57" t="s">
        <v>158</v>
      </c>
      <c r="F18" s="24">
        <v>4652900</v>
      </c>
      <c r="G18" s="21">
        <v>40</v>
      </c>
      <c r="H18" s="27">
        <v>100000</v>
      </c>
      <c r="I18" s="21">
        <v>4000000</v>
      </c>
    </row>
    <row x14ac:dyDescent="0.25" r="19" customHeight="1" ht="39.75">
      <c r="A19" s="24">
        <v>15</v>
      </c>
      <c r="B19" s="22" t="s">
        <v>44</v>
      </c>
      <c r="C19" s="23" t="s">
        <v>45</v>
      </c>
      <c r="D19" s="24">
        <v>1375</v>
      </c>
      <c r="E19" s="57" t="s">
        <v>159</v>
      </c>
      <c r="F19" s="24">
        <v>83864650</v>
      </c>
      <c r="G19" s="21">
        <v>850</v>
      </c>
      <c r="H19" s="27">
        <v>84500</v>
      </c>
      <c r="I19" s="21">
        <v>71825000</v>
      </c>
    </row>
    <row x14ac:dyDescent="0.25" r="20" customHeight="1" ht="39.75">
      <c r="A20" s="24">
        <v>16</v>
      </c>
      <c r="B20" s="22" t="s">
        <v>46</v>
      </c>
      <c r="C20" s="23" t="s">
        <v>47</v>
      </c>
      <c r="D20" s="24">
        <v>1850</v>
      </c>
      <c r="E20" s="57" t="s">
        <v>160</v>
      </c>
      <c r="F20" s="24">
        <v>120425900</v>
      </c>
      <c r="G20" s="21">
        <v>1500</v>
      </c>
      <c r="H20" s="27">
        <v>90000</v>
      </c>
      <c r="I20" s="21">
        <v>135000000</v>
      </c>
    </row>
    <row x14ac:dyDescent="0.25" r="21" customHeight="1" ht="39.75">
      <c r="A21" s="24">
        <v>17</v>
      </c>
      <c r="B21" s="22" t="s">
        <v>48</v>
      </c>
      <c r="C21" s="23" t="s">
        <v>49</v>
      </c>
      <c r="D21" s="24"/>
      <c r="E21" s="58"/>
      <c r="F21" s="24"/>
      <c r="G21" s="21"/>
      <c r="H21" s="29"/>
      <c r="I21" s="21"/>
    </row>
    <row x14ac:dyDescent="0.25" r="22" customHeight="1" ht="39.75">
      <c r="A22" s="24">
        <v>18</v>
      </c>
      <c r="B22" s="22" t="s">
        <v>50</v>
      </c>
      <c r="C22" s="23" t="s">
        <v>51</v>
      </c>
      <c r="D22" s="24"/>
      <c r="E22" s="58"/>
      <c r="F22" s="24"/>
      <c r="G22" s="21"/>
      <c r="H22" s="29"/>
      <c r="I22" s="21"/>
    </row>
    <row x14ac:dyDescent="0.25" r="23" customHeight="1" ht="39.75">
      <c r="A23" s="24">
        <v>19</v>
      </c>
      <c r="B23" s="22" t="s">
        <v>52</v>
      </c>
      <c r="C23" s="23" t="s">
        <v>53</v>
      </c>
      <c r="D23" s="24">
        <v>425</v>
      </c>
      <c r="E23" s="57" t="s">
        <v>161</v>
      </c>
      <c r="F23" s="24">
        <v>42016000</v>
      </c>
      <c r="G23" s="21"/>
      <c r="H23" s="29"/>
      <c r="I23" s="21"/>
    </row>
    <row x14ac:dyDescent="0.25" r="24" customHeight="1" ht="39.75">
      <c r="A24" s="24">
        <v>20</v>
      </c>
      <c r="B24" s="22" t="s">
        <v>54</v>
      </c>
      <c r="C24" s="23" t="s">
        <v>55</v>
      </c>
      <c r="D24" s="24">
        <v>235</v>
      </c>
      <c r="E24" s="57">
        <v>102300</v>
      </c>
      <c r="F24" s="24">
        <v>24040500</v>
      </c>
      <c r="G24" s="21"/>
      <c r="H24" s="29"/>
      <c r="I24" s="21"/>
    </row>
    <row x14ac:dyDescent="0.25" r="25" customHeight="1" ht="39.75">
      <c r="A25" s="24">
        <v>21</v>
      </c>
      <c r="B25" s="22" t="s">
        <v>56</v>
      </c>
      <c r="C25" s="23" t="s">
        <v>57</v>
      </c>
      <c r="D25" s="24">
        <v>100</v>
      </c>
      <c r="E25" s="57">
        <v>114400</v>
      </c>
      <c r="F25" s="24">
        <v>11440000</v>
      </c>
      <c r="G25" s="21">
        <v>110</v>
      </c>
      <c r="H25" s="27">
        <v>159000</v>
      </c>
      <c r="I25" s="21">
        <v>17490000</v>
      </c>
    </row>
    <row x14ac:dyDescent="0.25" r="26" customHeight="1" ht="39.75">
      <c r="A26" s="24">
        <v>22</v>
      </c>
      <c r="B26" s="22" t="s">
        <v>58</v>
      </c>
      <c r="C26" s="23" t="s">
        <v>59</v>
      </c>
      <c r="D26" s="24">
        <v>545</v>
      </c>
      <c r="E26" s="57" t="s">
        <v>164</v>
      </c>
      <c r="F26" s="24">
        <v>43836000</v>
      </c>
      <c r="G26" s="21">
        <v>280</v>
      </c>
      <c r="H26" s="27">
        <v>118000</v>
      </c>
      <c r="I26" s="21">
        <v>33040000</v>
      </c>
    </row>
    <row x14ac:dyDescent="0.25" r="27" customHeight="1" ht="39.75">
      <c r="A27" s="24">
        <v>23</v>
      </c>
      <c r="B27" s="22" t="s">
        <v>61</v>
      </c>
      <c r="C27" s="23" t="s">
        <v>62</v>
      </c>
      <c r="D27" s="24">
        <v>1029</v>
      </c>
      <c r="E27" s="57" t="s">
        <v>165</v>
      </c>
      <c r="F27" s="24">
        <v>83480880</v>
      </c>
      <c r="G27" s="21">
        <v>450</v>
      </c>
      <c r="H27" s="27">
        <v>119000</v>
      </c>
      <c r="I27" s="21">
        <v>53550000</v>
      </c>
    </row>
    <row x14ac:dyDescent="0.25" r="28" customHeight="1" ht="39.75">
      <c r="A28" s="24">
        <v>24</v>
      </c>
      <c r="B28" s="22" t="s">
        <v>64</v>
      </c>
      <c r="C28" s="23" t="s">
        <v>65</v>
      </c>
      <c r="D28" s="24">
        <v>235</v>
      </c>
      <c r="E28" s="57" t="s">
        <v>166</v>
      </c>
      <c r="F28" s="24">
        <v>21575500</v>
      </c>
      <c r="G28" s="21">
        <v>130</v>
      </c>
      <c r="H28" s="27">
        <v>128000</v>
      </c>
      <c r="I28" s="21">
        <v>16640000</v>
      </c>
    </row>
    <row x14ac:dyDescent="0.25" r="29" customHeight="1" ht="39.75">
      <c r="A29" s="24">
        <v>25</v>
      </c>
      <c r="B29" s="22" t="s">
        <v>67</v>
      </c>
      <c r="C29" s="23" t="s">
        <v>68</v>
      </c>
      <c r="D29" s="24"/>
      <c r="E29" s="58"/>
      <c r="F29" s="24"/>
      <c r="G29" s="21"/>
      <c r="H29" s="29"/>
      <c r="I29" s="21"/>
    </row>
    <row x14ac:dyDescent="0.25" r="30" customHeight="1" ht="39.75">
      <c r="A30" s="24">
        <v>26</v>
      </c>
      <c r="B30" s="22" t="s">
        <v>69</v>
      </c>
      <c r="C30" s="23" t="s">
        <v>70</v>
      </c>
      <c r="D30" s="24"/>
      <c r="E30" s="58"/>
      <c r="F30" s="24"/>
      <c r="G30" s="21">
        <v>40</v>
      </c>
      <c r="H30" s="27">
        <v>140000</v>
      </c>
      <c r="I30" s="21">
        <v>5600000</v>
      </c>
    </row>
    <row x14ac:dyDescent="0.25" r="31" customHeight="1" ht="39.75">
      <c r="A31" s="24">
        <v>27</v>
      </c>
      <c r="B31" s="22" t="s">
        <v>72</v>
      </c>
      <c r="C31" s="23" t="s">
        <v>73</v>
      </c>
      <c r="D31" s="24">
        <v>520</v>
      </c>
      <c r="E31" s="57" t="s">
        <v>167</v>
      </c>
      <c r="F31" s="24">
        <v>50849700</v>
      </c>
      <c r="G31" s="21">
        <v>300</v>
      </c>
      <c r="H31" s="27">
        <v>134500</v>
      </c>
      <c r="I31" s="21">
        <v>40350000</v>
      </c>
    </row>
    <row x14ac:dyDescent="0.25" r="32" customHeight="1" ht="39.75">
      <c r="A32" s="24">
        <v>28</v>
      </c>
      <c r="B32" s="22" t="s">
        <v>74</v>
      </c>
      <c r="C32" s="23" t="s">
        <v>75</v>
      </c>
      <c r="D32" s="24">
        <v>2148</v>
      </c>
      <c r="E32" s="57" t="s">
        <v>168</v>
      </c>
      <c r="F32" s="24">
        <v>213504760</v>
      </c>
      <c r="G32" s="21">
        <v>1250</v>
      </c>
      <c r="H32" s="27">
        <v>139000</v>
      </c>
      <c r="I32" s="21">
        <v>173750000</v>
      </c>
    </row>
    <row x14ac:dyDescent="0.25" r="33" customHeight="1" ht="39.75">
      <c r="A33" s="24">
        <v>29</v>
      </c>
      <c r="B33" s="22" t="s">
        <v>76</v>
      </c>
      <c r="C33" s="23" t="s">
        <v>77</v>
      </c>
      <c r="D33" s="24">
        <v>399</v>
      </c>
      <c r="E33" s="57" t="s">
        <v>169</v>
      </c>
      <c r="F33" s="24">
        <v>46860900</v>
      </c>
      <c r="G33" s="21">
        <v>332</v>
      </c>
      <c r="H33" s="27">
        <v>168000</v>
      </c>
      <c r="I33" s="21">
        <v>55776000</v>
      </c>
    </row>
    <row x14ac:dyDescent="0.25" r="34" customHeight="1" ht="39.75">
      <c r="A34" s="24">
        <v>30</v>
      </c>
      <c r="B34" s="22" t="s">
        <v>78</v>
      </c>
      <c r="C34" s="23" t="s">
        <v>79</v>
      </c>
      <c r="D34" s="24">
        <v>1390</v>
      </c>
      <c r="E34" s="57" t="s">
        <v>170</v>
      </c>
      <c r="F34" s="24">
        <v>174923600</v>
      </c>
      <c r="G34" s="21">
        <v>580</v>
      </c>
      <c r="H34" s="27">
        <v>171000</v>
      </c>
      <c r="I34" s="21">
        <v>99180000</v>
      </c>
    </row>
    <row x14ac:dyDescent="0.25" r="35" customHeight="1" ht="39.75">
      <c r="A35" s="24">
        <v>31</v>
      </c>
      <c r="B35" s="22" t="s">
        <v>80</v>
      </c>
      <c r="C35" s="23" t="s">
        <v>81</v>
      </c>
      <c r="D35" s="24">
        <v>467</v>
      </c>
      <c r="E35" s="57" t="s">
        <v>171</v>
      </c>
      <c r="F35" s="24">
        <v>63915800</v>
      </c>
      <c r="G35" s="21">
        <v>200</v>
      </c>
      <c r="H35" s="27">
        <v>190500</v>
      </c>
      <c r="I35" s="21">
        <v>38100000</v>
      </c>
    </row>
    <row x14ac:dyDescent="0.25" r="36" customHeight="1" ht="39.75">
      <c r="A36" s="24">
        <v>32</v>
      </c>
      <c r="B36" s="22" t="s">
        <v>82</v>
      </c>
      <c r="C36" s="23" t="s">
        <v>83</v>
      </c>
      <c r="D36" s="24">
        <v>380</v>
      </c>
      <c r="E36" s="57" t="s">
        <v>172</v>
      </c>
      <c r="F36" s="24">
        <v>58523940</v>
      </c>
      <c r="G36" s="21">
        <v>120</v>
      </c>
      <c r="H36" s="29">
        <v>206000</v>
      </c>
      <c r="I36" s="21">
        <v>24720000</v>
      </c>
    </row>
    <row x14ac:dyDescent="0.25" r="37" customHeight="1" ht="39.75">
      <c r="A37" s="24">
        <v>33</v>
      </c>
      <c r="B37" s="22" t="s">
        <v>84</v>
      </c>
      <c r="C37" s="23" t="s">
        <v>85</v>
      </c>
      <c r="D37" s="24">
        <v>376</v>
      </c>
      <c r="E37" s="57" t="s">
        <v>172</v>
      </c>
      <c r="F37" s="24">
        <v>54227320</v>
      </c>
      <c r="G37" s="21">
        <v>200</v>
      </c>
      <c r="H37" s="27">
        <v>206000</v>
      </c>
      <c r="I37" s="21">
        <v>41200000</v>
      </c>
    </row>
    <row x14ac:dyDescent="0.25" r="38" customHeight="1" ht="39.75">
      <c r="A38" s="24">
        <v>34</v>
      </c>
      <c r="B38" s="22" t="s">
        <v>86</v>
      </c>
      <c r="C38" s="23" t="s">
        <v>87</v>
      </c>
      <c r="D38" s="24">
        <v>2149</v>
      </c>
      <c r="E38" s="57" t="s">
        <v>173</v>
      </c>
      <c r="F38" s="24">
        <v>342707760</v>
      </c>
      <c r="G38" s="21">
        <v>1159</v>
      </c>
      <c r="H38" s="27">
        <v>213500</v>
      </c>
      <c r="I38" s="21">
        <v>247446500</v>
      </c>
    </row>
    <row x14ac:dyDescent="0.25" r="39" customHeight="1" ht="39.75">
      <c r="A39" s="24">
        <v>35</v>
      </c>
      <c r="B39" s="22" t="s">
        <v>88</v>
      </c>
      <c r="C39" s="23" t="s">
        <v>89</v>
      </c>
      <c r="D39" s="24">
        <v>345</v>
      </c>
      <c r="E39" s="57" t="s">
        <v>174</v>
      </c>
      <c r="F39" s="24">
        <v>57148800</v>
      </c>
      <c r="G39" s="21">
        <v>230</v>
      </c>
      <c r="H39" s="27">
        <v>216500</v>
      </c>
      <c r="I39" s="21">
        <v>49795000</v>
      </c>
    </row>
    <row x14ac:dyDescent="0.25" r="40" customHeight="1" ht="39.75">
      <c r="A40" s="24">
        <v>36</v>
      </c>
      <c r="B40" s="22" t="s">
        <v>92</v>
      </c>
      <c r="C40" s="23" t="s">
        <v>93</v>
      </c>
      <c r="D40" s="24"/>
      <c r="E40" s="58"/>
      <c r="F40" s="24"/>
      <c r="G40" s="21"/>
      <c r="H40" s="29"/>
      <c r="I40" s="21"/>
    </row>
    <row x14ac:dyDescent="0.25" r="41" customHeight="1" ht="39.75">
      <c r="A41" s="24">
        <v>37</v>
      </c>
      <c r="B41" s="22" t="s">
        <v>94</v>
      </c>
      <c r="C41" s="23" t="s">
        <v>95</v>
      </c>
      <c r="D41" s="24">
        <v>10</v>
      </c>
      <c r="E41" s="57">
        <v>191200</v>
      </c>
      <c r="F41" s="24">
        <v>1912000</v>
      </c>
      <c r="G41" s="21">
        <v>70</v>
      </c>
      <c r="H41" s="27">
        <v>247000</v>
      </c>
      <c r="I41" s="21">
        <v>17290000</v>
      </c>
    </row>
    <row x14ac:dyDescent="0.25" r="42" customHeight="1" ht="39.75">
      <c r="A42" s="24">
        <v>38</v>
      </c>
      <c r="B42" s="22" t="s">
        <v>97</v>
      </c>
      <c r="C42" s="23" t="s">
        <v>98</v>
      </c>
      <c r="D42" s="24">
        <v>610</v>
      </c>
      <c r="E42" s="57" t="s">
        <v>176</v>
      </c>
      <c r="F42" s="24">
        <v>114427500</v>
      </c>
      <c r="G42" s="21">
        <v>310</v>
      </c>
      <c r="H42" s="29">
        <v>256000</v>
      </c>
      <c r="I42" s="21">
        <v>79360000</v>
      </c>
    </row>
    <row x14ac:dyDescent="0.25" r="43" customHeight="1" ht="39.75">
      <c r="A43" s="24">
        <v>39</v>
      </c>
      <c r="B43" s="22" t="s">
        <v>99</v>
      </c>
      <c r="C43" s="23" t="s">
        <v>100</v>
      </c>
      <c r="D43" s="24">
        <v>50</v>
      </c>
      <c r="E43" s="57">
        <v>198800</v>
      </c>
      <c r="F43" s="24">
        <v>9940000</v>
      </c>
      <c r="G43" s="21">
        <v>20</v>
      </c>
      <c r="H43" s="27">
        <v>257500</v>
      </c>
      <c r="I43" s="21">
        <v>5150000</v>
      </c>
    </row>
    <row x14ac:dyDescent="0.25" r="44" customHeight="1" ht="39.75">
      <c r="A44" s="24">
        <v>40</v>
      </c>
      <c r="B44" s="22" t="s">
        <v>101</v>
      </c>
      <c r="C44" s="23" t="s">
        <v>102</v>
      </c>
      <c r="D44" s="24">
        <v>10</v>
      </c>
      <c r="E44" s="57">
        <v>194500</v>
      </c>
      <c r="F44" s="24">
        <v>1906100</v>
      </c>
      <c r="G44" s="21"/>
      <c r="H44" s="29"/>
      <c r="I44" s="21"/>
    </row>
    <row x14ac:dyDescent="0.25" r="45" customHeight="1" ht="39.75">
      <c r="A45" s="24">
        <v>41</v>
      </c>
      <c r="B45" s="22" t="s">
        <v>104</v>
      </c>
      <c r="C45" s="23" t="s">
        <v>105</v>
      </c>
      <c r="D45" s="24"/>
      <c r="E45" s="58"/>
      <c r="F45" s="24"/>
      <c r="G45" s="21"/>
      <c r="H45" s="29"/>
      <c r="I45" s="21"/>
    </row>
    <row x14ac:dyDescent="0.25" r="46" customHeight="1" ht="39.75">
      <c r="A46" s="24">
        <v>42</v>
      </c>
      <c r="B46" s="22" t="s">
        <v>107</v>
      </c>
      <c r="C46" s="23" t="s">
        <v>108</v>
      </c>
      <c r="D46" s="24">
        <v>300</v>
      </c>
      <c r="E46" s="57" t="s">
        <v>179</v>
      </c>
      <c r="F46" s="24">
        <v>60730500</v>
      </c>
      <c r="G46" s="21">
        <v>120</v>
      </c>
      <c r="H46" s="27">
        <v>274500</v>
      </c>
      <c r="I46" s="21">
        <v>32940000</v>
      </c>
    </row>
    <row x14ac:dyDescent="0.25" r="47" customHeight="1" ht="39.75">
      <c r="A47" s="24">
        <v>43</v>
      </c>
      <c r="B47" s="22" t="s">
        <v>109</v>
      </c>
      <c r="C47" s="23" t="s">
        <v>110</v>
      </c>
      <c r="D47" s="24"/>
      <c r="E47" s="58"/>
      <c r="F47" s="24"/>
      <c r="G47" s="21">
        <v>20</v>
      </c>
      <c r="H47" s="27">
        <v>282000</v>
      </c>
      <c r="I47" s="21">
        <v>5640000</v>
      </c>
    </row>
    <row x14ac:dyDescent="0.25" r="48" customHeight="1" ht="39.75">
      <c r="A48" s="24">
        <v>44</v>
      </c>
      <c r="B48" s="22" t="s">
        <v>112</v>
      </c>
      <c r="C48" s="23" t="s">
        <v>113</v>
      </c>
      <c r="D48" s="24">
        <v>565</v>
      </c>
      <c r="E48" s="57" t="s">
        <v>181</v>
      </c>
      <c r="F48" s="24">
        <v>49368400</v>
      </c>
      <c r="G48" s="21">
        <v>330</v>
      </c>
      <c r="H48" s="27">
        <v>122000</v>
      </c>
      <c r="I48" s="21">
        <v>40260000</v>
      </c>
    </row>
    <row x14ac:dyDescent="0.25" r="49" customHeight="1" ht="39.75">
      <c r="A49" s="24">
        <v>45</v>
      </c>
      <c r="B49" s="22" t="s">
        <v>114</v>
      </c>
      <c r="C49" s="23" t="s">
        <v>115</v>
      </c>
      <c r="D49" s="24">
        <v>7</v>
      </c>
      <c r="E49" s="57">
        <v>239000</v>
      </c>
      <c r="F49" s="24">
        <v>1673000</v>
      </c>
      <c r="G49" s="21">
        <v>50</v>
      </c>
      <c r="H49" s="27">
        <v>363500</v>
      </c>
      <c r="I49" s="21">
        <v>17255000</v>
      </c>
    </row>
    <row x14ac:dyDescent="0.25" r="50" customHeight="1" ht="39.75">
      <c r="A50" s="24">
        <v>46</v>
      </c>
      <c r="B50" s="22" t="s">
        <v>116</v>
      </c>
      <c r="C50" s="23" t="s">
        <v>117</v>
      </c>
      <c r="D50" s="24"/>
      <c r="E50" s="58"/>
      <c r="F50" s="24"/>
      <c r="G50" s="21"/>
      <c r="H50" s="29"/>
      <c r="I50" s="21"/>
    </row>
    <row x14ac:dyDescent="0.25" r="51" customHeight="1" ht="39.75">
      <c r="A51" s="24">
        <v>47</v>
      </c>
      <c r="B51" s="22" t="s">
        <v>118</v>
      </c>
      <c r="C51" s="23" t="s">
        <v>119</v>
      </c>
      <c r="D51" s="24">
        <v>160</v>
      </c>
      <c r="E51" s="57" t="s">
        <v>183</v>
      </c>
      <c r="F51" s="24">
        <v>41916000</v>
      </c>
      <c r="G51" s="21">
        <v>50</v>
      </c>
      <c r="H51" s="27">
        <v>363500</v>
      </c>
      <c r="I51" s="21">
        <v>18175000</v>
      </c>
    </row>
    <row x14ac:dyDescent="0.25" r="52" customHeight="1" ht="39.75">
      <c r="A52" s="24">
        <v>48</v>
      </c>
      <c r="B52" s="22" t="s">
        <v>121</v>
      </c>
      <c r="C52" s="23" t="s">
        <v>122</v>
      </c>
      <c r="D52" s="24">
        <v>20</v>
      </c>
      <c r="E52" s="57">
        <v>175000</v>
      </c>
      <c r="F52" s="24">
        <v>3500000</v>
      </c>
      <c r="G52" s="21">
        <v>20</v>
      </c>
      <c r="H52" s="27">
        <v>222000</v>
      </c>
      <c r="I52" s="21">
        <v>4440000</v>
      </c>
    </row>
    <row x14ac:dyDescent="0.25" r="53" customHeight="1" ht="39.75">
      <c r="A53" s="24">
        <v>49</v>
      </c>
      <c r="B53" s="22" t="s">
        <v>124</v>
      </c>
      <c r="C53" s="23" t="s">
        <v>125</v>
      </c>
      <c r="D53" s="24"/>
      <c r="E53" s="58"/>
      <c r="F53" s="24"/>
      <c r="G53" s="21">
        <v>30</v>
      </c>
      <c r="H53" s="27">
        <v>234500</v>
      </c>
      <c r="I53" s="21">
        <v>7035000</v>
      </c>
    </row>
    <row x14ac:dyDescent="0.25" r="54" customHeight="1" ht="39.75">
      <c r="A54" s="24">
        <v>50</v>
      </c>
      <c r="B54" s="22" t="s">
        <v>126</v>
      </c>
      <c r="C54" s="23" t="s">
        <v>127</v>
      </c>
      <c r="D54" s="24">
        <v>10</v>
      </c>
      <c r="E54" s="57">
        <v>240500</v>
      </c>
      <c r="F54" s="24">
        <v>2405000</v>
      </c>
      <c r="G54" s="21"/>
      <c r="H54" s="29"/>
      <c r="I54" s="21"/>
    </row>
    <row x14ac:dyDescent="0.25" r="55" customHeight="1" ht="39.75">
      <c r="A55" s="24">
        <v>51</v>
      </c>
      <c r="B55" s="22" t="s">
        <v>128</v>
      </c>
      <c r="C55" s="23" t="s">
        <v>129</v>
      </c>
      <c r="D55" s="24">
        <v>20</v>
      </c>
      <c r="E55" s="57">
        <v>261500</v>
      </c>
      <c r="F55" s="24">
        <v>5230000</v>
      </c>
      <c r="G55" s="21">
        <v>60</v>
      </c>
      <c r="H55" s="27">
        <v>339000</v>
      </c>
      <c r="I55" s="21">
        <v>20340000</v>
      </c>
    </row>
    <row x14ac:dyDescent="0.25" r="56" customHeight="1" ht="39.75">
      <c r="A56" s="24">
        <v>52</v>
      </c>
      <c r="B56" s="22" t="s">
        <v>131</v>
      </c>
      <c r="C56" s="23" t="s">
        <v>132</v>
      </c>
      <c r="D56" s="24"/>
      <c r="E56" s="58"/>
      <c r="F56" s="24"/>
      <c r="G56" s="21"/>
      <c r="H56" s="29"/>
      <c r="I56" s="21"/>
    </row>
    <row x14ac:dyDescent="0.25" r="57" customHeight="1" ht="39.75">
      <c r="A57" s="24">
        <v>53</v>
      </c>
      <c r="B57" s="22" t="s">
        <v>134</v>
      </c>
      <c r="C57" s="23" t="s">
        <v>135</v>
      </c>
      <c r="D57" s="24">
        <v>10</v>
      </c>
      <c r="E57" s="57">
        <v>189000</v>
      </c>
      <c r="F57" s="24">
        <v>1890000</v>
      </c>
      <c r="G57" s="21"/>
      <c r="H57" s="29"/>
      <c r="I57" s="21"/>
    </row>
    <row x14ac:dyDescent="0.25" r="58" customHeight="1" ht="39.75">
      <c r="A58" s="24">
        <v>54</v>
      </c>
      <c r="B58" s="22" t="s">
        <v>137</v>
      </c>
      <c r="C58" s="23" t="s">
        <v>138</v>
      </c>
      <c r="D58" s="24"/>
      <c r="E58" s="58"/>
      <c r="F58" s="24"/>
      <c r="G58" s="21">
        <v>30</v>
      </c>
      <c r="H58" s="27">
        <v>271500</v>
      </c>
      <c r="I58" s="21">
        <v>8145000</v>
      </c>
    </row>
    <row x14ac:dyDescent="0.25" r="59" customHeight="1" ht="39.75">
      <c r="A59" s="24">
        <v>55</v>
      </c>
      <c r="B59" s="22" t="s">
        <v>139</v>
      </c>
      <c r="C59" s="23" t="s">
        <v>140</v>
      </c>
      <c r="D59" s="24">
        <v>1865</v>
      </c>
      <c r="E59" s="57" t="s">
        <v>188</v>
      </c>
      <c r="F59" s="24">
        <v>75687600</v>
      </c>
      <c r="G59" s="21">
        <v>1850</v>
      </c>
      <c r="H59" s="27">
        <v>55500</v>
      </c>
      <c r="I59" s="21">
        <v>102675000</v>
      </c>
    </row>
    <row x14ac:dyDescent="0.25" r="60" customHeight="1" ht="39.75">
      <c r="A60" s="24">
        <v>56</v>
      </c>
      <c r="B60" s="22" t="s">
        <v>141</v>
      </c>
      <c r="C60" s="23" t="s">
        <v>142</v>
      </c>
      <c r="D60" s="24"/>
      <c r="E60" s="58"/>
      <c r="F60" s="24"/>
      <c r="G60" s="21">
        <v>70</v>
      </c>
      <c r="H60" s="27">
        <v>139500</v>
      </c>
      <c r="I60" s="21">
        <v>9765000</v>
      </c>
    </row>
    <row x14ac:dyDescent="0.25" r="61" customHeight="1" ht="39.75">
      <c r="A61" s="24">
        <v>57</v>
      </c>
      <c r="B61" s="22" t="s">
        <v>144</v>
      </c>
      <c r="C61" s="23" t="s">
        <v>145</v>
      </c>
      <c r="D61" s="24"/>
      <c r="E61" s="58"/>
      <c r="F61" s="24"/>
      <c r="G61" s="21">
        <v>80</v>
      </c>
      <c r="H61" s="27">
        <v>165000</v>
      </c>
      <c r="I61" s="21">
        <v>13200000</v>
      </c>
    </row>
    <row x14ac:dyDescent="0.25" r="62" customHeight="1" ht="39.75">
      <c r="A62" s="9" t="s">
        <v>194</v>
      </c>
      <c r="B62" s="69"/>
      <c r="C62" s="70"/>
      <c r="D62" s="21">
        <f>SUM(D7:D61)</f>
      </c>
      <c r="E62" s="58"/>
      <c r="F62" s="36">
        <f>SUM(F7:F61)</f>
      </c>
      <c r="G62" s="21">
        <f>SUM(G7:G61)</f>
      </c>
      <c r="H62" s="29"/>
      <c r="I62" s="36">
        <f>SUM(I7:I61)</f>
      </c>
    </row>
    <row x14ac:dyDescent="0.25" r="63" customHeight="1" ht="18.75">
      <c r="A63" s="38"/>
      <c r="B63" s="39"/>
      <c r="C63" s="5"/>
      <c r="D63" s="38"/>
      <c r="E63" s="71"/>
      <c r="F63" s="38"/>
      <c r="G63" s="38"/>
      <c r="H63" s="71"/>
      <c r="I63" s="38"/>
    </row>
    <row x14ac:dyDescent="0.25" r="64" customHeight="1" ht="39.75">
      <c r="A64" s="38"/>
      <c r="B64" s="39"/>
      <c r="C64" s="5"/>
      <c r="D64" s="38"/>
      <c r="E64" s="71"/>
      <c r="F64" s="38"/>
      <c r="G64" s="38"/>
      <c r="H64" s="40"/>
      <c r="I64" s="38"/>
    </row>
    <row x14ac:dyDescent="0.25" r="65" customHeight="1" ht="39.75">
      <c r="A65" s="38"/>
      <c r="B65" s="39"/>
      <c r="C65" s="5"/>
      <c r="D65" s="38"/>
      <c r="E65" s="71"/>
      <c r="F65" s="38"/>
      <c r="G65" s="38"/>
      <c r="H65" s="40"/>
      <c r="I65" s="38"/>
    </row>
    <row x14ac:dyDescent="0.25" r="66" customHeight="1" ht="39.75">
      <c r="A66" s="42"/>
      <c r="B66" s="44"/>
      <c r="C66" s="72"/>
      <c r="D66" s="38"/>
      <c r="E66" s="40"/>
      <c r="F66" s="38"/>
      <c r="G66" s="42"/>
      <c r="H66" s="40"/>
      <c r="I66" s="42"/>
    </row>
  </sheetData>
  <mergeCells count="8">
    <mergeCell ref="A1:I1"/>
    <mergeCell ref="G2:I2"/>
    <mergeCell ref="A3:A4"/>
    <mergeCell ref="B3:B4"/>
    <mergeCell ref="C3:C4"/>
    <mergeCell ref="D3:F3"/>
    <mergeCell ref="G3:I3"/>
    <mergeCell ref="A62:C6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38"/>
  <sheetViews>
    <sheetView workbookViewId="0"/>
  </sheetViews>
  <sheetFormatPr defaultRowHeight="15" x14ac:dyDescent="0.25"/>
  <cols>
    <col min="1" max="1" style="45" width="7.147857142857143" customWidth="1" bestFit="1"/>
    <col min="2" max="2" style="46" width="9.719285714285713" customWidth="1" bestFit="1"/>
    <col min="3" max="3" style="47" width="40.71928571428572" customWidth="1" bestFit="1"/>
    <col min="4" max="4" style="45" width="10.147857142857141" customWidth="1" bestFit="1"/>
    <col min="5" max="5" style="45" width="11.719285714285713" customWidth="1" bestFit="1"/>
    <col min="6" max="6" style="45" width="16.719285714285714" customWidth="1" bestFit="1"/>
    <col min="7" max="7" style="45" width="8.862142857142858" customWidth="1" bestFit="1"/>
    <col min="8" max="8" style="45" width="8.862142857142858" customWidth="1" bestFit="1"/>
    <col min="9" max="9" style="45" width="18.290714285714284" customWidth="1" bestFit="1"/>
    <col min="10" max="10" style="45" width="8.719285714285713" customWidth="1" bestFit="1"/>
    <col min="11" max="11" style="45" width="10.719285714285713" customWidth="1" bestFit="1"/>
    <col min="12" max="12" style="45" width="16.576428571428572" customWidth="1" bestFit="1"/>
    <col min="13" max="13" style="45" width="9.005" customWidth="1" bestFit="1"/>
    <col min="14" max="14" style="45" width="11.005" customWidth="1" bestFit="1"/>
    <col min="15" max="15" style="45" width="16.005" customWidth="1" bestFit="1"/>
  </cols>
  <sheetData>
    <row x14ac:dyDescent="0.25" r="1" customHeight="1" ht="39">
      <c r="A1" s="1" t="s">
        <v>147</v>
      </c>
      <c r="B1" s="2"/>
      <c r="C1" s="3"/>
      <c r="D1" s="1"/>
      <c r="E1" s="1"/>
      <c r="F1" s="1"/>
      <c r="G1" s="4"/>
      <c r="H1" s="4"/>
      <c r="I1" s="4"/>
      <c r="J1" s="4"/>
      <c r="K1" s="4"/>
      <c r="L1" s="4"/>
      <c r="M1" s="4"/>
      <c r="N1" s="4"/>
      <c r="O1" s="4"/>
    </row>
    <row x14ac:dyDescent="0.25" r="2" customHeight="1" ht="39">
      <c r="A2" s="48"/>
      <c r="B2" s="21"/>
      <c r="C2" s="49"/>
      <c r="D2" s="21" t="s">
        <v>4</v>
      </c>
      <c r="E2" s="21"/>
      <c r="F2" s="21"/>
      <c r="G2" s="9" t="s">
        <v>5</v>
      </c>
      <c r="H2" s="9"/>
      <c r="I2" s="9"/>
      <c r="J2" s="9" t="s">
        <v>6</v>
      </c>
      <c r="K2" s="9"/>
      <c r="L2" s="9"/>
      <c r="M2" s="9" t="s">
        <v>7</v>
      </c>
      <c r="N2" s="9"/>
      <c r="O2" s="9"/>
    </row>
    <row x14ac:dyDescent="0.25" r="3" customHeight="1" ht="39">
      <c r="A3" s="50" t="s">
        <v>1</v>
      </c>
      <c r="B3" s="51" t="s">
        <v>2</v>
      </c>
      <c r="C3" s="52" t="s">
        <v>3</v>
      </c>
      <c r="D3" s="13" t="s">
        <v>148</v>
      </c>
      <c r="E3" s="14"/>
      <c r="F3" s="14"/>
      <c r="G3" s="13" t="s">
        <v>8</v>
      </c>
      <c r="H3" s="14"/>
      <c r="I3" s="15"/>
      <c r="J3" s="9" t="s">
        <v>148</v>
      </c>
      <c r="K3" s="15"/>
      <c r="L3" s="15"/>
      <c r="M3" s="13" t="s">
        <v>148</v>
      </c>
      <c r="N3" s="14"/>
      <c r="O3" s="15"/>
    </row>
    <row x14ac:dyDescent="0.25" r="4" customHeight="1" ht="39">
      <c r="A4" s="9"/>
      <c r="B4" s="13"/>
      <c r="C4" s="53"/>
      <c r="D4" s="13" t="s">
        <v>9</v>
      </c>
      <c r="E4" s="54" t="s">
        <v>10</v>
      </c>
      <c r="F4" s="13" t="s">
        <v>11</v>
      </c>
      <c r="G4" s="13" t="s">
        <v>9</v>
      </c>
      <c r="H4" s="19" t="s">
        <v>10</v>
      </c>
      <c r="I4" s="13" t="s">
        <v>11</v>
      </c>
      <c r="J4" s="13" t="s">
        <v>9</v>
      </c>
      <c r="K4" s="54" t="s">
        <v>10</v>
      </c>
      <c r="L4" s="13" t="s">
        <v>11</v>
      </c>
      <c r="M4" s="13" t="s">
        <v>9</v>
      </c>
      <c r="N4" s="55" t="s">
        <v>10</v>
      </c>
      <c r="O4" s="13" t="s">
        <v>11</v>
      </c>
    </row>
    <row x14ac:dyDescent="0.25" r="5" customHeight="1" ht="39">
      <c r="A5" s="21">
        <v>1</v>
      </c>
      <c r="B5" s="22" t="s">
        <v>12</v>
      </c>
      <c r="C5" s="23" t="s">
        <v>13</v>
      </c>
      <c r="D5" s="24">
        <v>510</v>
      </c>
      <c r="E5" s="56">
        <v>15000</v>
      </c>
      <c r="F5" s="24">
        <v>7575000</v>
      </c>
      <c r="G5" s="24">
        <v>3900</v>
      </c>
      <c r="H5" s="25">
        <v>20000</v>
      </c>
      <c r="I5" s="26">
        <v>78000000</v>
      </c>
      <c r="J5" s="24">
        <v>410</v>
      </c>
      <c r="K5" s="56">
        <v>15000</v>
      </c>
      <c r="L5" s="24">
        <v>6108000</v>
      </c>
      <c r="M5" s="24">
        <v>300</v>
      </c>
      <c r="N5" s="57">
        <v>15000</v>
      </c>
      <c r="O5" s="24">
        <v>4500000</v>
      </c>
    </row>
    <row x14ac:dyDescent="0.25" r="6" customHeight="1" ht="39">
      <c r="A6" s="21">
        <v>2</v>
      </c>
      <c r="B6" s="22" t="s">
        <v>14</v>
      </c>
      <c r="C6" s="23" t="s">
        <v>15</v>
      </c>
      <c r="D6" s="24">
        <v>450</v>
      </c>
      <c r="E6" s="56">
        <v>14000</v>
      </c>
      <c r="F6" s="24">
        <v>6258000</v>
      </c>
      <c r="G6" s="24">
        <f>504+2500</f>
      </c>
      <c r="H6" s="25" t="s">
        <v>16</v>
      </c>
      <c r="I6" s="26">
        <f>10056000+50000000</f>
      </c>
      <c r="J6" s="24">
        <v>290</v>
      </c>
      <c r="K6" s="56">
        <v>14000</v>
      </c>
      <c r="L6" s="24">
        <v>4037600</v>
      </c>
      <c r="M6" s="24">
        <v>500</v>
      </c>
      <c r="N6" s="57">
        <v>14000</v>
      </c>
      <c r="O6" s="24">
        <v>6958000</v>
      </c>
    </row>
    <row x14ac:dyDescent="0.25" r="7" customHeight="1" ht="39">
      <c r="A7" s="21">
        <v>3</v>
      </c>
      <c r="B7" s="22" t="s">
        <v>17</v>
      </c>
      <c r="C7" s="23" t="s">
        <v>18</v>
      </c>
      <c r="D7" s="24">
        <v>220</v>
      </c>
      <c r="E7" s="56" t="s">
        <v>149</v>
      </c>
      <c r="F7" s="24">
        <v>7958000</v>
      </c>
      <c r="G7" s="24">
        <v>700</v>
      </c>
      <c r="H7" s="25">
        <v>52500</v>
      </c>
      <c r="I7" s="26">
        <v>36750000</v>
      </c>
      <c r="J7" s="24">
        <v>270</v>
      </c>
      <c r="K7" s="56" t="s">
        <v>149</v>
      </c>
      <c r="L7" s="24">
        <v>9835100</v>
      </c>
      <c r="M7" s="24">
        <v>270</v>
      </c>
      <c r="N7" s="57" t="s">
        <v>149</v>
      </c>
      <c r="O7" s="24">
        <v>9746500</v>
      </c>
    </row>
    <row x14ac:dyDescent="0.25" r="8" customHeight="1" ht="39">
      <c r="A8" s="21">
        <v>4</v>
      </c>
      <c r="B8" s="22" t="s">
        <v>19</v>
      </c>
      <c r="C8" s="23" t="s">
        <v>20</v>
      </c>
      <c r="D8" s="24">
        <v>2885</v>
      </c>
      <c r="E8" s="56" t="s">
        <v>150</v>
      </c>
      <c r="F8" s="24">
        <v>110094980</v>
      </c>
      <c r="G8" s="24">
        <v>7657</v>
      </c>
      <c r="H8" s="25">
        <v>53000</v>
      </c>
      <c r="I8" s="26">
        <v>405821000</v>
      </c>
      <c r="J8" s="24">
        <v>3158</v>
      </c>
      <c r="K8" s="56" t="s">
        <v>150</v>
      </c>
      <c r="L8" s="24">
        <v>119848180</v>
      </c>
      <c r="M8" s="24">
        <v>2750</v>
      </c>
      <c r="N8" s="57" t="s">
        <v>150</v>
      </c>
      <c r="O8" s="24">
        <v>104291900</v>
      </c>
    </row>
    <row x14ac:dyDescent="0.25" r="9" customHeight="1" ht="39">
      <c r="A9" s="21">
        <v>5</v>
      </c>
      <c r="B9" s="22" t="s">
        <v>21</v>
      </c>
      <c r="C9" s="23" t="s">
        <v>22</v>
      </c>
      <c r="D9" s="24">
        <v>1745</v>
      </c>
      <c r="E9" s="56" t="s">
        <v>151</v>
      </c>
      <c r="F9" s="24">
        <v>75502250</v>
      </c>
      <c r="G9" s="24">
        <v>5302</v>
      </c>
      <c r="H9" s="25">
        <v>62500</v>
      </c>
      <c r="I9" s="26">
        <v>331375000</v>
      </c>
      <c r="J9" s="24">
        <v>1003</v>
      </c>
      <c r="K9" s="56" t="s">
        <v>151</v>
      </c>
      <c r="L9" s="24">
        <v>43962450</v>
      </c>
      <c r="M9" s="24">
        <v>2035</v>
      </c>
      <c r="N9" s="57" t="s">
        <v>151</v>
      </c>
      <c r="O9" s="24">
        <v>89347950</v>
      </c>
    </row>
    <row x14ac:dyDescent="0.25" r="10" customHeight="1" ht="39">
      <c r="A10" s="21">
        <v>6</v>
      </c>
      <c r="B10" s="22" t="s">
        <v>23</v>
      </c>
      <c r="C10" s="23" t="s">
        <v>24</v>
      </c>
      <c r="D10" s="24">
        <v>75</v>
      </c>
      <c r="E10" s="56" t="s">
        <v>152</v>
      </c>
      <c r="F10" s="24">
        <v>4680000</v>
      </c>
      <c r="G10" s="24">
        <v>410</v>
      </c>
      <c r="H10" s="25">
        <v>90500</v>
      </c>
      <c r="I10" s="26">
        <v>37105000</v>
      </c>
      <c r="J10" s="24">
        <v>80</v>
      </c>
      <c r="K10" s="56" t="s">
        <v>152</v>
      </c>
      <c r="L10" s="24">
        <v>4946240</v>
      </c>
      <c r="M10" s="24">
        <v>60</v>
      </c>
      <c r="N10" s="57">
        <v>62400</v>
      </c>
      <c r="O10" s="24">
        <v>3744000</v>
      </c>
    </row>
    <row x14ac:dyDescent="0.25" r="11" customHeight="1" ht="39">
      <c r="A11" s="21">
        <v>7</v>
      </c>
      <c r="B11" s="22" t="s">
        <v>25</v>
      </c>
      <c r="C11" s="23" t="s">
        <v>26</v>
      </c>
      <c r="D11" s="24">
        <v>20</v>
      </c>
      <c r="E11" s="56" t="s">
        <v>153</v>
      </c>
      <c r="F11" s="24">
        <v>958000</v>
      </c>
      <c r="G11" s="24">
        <v>500</v>
      </c>
      <c r="H11" s="25">
        <v>64000</v>
      </c>
      <c r="I11" s="26">
        <v>32000000</v>
      </c>
      <c r="J11" s="24">
        <v>41</v>
      </c>
      <c r="K11" s="56" t="s">
        <v>153</v>
      </c>
      <c r="L11" s="24">
        <v>1958630</v>
      </c>
      <c r="M11" s="24">
        <v>20</v>
      </c>
      <c r="N11" s="57">
        <v>47900</v>
      </c>
      <c r="O11" s="24">
        <v>958000</v>
      </c>
    </row>
    <row x14ac:dyDescent="0.25" r="12" customHeight="1" ht="39">
      <c r="A12" s="21">
        <v>8</v>
      </c>
      <c r="B12" s="22" t="s">
        <v>27</v>
      </c>
      <c r="C12" s="23" t="s">
        <v>28</v>
      </c>
      <c r="D12" s="24">
        <v>610</v>
      </c>
      <c r="E12" s="56" t="s">
        <v>154</v>
      </c>
      <c r="F12" s="24">
        <v>28327200</v>
      </c>
      <c r="G12" s="24">
        <v>1850</v>
      </c>
      <c r="H12" s="25">
        <v>64500</v>
      </c>
      <c r="I12" s="26">
        <v>119325000</v>
      </c>
      <c r="J12" s="24">
        <v>713</v>
      </c>
      <c r="K12" s="56" t="s">
        <v>154</v>
      </c>
      <c r="L12" s="24">
        <v>33094160</v>
      </c>
      <c r="M12" s="24">
        <v>540</v>
      </c>
      <c r="N12" s="57">
        <v>48400</v>
      </c>
      <c r="O12" s="24">
        <v>24675200</v>
      </c>
    </row>
    <row x14ac:dyDescent="0.25" r="13" customHeight="1" ht="39">
      <c r="A13" s="21">
        <v>9</v>
      </c>
      <c r="B13" s="22" t="s">
        <v>29</v>
      </c>
      <c r="C13" s="23" t="s">
        <v>30</v>
      </c>
      <c r="D13" s="24">
        <v>20</v>
      </c>
      <c r="E13" s="56">
        <v>49000</v>
      </c>
      <c r="F13" s="24">
        <v>960400</v>
      </c>
      <c r="G13" s="24">
        <v>252</v>
      </c>
      <c r="H13" s="25" t="s">
        <v>31</v>
      </c>
      <c r="I13" s="26">
        <v>17221000</v>
      </c>
      <c r="J13" s="24">
        <v>50</v>
      </c>
      <c r="K13" s="56">
        <v>49000</v>
      </c>
      <c r="L13" s="24">
        <v>2401000</v>
      </c>
      <c r="M13" s="24">
        <v>100</v>
      </c>
      <c r="N13" s="57">
        <v>49000</v>
      </c>
      <c r="O13" s="24">
        <v>4802000</v>
      </c>
    </row>
    <row x14ac:dyDescent="0.25" r="14" customHeight="1" ht="39">
      <c r="A14" s="21">
        <v>10</v>
      </c>
      <c r="B14" s="22" t="s">
        <v>32</v>
      </c>
      <c r="C14" s="23" t="s">
        <v>33</v>
      </c>
      <c r="D14" s="24">
        <v>150</v>
      </c>
      <c r="E14" s="56">
        <v>56700</v>
      </c>
      <c r="F14" s="24">
        <v>8505000</v>
      </c>
      <c r="G14" s="24">
        <v>400</v>
      </c>
      <c r="H14" s="25">
        <v>72500</v>
      </c>
      <c r="I14" s="26">
        <v>29000000</v>
      </c>
      <c r="J14" s="24">
        <v>100</v>
      </c>
      <c r="K14" s="56">
        <v>56700</v>
      </c>
      <c r="L14" s="24">
        <v>5670000</v>
      </c>
      <c r="M14" s="24">
        <v>165</v>
      </c>
      <c r="N14" s="57">
        <v>56700</v>
      </c>
      <c r="O14" s="24">
        <v>9355500</v>
      </c>
    </row>
    <row x14ac:dyDescent="0.25" r="15" customHeight="1" ht="39">
      <c r="A15" s="21">
        <v>11</v>
      </c>
      <c r="B15" s="22" t="s">
        <v>34</v>
      </c>
      <c r="C15" s="23" t="s">
        <v>35</v>
      </c>
      <c r="D15" s="24">
        <v>140</v>
      </c>
      <c r="E15" s="56" t="s">
        <v>155</v>
      </c>
      <c r="F15" s="24">
        <v>8400000</v>
      </c>
      <c r="G15" s="24">
        <f>100+803</f>
      </c>
      <c r="H15" s="25" t="s">
        <v>36</v>
      </c>
      <c r="I15" s="26">
        <f>7573500+61429500</f>
      </c>
      <c r="J15" s="24">
        <v>156</v>
      </c>
      <c r="K15" s="56" t="s">
        <v>155</v>
      </c>
      <c r="L15" s="24">
        <v>9188660</v>
      </c>
      <c r="M15" s="24">
        <v>155</v>
      </c>
      <c r="N15" s="57" t="s">
        <v>155</v>
      </c>
      <c r="O15" s="24">
        <v>8641000</v>
      </c>
    </row>
    <row x14ac:dyDescent="0.25" r="16" customHeight="1" ht="39">
      <c r="A16" s="21">
        <v>12</v>
      </c>
      <c r="B16" s="22" t="s">
        <v>37</v>
      </c>
      <c r="C16" s="23" t="s">
        <v>38</v>
      </c>
      <c r="D16" s="24">
        <v>265</v>
      </c>
      <c r="E16" s="56" t="s">
        <v>156</v>
      </c>
      <c r="F16" s="24">
        <v>14799750</v>
      </c>
      <c r="G16" s="24">
        <v>850</v>
      </c>
      <c r="H16" s="25">
        <v>79000</v>
      </c>
      <c r="I16" s="26">
        <v>67150000</v>
      </c>
      <c r="J16" s="24">
        <v>146</v>
      </c>
      <c r="K16" s="56" t="s">
        <v>156</v>
      </c>
      <c r="L16" s="24">
        <v>8172380</v>
      </c>
      <c r="M16" s="24">
        <v>180</v>
      </c>
      <c r="N16" s="57" t="s">
        <v>156</v>
      </c>
      <c r="O16" s="24">
        <v>9760900</v>
      </c>
    </row>
    <row x14ac:dyDescent="0.25" r="17" customHeight="1" ht="39">
      <c r="A17" s="21">
        <v>13</v>
      </c>
      <c r="B17" s="22" t="s">
        <v>39</v>
      </c>
      <c r="C17" s="23" t="s">
        <v>40</v>
      </c>
      <c r="D17" s="24">
        <v>1585</v>
      </c>
      <c r="E17" s="56" t="s">
        <v>157</v>
      </c>
      <c r="F17" s="24">
        <v>87578280</v>
      </c>
      <c r="G17" s="24">
        <f>203+2550</f>
      </c>
      <c r="H17" s="25" t="s">
        <v>41</v>
      </c>
      <c r="I17" s="26">
        <f>16062000+202725000</f>
      </c>
      <c r="J17" s="24">
        <v>975</v>
      </c>
      <c r="K17" s="56" t="s">
        <v>157</v>
      </c>
      <c r="L17" s="24">
        <v>53238600</v>
      </c>
      <c r="M17" s="24">
        <v>600</v>
      </c>
      <c r="N17" s="57" t="s">
        <v>157</v>
      </c>
      <c r="O17" s="24">
        <v>33102000</v>
      </c>
    </row>
    <row x14ac:dyDescent="0.25" r="18" customHeight="1" ht="39">
      <c r="A18" s="21">
        <v>14</v>
      </c>
      <c r="B18" s="22" t="s">
        <v>42</v>
      </c>
      <c r="C18" s="23" t="s">
        <v>43</v>
      </c>
      <c r="D18" s="24">
        <v>220</v>
      </c>
      <c r="E18" s="56" t="s">
        <v>158</v>
      </c>
      <c r="F18" s="24">
        <v>15761000</v>
      </c>
      <c r="G18" s="24">
        <v>700</v>
      </c>
      <c r="H18" s="25">
        <v>100000</v>
      </c>
      <c r="I18" s="26">
        <v>70000000</v>
      </c>
      <c r="J18" s="24">
        <v>78</v>
      </c>
      <c r="K18" s="56" t="s">
        <v>158</v>
      </c>
      <c r="L18" s="24">
        <v>5848120</v>
      </c>
      <c r="M18" s="24">
        <v>65</v>
      </c>
      <c r="N18" s="57" t="s">
        <v>158</v>
      </c>
      <c r="O18" s="24">
        <v>4652900</v>
      </c>
    </row>
    <row x14ac:dyDescent="0.25" r="19" customHeight="1" ht="39">
      <c r="A19" s="21">
        <v>15</v>
      </c>
      <c r="B19" s="22" t="s">
        <v>44</v>
      </c>
      <c r="C19" s="23" t="s">
        <v>45</v>
      </c>
      <c r="D19" s="24">
        <v>1435</v>
      </c>
      <c r="E19" s="56" t="s">
        <v>159</v>
      </c>
      <c r="F19" s="24">
        <v>87759500</v>
      </c>
      <c r="G19" s="24">
        <v>3020</v>
      </c>
      <c r="H19" s="25">
        <v>84500</v>
      </c>
      <c r="I19" s="26">
        <v>255190000</v>
      </c>
      <c r="J19" s="24">
        <v>1476</v>
      </c>
      <c r="K19" s="56" t="s">
        <v>159</v>
      </c>
      <c r="L19" s="24">
        <v>90138060</v>
      </c>
      <c r="M19" s="24">
        <v>1375</v>
      </c>
      <c r="N19" s="57" t="s">
        <v>159</v>
      </c>
      <c r="O19" s="24">
        <v>83864650</v>
      </c>
    </row>
    <row x14ac:dyDescent="0.25" r="20" customHeight="1" ht="39">
      <c r="A20" s="21">
        <v>16</v>
      </c>
      <c r="B20" s="22" t="s">
        <v>46</v>
      </c>
      <c r="C20" s="23" t="s">
        <v>47</v>
      </c>
      <c r="D20" s="24">
        <v>1865</v>
      </c>
      <c r="E20" s="56" t="s">
        <v>160</v>
      </c>
      <c r="F20" s="24">
        <v>119917650</v>
      </c>
      <c r="G20" s="24">
        <v>3650</v>
      </c>
      <c r="H20" s="25">
        <v>90000</v>
      </c>
      <c r="I20" s="26">
        <v>328500000</v>
      </c>
      <c r="J20" s="24">
        <v>2074</v>
      </c>
      <c r="K20" s="56" t="s">
        <v>160</v>
      </c>
      <c r="L20" s="24">
        <v>133159200</v>
      </c>
      <c r="M20" s="24">
        <v>1850</v>
      </c>
      <c r="N20" s="57" t="s">
        <v>160</v>
      </c>
      <c r="O20" s="24">
        <v>120425900</v>
      </c>
    </row>
    <row x14ac:dyDescent="0.25" r="21" customHeight="1" ht="39">
      <c r="A21" s="21">
        <v>17</v>
      </c>
      <c r="B21" s="22" t="s">
        <v>48</v>
      </c>
      <c r="C21" s="23" t="s">
        <v>49</v>
      </c>
      <c r="D21" s="24">
        <v>20</v>
      </c>
      <c r="E21" s="56">
        <v>65500</v>
      </c>
      <c r="F21" s="24">
        <v>1283800</v>
      </c>
      <c r="G21" s="24">
        <v>150</v>
      </c>
      <c r="H21" s="25">
        <v>101000</v>
      </c>
      <c r="I21" s="26">
        <v>15150000</v>
      </c>
      <c r="J21" s="24">
        <v>6</v>
      </c>
      <c r="K21" s="56">
        <v>65500</v>
      </c>
      <c r="L21" s="24">
        <v>385140</v>
      </c>
      <c r="M21" s="24"/>
      <c r="N21" s="58"/>
      <c r="O21" s="24"/>
    </row>
    <row x14ac:dyDescent="0.25" r="22" customHeight="1" ht="39">
      <c r="A22" s="21">
        <v>18</v>
      </c>
      <c r="B22" s="22" t="s">
        <v>50</v>
      </c>
      <c r="C22" s="23" t="s">
        <v>51</v>
      </c>
      <c r="D22" s="24">
        <v>20</v>
      </c>
      <c r="E22" s="56">
        <v>66500</v>
      </c>
      <c r="F22" s="24">
        <v>1303400</v>
      </c>
      <c r="G22" s="24">
        <v>218</v>
      </c>
      <c r="H22" s="30">
        <v>102000</v>
      </c>
      <c r="I22" s="26">
        <v>22236000</v>
      </c>
      <c r="J22" s="24">
        <v>4</v>
      </c>
      <c r="K22" s="56">
        <v>66500</v>
      </c>
      <c r="L22" s="24">
        <v>260680</v>
      </c>
      <c r="M22" s="24"/>
      <c r="N22" s="58"/>
      <c r="O22" s="24"/>
    </row>
    <row x14ac:dyDescent="0.25" r="23" customHeight="1" ht="39">
      <c r="A23" s="21">
        <v>19</v>
      </c>
      <c r="B23" s="22" t="s">
        <v>52</v>
      </c>
      <c r="C23" s="23" t="s">
        <v>53</v>
      </c>
      <c r="D23" s="24">
        <v>310</v>
      </c>
      <c r="E23" s="56" t="s">
        <v>161</v>
      </c>
      <c r="F23" s="24">
        <v>30334600</v>
      </c>
      <c r="G23" s="24">
        <v>1150</v>
      </c>
      <c r="H23" s="25">
        <v>134000</v>
      </c>
      <c r="I23" s="26">
        <v>154100000</v>
      </c>
      <c r="J23" s="24">
        <v>240</v>
      </c>
      <c r="K23" s="56" t="s">
        <v>161</v>
      </c>
      <c r="L23" s="24">
        <v>23405050</v>
      </c>
      <c r="M23" s="24">
        <v>425</v>
      </c>
      <c r="N23" s="57" t="s">
        <v>161</v>
      </c>
      <c r="O23" s="24">
        <v>42016000</v>
      </c>
    </row>
    <row x14ac:dyDescent="0.25" r="24" customHeight="1" ht="39">
      <c r="A24" s="21">
        <v>20</v>
      </c>
      <c r="B24" s="22" t="s">
        <v>54</v>
      </c>
      <c r="C24" s="23" t="s">
        <v>55</v>
      </c>
      <c r="D24" s="24">
        <v>135</v>
      </c>
      <c r="E24" s="56" t="s">
        <v>162</v>
      </c>
      <c r="F24" s="24">
        <v>13810500</v>
      </c>
      <c r="G24" s="24">
        <v>500</v>
      </c>
      <c r="H24" s="25">
        <v>136000</v>
      </c>
      <c r="I24" s="26">
        <v>68000000</v>
      </c>
      <c r="J24" s="24">
        <v>116</v>
      </c>
      <c r="K24" s="56" t="s">
        <v>162</v>
      </c>
      <c r="L24" s="24">
        <v>11799840</v>
      </c>
      <c r="M24" s="24">
        <v>235</v>
      </c>
      <c r="N24" s="57">
        <v>102300</v>
      </c>
      <c r="O24" s="24">
        <v>24040500</v>
      </c>
    </row>
    <row x14ac:dyDescent="0.25" r="25" customHeight="1" ht="39">
      <c r="A25" s="21">
        <v>21</v>
      </c>
      <c r="B25" s="22" t="s">
        <v>56</v>
      </c>
      <c r="C25" s="23" t="s">
        <v>57</v>
      </c>
      <c r="D25" s="24">
        <v>130</v>
      </c>
      <c r="E25" s="56" t="s">
        <v>163</v>
      </c>
      <c r="F25" s="24">
        <v>14622400</v>
      </c>
      <c r="G25" s="24">
        <v>450</v>
      </c>
      <c r="H25" s="25">
        <v>159000</v>
      </c>
      <c r="I25" s="26">
        <v>71550000</v>
      </c>
      <c r="J25" s="24">
        <v>186</v>
      </c>
      <c r="K25" s="56" t="s">
        <v>163</v>
      </c>
      <c r="L25" s="24">
        <v>20704320</v>
      </c>
      <c r="M25" s="24">
        <v>100</v>
      </c>
      <c r="N25" s="57">
        <v>114400</v>
      </c>
      <c r="O25" s="24">
        <v>11440000</v>
      </c>
    </row>
    <row x14ac:dyDescent="0.25" r="26" customHeight="1" ht="39">
      <c r="A26" s="21">
        <v>22</v>
      </c>
      <c r="B26" s="22" t="s">
        <v>58</v>
      </c>
      <c r="C26" s="23" t="s">
        <v>59</v>
      </c>
      <c r="D26" s="24">
        <v>502</v>
      </c>
      <c r="E26" s="56" t="s">
        <v>164</v>
      </c>
      <c r="F26" s="24">
        <v>40276080</v>
      </c>
      <c r="G26" s="24">
        <f>456+1300</f>
      </c>
      <c r="H26" s="25" t="s">
        <v>60</v>
      </c>
      <c r="I26" s="26">
        <f>53568000+153400000</f>
      </c>
      <c r="J26" s="24">
        <v>561</v>
      </c>
      <c r="K26" s="56" t="s">
        <v>164</v>
      </c>
      <c r="L26" s="24">
        <v>44825040</v>
      </c>
      <c r="M26" s="24">
        <v>545</v>
      </c>
      <c r="N26" s="57" t="s">
        <v>164</v>
      </c>
      <c r="O26" s="24">
        <v>43836000</v>
      </c>
    </row>
    <row x14ac:dyDescent="0.25" r="27" customHeight="1" ht="39">
      <c r="A27" s="21">
        <v>23</v>
      </c>
      <c r="B27" s="22" t="s">
        <v>61</v>
      </c>
      <c r="C27" s="23" t="s">
        <v>62</v>
      </c>
      <c r="D27" s="24">
        <v>1676</v>
      </c>
      <c r="E27" s="56" t="s">
        <v>165</v>
      </c>
      <c r="F27" s="24">
        <v>135001520</v>
      </c>
      <c r="G27" s="24">
        <f>2412+1450</f>
      </c>
      <c r="H27" s="25" t="s">
        <v>63</v>
      </c>
      <c r="I27" s="26">
        <f>286548000+172550000</f>
      </c>
      <c r="J27" s="24">
        <v>1210</v>
      </c>
      <c r="K27" s="56" t="s">
        <v>165</v>
      </c>
      <c r="L27" s="24">
        <v>96395800</v>
      </c>
      <c r="M27" s="24">
        <v>1029</v>
      </c>
      <c r="N27" s="57" t="s">
        <v>165</v>
      </c>
      <c r="O27" s="24">
        <v>83480880</v>
      </c>
    </row>
    <row x14ac:dyDescent="0.25" r="28" customHeight="1" ht="39">
      <c r="A28" s="21">
        <v>24</v>
      </c>
      <c r="B28" s="22" t="s">
        <v>64</v>
      </c>
      <c r="C28" s="23" t="s">
        <v>65</v>
      </c>
      <c r="D28" s="24">
        <v>427</v>
      </c>
      <c r="E28" s="56" t="s">
        <v>166</v>
      </c>
      <c r="F28" s="24">
        <v>37918750</v>
      </c>
      <c r="G28" s="24">
        <f>516+799</f>
      </c>
      <c r="H28" s="25" t="s">
        <v>66</v>
      </c>
      <c r="I28" s="26">
        <f>65598000+102272000</f>
      </c>
      <c r="J28" s="24">
        <v>478</v>
      </c>
      <c r="K28" s="56" t="s">
        <v>166</v>
      </c>
      <c r="L28" s="24">
        <v>42819500</v>
      </c>
      <c r="M28" s="24">
        <v>235</v>
      </c>
      <c r="N28" s="57" t="s">
        <v>166</v>
      </c>
      <c r="O28" s="24">
        <v>21575500</v>
      </c>
    </row>
    <row x14ac:dyDescent="0.25" r="29" customHeight="1" ht="39">
      <c r="A29" s="21">
        <v>25</v>
      </c>
      <c r="B29" s="22" t="s">
        <v>67</v>
      </c>
      <c r="C29" s="23" t="s">
        <v>68</v>
      </c>
      <c r="D29" s="24"/>
      <c r="E29" s="56"/>
      <c r="F29" s="24"/>
      <c r="G29" s="24">
        <v>3</v>
      </c>
      <c r="H29" s="25">
        <v>87000</v>
      </c>
      <c r="I29" s="26">
        <v>261000</v>
      </c>
      <c r="J29" s="24">
        <v>0</v>
      </c>
      <c r="K29" s="56"/>
      <c r="L29" s="24">
        <v>0</v>
      </c>
      <c r="M29" s="24"/>
      <c r="N29" s="58"/>
      <c r="O29" s="24"/>
    </row>
    <row x14ac:dyDescent="0.25" r="30" customHeight="1" ht="39">
      <c r="A30" s="21">
        <v>26</v>
      </c>
      <c r="B30" s="22" t="s">
        <v>69</v>
      </c>
      <c r="C30" s="23" t="s">
        <v>70</v>
      </c>
      <c r="D30" s="24"/>
      <c r="E30" s="56"/>
      <c r="F30" s="24"/>
      <c r="G30" s="24">
        <v>271</v>
      </c>
      <c r="H30" s="25" t="s">
        <v>71</v>
      </c>
      <c r="I30" s="26">
        <v>37898000</v>
      </c>
      <c r="J30" s="24">
        <v>0</v>
      </c>
      <c r="K30" s="56">
        <v>98000</v>
      </c>
      <c r="L30" s="24">
        <v>0</v>
      </c>
      <c r="M30" s="24"/>
      <c r="N30" s="58"/>
      <c r="O30" s="24"/>
    </row>
    <row x14ac:dyDescent="0.25" r="31" customHeight="1" ht="39">
      <c r="A31" s="21">
        <v>27</v>
      </c>
      <c r="B31" s="22" t="s">
        <v>72</v>
      </c>
      <c r="C31" s="23" t="s">
        <v>73</v>
      </c>
      <c r="D31" s="24">
        <v>668</v>
      </c>
      <c r="E31" s="56" t="s">
        <v>167</v>
      </c>
      <c r="F31" s="24">
        <v>65472240</v>
      </c>
      <c r="G31" s="24">
        <v>1780</v>
      </c>
      <c r="H31" s="25">
        <v>134500</v>
      </c>
      <c r="I31" s="26">
        <v>239410000</v>
      </c>
      <c r="J31" s="24">
        <v>449</v>
      </c>
      <c r="K31" s="56" t="s">
        <v>167</v>
      </c>
      <c r="L31" s="24">
        <v>43320320</v>
      </c>
      <c r="M31" s="24">
        <v>520</v>
      </c>
      <c r="N31" s="57" t="s">
        <v>167</v>
      </c>
      <c r="O31" s="24">
        <v>50849700</v>
      </c>
    </row>
    <row x14ac:dyDescent="0.25" r="32" customHeight="1" ht="39">
      <c r="A32" s="21">
        <v>28</v>
      </c>
      <c r="B32" s="22" t="s">
        <v>74</v>
      </c>
      <c r="C32" s="23" t="s">
        <v>75</v>
      </c>
      <c r="D32" s="24">
        <v>2577</v>
      </c>
      <c r="E32" s="56" t="s">
        <v>168</v>
      </c>
      <c r="F32" s="24">
        <v>256473820</v>
      </c>
      <c r="G32" s="24">
        <v>5115</v>
      </c>
      <c r="H32" s="25">
        <v>139000</v>
      </c>
      <c r="I32" s="26">
        <v>710985000</v>
      </c>
      <c r="J32" s="24">
        <v>2264</v>
      </c>
      <c r="K32" s="56" t="s">
        <v>168</v>
      </c>
      <c r="L32" s="24">
        <v>225270860</v>
      </c>
      <c r="M32" s="24">
        <v>2148</v>
      </c>
      <c r="N32" s="57" t="s">
        <v>168</v>
      </c>
      <c r="O32" s="24">
        <v>213504760</v>
      </c>
    </row>
    <row x14ac:dyDescent="0.25" r="33" customHeight="1" ht="39">
      <c r="A33" s="21">
        <v>29</v>
      </c>
      <c r="B33" s="22" t="s">
        <v>76</v>
      </c>
      <c r="C33" s="23" t="s">
        <v>77</v>
      </c>
      <c r="D33" s="24">
        <v>464</v>
      </c>
      <c r="E33" s="56" t="s">
        <v>169</v>
      </c>
      <c r="F33" s="24">
        <v>54880640</v>
      </c>
      <c r="G33" s="24">
        <v>1290</v>
      </c>
      <c r="H33" s="25">
        <v>168000</v>
      </c>
      <c r="I33" s="26">
        <v>216720000</v>
      </c>
      <c r="J33" s="24">
        <v>406</v>
      </c>
      <c r="K33" s="56" t="s">
        <v>169</v>
      </c>
      <c r="L33" s="24">
        <v>47729110</v>
      </c>
      <c r="M33" s="24">
        <v>399</v>
      </c>
      <c r="N33" s="57" t="s">
        <v>169</v>
      </c>
      <c r="O33" s="24">
        <v>46860900</v>
      </c>
    </row>
    <row x14ac:dyDescent="0.25" r="34" customHeight="1" ht="39">
      <c r="A34" s="21">
        <v>30</v>
      </c>
      <c r="B34" s="22" t="s">
        <v>78</v>
      </c>
      <c r="C34" s="23" t="s">
        <v>79</v>
      </c>
      <c r="D34" s="24">
        <v>1458</v>
      </c>
      <c r="E34" s="56" t="s">
        <v>170</v>
      </c>
      <c r="F34" s="24">
        <v>182077680</v>
      </c>
      <c r="G34" s="24">
        <v>2967</v>
      </c>
      <c r="H34" s="25">
        <v>171000</v>
      </c>
      <c r="I34" s="26">
        <v>507357000</v>
      </c>
      <c r="J34" s="24">
        <v>1183</v>
      </c>
      <c r="K34" s="56" t="s">
        <v>170</v>
      </c>
      <c r="L34" s="24">
        <v>148003080</v>
      </c>
      <c r="M34" s="24">
        <v>1390</v>
      </c>
      <c r="N34" s="57" t="s">
        <v>170</v>
      </c>
      <c r="O34" s="24">
        <v>174923600</v>
      </c>
    </row>
    <row x14ac:dyDescent="0.25" r="35" customHeight="1" ht="39">
      <c r="A35" s="21">
        <v>31</v>
      </c>
      <c r="B35" s="22" t="s">
        <v>80</v>
      </c>
      <c r="C35" s="23" t="s">
        <v>81</v>
      </c>
      <c r="D35" s="24">
        <v>282</v>
      </c>
      <c r="E35" s="56" t="s">
        <v>171</v>
      </c>
      <c r="F35" s="24">
        <v>37817000</v>
      </c>
      <c r="G35" s="24">
        <v>870</v>
      </c>
      <c r="H35" s="25">
        <v>190500</v>
      </c>
      <c r="I35" s="26">
        <v>165735000</v>
      </c>
      <c r="J35" s="24">
        <v>356</v>
      </c>
      <c r="K35" s="56" t="s">
        <v>171</v>
      </c>
      <c r="L35" s="24">
        <v>47980400</v>
      </c>
      <c r="M35" s="24">
        <v>467</v>
      </c>
      <c r="N35" s="57" t="s">
        <v>171</v>
      </c>
      <c r="O35" s="24">
        <v>63915800</v>
      </c>
    </row>
    <row x14ac:dyDescent="0.25" r="36" customHeight="1" ht="39">
      <c r="A36" s="21">
        <v>32</v>
      </c>
      <c r="B36" s="22" t="s">
        <v>82</v>
      </c>
      <c r="C36" s="23" t="s">
        <v>83</v>
      </c>
      <c r="D36" s="24">
        <v>428</v>
      </c>
      <c r="E36" s="56" t="s">
        <v>172</v>
      </c>
      <c r="F36" s="24">
        <v>63738780</v>
      </c>
      <c r="G36" s="24">
        <v>900</v>
      </c>
      <c r="H36" s="25">
        <v>206000</v>
      </c>
      <c r="I36" s="26">
        <v>185400000</v>
      </c>
      <c r="J36" s="24">
        <v>373</v>
      </c>
      <c r="K36" s="56" t="s">
        <v>172</v>
      </c>
      <c r="L36" s="24">
        <v>55646030</v>
      </c>
      <c r="M36" s="24">
        <v>380</v>
      </c>
      <c r="N36" s="57" t="s">
        <v>172</v>
      </c>
      <c r="O36" s="24">
        <v>58523940</v>
      </c>
    </row>
    <row x14ac:dyDescent="0.25" r="37" customHeight="1" ht="39">
      <c r="A37" s="21">
        <v>33</v>
      </c>
      <c r="B37" s="22" t="s">
        <v>84</v>
      </c>
      <c r="C37" s="23" t="s">
        <v>85</v>
      </c>
      <c r="D37" s="24">
        <v>453</v>
      </c>
      <c r="E37" s="56" t="s">
        <v>172</v>
      </c>
      <c r="F37" s="24">
        <v>66684830</v>
      </c>
      <c r="G37" s="24">
        <v>1000</v>
      </c>
      <c r="H37" s="25">
        <v>206000</v>
      </c>
      <c r="I37" s="26">
        <v>206000000</v>
      </c>
      <c r="J37" s="24">
        <v>545</v>
      </c>
      <c r="K37" s="56" t="s">
        <v>172</v>
      </c>
      <c r="L37" s="24">
        <v>81306700</v>
      </c>
      <c r="M37" s="24">
        <v>376</v>
      </c>
      <c r="N37" s="57" t="s">
        <v>172</v>
      </c>
      <c r="O37" s="24">
        <v>54227320</v>
      </c>
    </row>
    <row x14ac:dyDescent="0.25" r="38" customHeight="1" ht="39">
      <c r="A38" s="21">
        <v>34</v>
      </c>
      <c r="B38" s="22" t="s">
        <v>86</v>
      </c>
      <c r="C38" s="23" t="s">
        <v>87</v>
      </c>
      <c r="D38" s="24">
        <v>2042</v>
      </c>
      <c r="E38" s="56" t="s">
        <v>173</v>
      </c>
      <c r="F38" s="24">
        <v>321829380</v>
      </c>
      <c r="G38" s="24">
        <v>3875</v>
      </c>
      <c r="H38" s="25">
        <v>213500</v>
      </c>
      <c r="I38" s="26">
        <v>827312500</v>
      </c>
      <c r="J38" s="24">
        <v>2569</v>
      </c>
      <c r="K38" s="56" t="s">
        <v>173</v>
      </c>
      <c r="L38" s="24">
        <v>400847760</v>
      </c>
      <c r="M38" s="24">
        <v>2149</v>
      </c>
      <c r="N38" s="57" t="s">
        <v>173</v>
      </c>
      <c r="O38" s="24">
        <v>342707760</v>
      </c>
    </row>
    <row x14ac:dyDescent="0.25" r="39" customHeight="1" ht="39">
      <c r="A39" s="21">
        <v>35</v>
      </c>
      <c r="B39" s="31" t="s">
        <v>88</v>
      </c>
      <c r="C39" s="32" t="s">
        <v>89</v>
      </c>
      <c r="D39" s="24">
        <v>175</v>
      </c>
      <c r="E39" s="56" t="s">
        <v>174</v>
      </c>
      <c r="F39" s="24">
        <v>29744000</v>
      </c>
      <c r="G39" s="24">
        <v>1050</v>
      </c>
      <c r="H39" s="25" t="s">
        <v>90</v>
      </c>
      <c r="I39" s="26">
        <v>228513000</v>
      </c>
      <c r="J39" s="24">
        <f>108+154</f>
      </c>
      <c r="K39" s="56" t="s">
        <v>174</v>
      </c>
      <c r="L39" s="24">
        <f>16934400+27104000</f>
      </c>
      <c r="M39" s="24">
        <v>345</v>
      </c>
      <c r="N39" s="57" t="s">
        <v>174</v>
      </c>
      <c r="O39" s="24">
        <v>57148800</v>
      </c>
    </row>
    <row x14ac:dyDescent="0.25" r="40" customHeight="1" ht="39">
      <c r="A40" s="21">
        <v>36</v>
      </c>
      <c r="B40" s="22" t="s">
        <v>92</v>
      </c>
      <c r="C40" s="23" t="s">
        <v>93</v>
      </c>
      <c r="D40" s="24">
        <v>65</v>
      </c>
      <c r="E40" s="56" t="s">
        <v>175</v>
      </c>
      <c r="F40" s="24">
        <v>5973500</v>
      </c>
      <c r="G40" s="24">
        <v>310</v>
      </c>
      <c r="H40" s="25">
        <v>128500</v>
      </c>
      <c r="I40" s="26">
        <v>39835000</v>
      </c>
      <c r="J40" s="24">
        <v>44</v>
      </c>
      <c r="K40" s="56" t="s">
        <v>175</v>
      </c>
      <c r="L40" s="24">
        <v>3882040</v>
      </c>
      <c r="M40" s="24"/>
      <c r="N40" s="58"/>
      <c r="O40" s="24"/>
    </row>
    <row x14ac:dyDescent="0.25" r="41" customHeight="1" ht="39">
      <c r="A41" s="21">
        <v>37</v>
      </c>
      <c r="B41" s="22" t="s">
        <v>94</v>
      </c>
      <c r="C41" s="23" t="s">
        <v>95</v>
      </c>
      <c r="D41" s="24">
        <v>35</v>
      </c>
      <c r="E41" s="56">
        <v>191200</v>
      </c>
      <c r="F41" s="24">
        <v>6692000</v>
      </c>
      <c r="G41" s="24">
        <f>29+272</f>
      </c>
      <c r="H41" s="25" t="s">
        <v>96</v>
      </c>
      <c r="I41" s="26">
        <f>7093000+67184000</f>
      </c>
      <c r="J41" s="24">
        <v>30</v>
      </c>
      <c r="K41" s="56">
        <v>191200</v>
      </c>
      <c r="L41" s="24">
        <v>5736000</v>
      </c>
      <c r="M41" s="24">
        <v>10</v>
      </c>
      <c r="N41" s="57">
        <v>191200</v>
      </c>
      <c r="O41" s="24">
        <v>1912000</v>
      </c>
    </row>
    <row x14ac:dyDescent="0.25" r="42" customHeight="1" ht="39">
      <c r="A42" s="21">
        <v>38</v>
      </c>
      <c r="B42" s="22" t="s">
        <v>97</v>
      </c>
      <c r="C42" s="23" t="s">
        <v>98</v>
      </c>
      <c r="D42" s="24">
        <v>619</v>
      </c>
      <c r="E42" s="56" t="s">
        <v>176</v>
      </c>
      <c r="F42" s="24">
        <v>117565560</v>
      </c>
      <c r="G42" s="24">
        <v>1400</v>
      </c>
      <c r="H42" s="25">
        <v>256000</v>
      </c>
      <c r="I42" s="26">
        <v>358400000</v>
      </c>
      <c r="J42" s="24">
        <f>711+536</f>
      </c>
      <c r="K42" s="56" t="s">
        <v>176</v>
      </c>
      <c r="L42" s="24">
        <f>127510740+105305700</f>
      </c>
      <c r="M42" s="24">
        <v>610</v>
      </c>
      <c r="N42" s="57" t="s">
        <v>176</v>
      </c>
      <c r="O42" s="24">
        <v>114427500</v>
      </c>
    </row>
    <row x14ac:dyDescent="0.25" r="43" customHeight="1" ht="39">
      <c r="A43" s="21">
        <v>39</v>
      </c>
      <c r="B43" s="22" t="s">
        <v>99</v>
      </c>
      <c r="C43" s="23" t="s">
        <v>100</v>
      </c>
      <c r="D43" s="24">
        <v>30</v>
      </c>
      <c r="E43" s="56">
        <v>198800</v>
      </c>
      <c r="F43" s="24">
        <v>5964000</v>
      </c>
      <c r="G43" s="24">
        <v>230</v>
      </c>
      <c r="H43" s="25">
        <v>257500</v>
      </c>
      <c r="I43" s="26">
        <v>59225000</v>
      </c>
      <c r="J43" s="24">
        <v>22</v>
      </c>
      <c r="K43" s="56" t="s">
        <v>177</v>
      </c>
      <c r="L43" s="24">
        <v>4355120</v>
      </c>
      <c r="M43" s="24">
        <v>50</v>
      </c>
      <c r="N43" s="57">
        <v>198800</v>
      </c>
      <c r="O43" s="24">
        <v>9940000</v>
      </c>
    </row>
    <row x14ac:dyDescent="0.25" r="44" customHeight="1" ht="39">
      <c r="A44" s="21">
        <v>40</v>
      </c>
      <c r="B44" s="22" t="s">
        <v>101</v>
      </c>
      <c r="C44" s="23" t="s">
        <v>102</v>
      </c>
      <c r="D44" s="24">
        <v>20</v>
      </c>
      <c r="E44" s="56" t="s">
        <v>178</v>
      </c>
      <c r="F44" s="24">
        <v>3812200</v>
      </c>
      <c r="G44" s="24">
        <f>71+100</f>
      </c>
      <c r="H44" s="25" t="s">
        <v>103</v>
      </c>
      <c r="I44" s="26">
        <f>19724500+27900000</f>
      </c>
      <c r="J44" s="24">
        <v>46</v>
      </c>
      <c r="K44" s="56" t="s">
        <v>178</v>
      </c>
      <c r="L44" s="24">
        <v>8962960</v>
      </c>
      <c r="M44" s="24">
        <v>10</v>
      </c>
      <c r="N44" s="57">
        <v>194500</v>
      </c>
      <c r="O44" s="24">
        <v>1906100</v>
      </c>
    </row>
    <row x14ac:dyDescent="0.25" r="45" customHeight="1" ht="39">
      <c r="A45" s="21">
        <v>41</v>
      </c>
      <c r="B45" s="22" t="s">
        <v>104</v>
      </c>
      <c r="C45" s="23" t="s">
        <v>105</v>
      </c>
      <c r="D45" s="24">
        <v>27</v>
      </c>
      <c r="E45" s="56">
        <v>186000</v>
      </c>
      <c r="F45" s="24">
        <v>4921560</v>
      </c>
      <c r="G45" s="24">
        <f>11+91</f>
      </c>
      <c r="H45" s="25" t="s">
        <v>106</v>
      </c>
      <c r="I45" s="26">
        <f>2781000+23614500</f>
      </c>
      <c r="J45" s="24">
        <v>15</v>
      </c>
      <c r="K45" s="56">
        <v>186000</v>
      </c>
      <c r="L45" s="24">
        <v>2734200</v>
      </c>
      <c r="M45" s="24"/>
      <c r="N45" s="58"/>
      <c r="O45" s="24"/>
    </row>
    <row x14ac:dyDescent="0.25" r="46" customHeight="1" ht="39">
      <c r="A46" s="21">
        <v>42</v>
      </c>
      <c r="B46" s="22" t="s">
        <v>107</v>
      </c>
      <c r="C46" s="23" t="s">
        <v>108</v>
      </c>
      <c r="D46" s="24">
        <v>315</v>
      </c>
      <c r="E46" s="56" t="s">
        <v>179</v>
      </c>
      <c r="F46" s="24">
        <v>63323100</v>
      </c>
      <c r="G46" s="24">
        <v>770</v>
      </c>
      <c r="H46" s="25">
        <v>274500</v>
      </c>
      <c r="I46" s="26">
        <v>211365000</v>
      </c>
      <c r="J46" s="24">
        <v>340</v>
      </c>
      <c r="K46" s="56" t="s">
        <v>179</v>
      </c>
      <c r="L46" s="24">
        <v>68827900</v>
      </c>
      <c r="M46" s="24">
        <v>300</v>
      </c>
      <c r="N46" s="57" t="s">
        <v>179</v>
      </c>
      <c r="O46" s="24">
        <v>60730500</v>
      </c>
    </row>
    <row x14ac:dyDescent="0.25" r="47" customHeight="1" ht="39">
      <c r="A47" s="21">
        <v>43</v>
      </c>
      <c r="B47" s="22" t="s">
        <v>109</v>
      </c>
      <c r="C47" s="23" t="s">
        <v>110</v>
      </c>
      <c r="D47" s="24">
        <v>0</v>
      </c>
      <c r="E47" s="56" t="s">
        <v>180</v>
      </c>
      <c r="F47" s="24">
        <v>0</v>
      </c>
      <c r="G47" s="24">
        <v>133</v>
      </c>
      <c r="H47" s="25" t="s">
        <v>111</v>
      </c>
      <c r="I47" s="26">
        <v>37426000</v>
      </c>
      <c r="J47" s="24">
        <v>50</v>
      </c>
      <c r="K47" s="56" t="s">
        <v>180</v>
      </c>
      <c r="L47" s="24">
        <v>9898000</v>
      </c>
      <c r="M47" s="24"/>
      <c r="N47" s="58"/>
      <c r="O47" s="24"/>
    </row>
    <row x14ac:dyDescent="0.25" r="48" customHeight="1" ht="39">
      <c r="A48" s="21">
        <v>44</v>
      </c>
      <c r="B48" s="22" t="s">
        <v>112</v>
      </c>
      <c r="C48" s="23" t="s">
        <v>113</v>
      </c>
      <c r="D48" s="24">
        <v>355</v>
      </c>
      <c r="E48" s="56" t="s">
        <v>181</v>
      </c>
      <c r="F48" s="24">
        <v>29938100</v>
      </c>
      <c r="G48" s="24">
        <v>1723</v>
      </c>
      <c r="H48" s="25">
        <v>122000</v>
      </c>
      <c r="I48" s="26">
        <v>210206000</v>
      </c>
      <c r="J48" s="24">
        <v>475</v>
      </c>
      <c r="K48" s="56" t="s">
        <v>181</v>
      </c>
      <c r="L48" s="24">
        <v>40545500</v>
      </c>
      <c r="M48" s="24">
        <v>565</v>
      </c>
      <c r="N48" s="57" t="s">
        <v>181</v>
      </c>
      <c r="O48" s="24">
        <v>49368400</v>
      </c>
    </row>
    <row x14ac:dyDescent="0.25" r="49" customHeight="1" ht="39">
      <c r="A49" s="21">
        <v>45</v>
      </c>
      <c r="B49" s="22" t="s">
        <v>114</v>
      </c>
      <c r="C49" s="23" t="s">
        <v>115</v>
      </c>
      <c r="D49" s="24">
        <v>95</v>
      </c>
      <c r="E49" s="56" t="s">
        <v>182</v>
      </c>
      <c r="F49" s="24">
        <v>23416220</v>
      </c>
      <c r="G49" s="24">
        <v>369</v>
      </c>
      <c r="H49" s="25">
        <v>340500</v>
      </c>
      <c r="I49" s="26">
        <v>125644500</v>
      </c>
      <c r="J49" s="24">
        <v>115</v>
      </c>
      <c r="K49" s="56" t="s">
        <v>182</v>
      </c>
      <c r="L49" s="24">
        <v>28467480</v>
      </c>
      <c r="M49" s="24">
        <v>7</v>
      </c>
      <c r="N49" s="57">
        <v>239000</v>
      </c>
      <c r="O49" s="24">
        <v>1673000</v>
      </c>
    </row>
    <row x14ac:dyDescent="0.25" r="50" customHeight="1" ht="39">
      <c r="A50" s="21">
        <v>46</v>
      </c>
      <c r="B50" s="22" t="s">
        <v>116</v>
      </c>
      <c r="C50" s="23" t="s">
        <v>117</v>
      </c>
      <c r="D50" s="24">
        <v>57</v>
      </c>
      <c r="E50" s="56" t="s">
        <v>183</v>
      </c>
      <c r="F50" s="24">
        <v>13081500</v>
      </c>
      <c r="G50" s="24">
        <v>80</v>
      </c>
      <c r="H50" s="30">
        <v>353900</v>
      </c>
      <c r="I50" s="26">
        <v>28312000</v>
      </c>
      <c r="J50" s="24">
        <v>2</v>
      </c>
      <c r="K50" s="56">
        <v>255000</v>
      </c>
      <c r="L50" s="24">
        <v>499800</v>
      </c>
      <c r="M50" s="24"/>
      <c r="N50" s="58"/>
      <c r="O50" s="24"/>
    </row>
    <row x14ac:dyDescent="0.25" r="51" customHeight="1" ht="39">
      <c r="A51" s="21">
        <v>47</v>
      </c>
      <c r="B51" s="22" t="s">
        <v>118</v>
      </c>
      <c r="C51" s="23" t="s">
        <v>119</v>
      </c>
      <c r="D51" s="24">
        <v>165</v>
      </c>
      <c r="E51" s="56" t="s">
        <v>183</v>
      </c>
      <c r="F51" s="24">
        <v>43533500</v>
      </c>
      <c r="G51" s="24">
        <f>117+408</f>
      </c>
      <c r="H51" s="25" t="s">
        <v>120</v>
      </c>
      <c r="I51" s="26">
        <f>41987000+148308000</f>
      </c>
      <c r="J51" s="24">
        <v>235</v>
      </c>
      <c r="K51" s="56" t="s">
        <v>183</v>
      </c>
      <c r="L51" s="24">
        <v>61601500</v>
      </c>
      <c r="M51" s="24">
        <v>160</v>
      </c>
      <c r="N51" s="57" t="s">
        <v>183</v>
      </c>
      <c r="O51" s="24">
        <v>41916000</v>
      </c>
    </row>
    <row x14ac:dyDescent="0.25" r="52" customHeight="1" ht="39">
      <c r="A52" s="21">
        <v>48</v>
      </c>
      <c r="B52" s="22" t="s">
        <v>121</v>
      </c>
      <c r="C52" s="23" t="s">
        <v>122</v>
      </c>
      <c r="D52" s="24">
        <v>16</v>
      </c>
      <c r="E52" s="56" t="s">
        <v>184</v>
      </c>
      <c r="F52" s="24">
        <v>2679070</v>
      </c>
      <c r="G52" s="24">
        <f>80+150</f>
      </c>
      <c r="H52" s="25" t="s">
        <v>123</v>
      </c>
      <c r="I52" s="26">
        <f>17205000+33300000</f>
      </c>
      <c r="J52" s="24">
        <v>70</v>
      </c>
      <c r="K52" s="56" t="s">
        <v>184</v>
      </c>
      <c r="L52" s="24">
        <v>12129070</v>
      </c>
      <c r="M52" s="24">
        <v>20</v>
      </c>
      <c r="N52" s="57">
        <v>175000</v>
      </c>
      <c r="O52" s="24">
        <v>3500000</v>
      </c>
    </row>
    <row x14ac:dyDescent="0.25" r="53" customHeight="1" ht="39">
      <c r="A53" s="21">
        <v>49</v>
      </c>
      <c r="B53" s="22" t="s">
        <v>124</v>
      </c>
      <c r="C53" s="23" t="s">
        <v>125</v>
      </c>
      <c r="D53" s="24"/>
      <c r="E53" s="56"/>
      <c r="F53" s="24"/>
      <c r="G53" s="24">
        <v>310</v>
      </c>
      <c r="H53" s="25">
        <v>234500</v>
      </c>
      <c r="I53" s="26">
        <v>72695000</v>
      </c>
      <c r="J53" s="24">
        <v>10</v>
      </c>
      <c r="K53" s="56">
        <v>185000</v>
      </c>
      <c r="L53" s="24">
        <v>1850000</v>
      </c>
      <c r="M53" s="24"/>
      <c r="N53" s="58"/>
      <c r="O53" s="24"/>
    </row>
    <row x14ac:dyDescent="0.25" r="54" customHeight="1" ht="39">
      <c r="A54" s="21">
        <v>50</v>
      </c>
      <c r="B54" s="22" t="s">
        <v>126</v>
      </c>
      <c r="C54" s="23" t="s">
        <v>127</v>
      </c>
      <c r="D54" s="24"/>
      <c r="E54" s="56"/>
      <c r="F54" s="24"/>
      <c r="G54" s="24">
        <v>145</v>
      </c>
      <c r="H54" s="25">
        <v>312500</v>
      </c>
      <c r="I54" s="26">
        <v>45312500</v>
      </c>
      <c r="J54" s="24">
        <v>14</v>
      </c>
      <c r="K54" s="56" t="s">
        <v>185</v>
      </c>
      <c r="L54" s="24">
        <v>3091700</v>
      </c>
      <c r="M54" s="24">
        <v>10</v>
      </c>
      <c r="N54" s="57">
        <v>240500</v>
      </c>
      <c r="O54" s="24">
        <v>2405000</v>
      </c>
    </row>
    <row x14ac:dyDescent="0.25" r="55" customHeight="1" ht="39">
      <c r="A55" s="21">
        <v>51</v>
      </c>
      <c r="B55" s="22" t="s">
        <v>128</v>
      </c>
      <c r="C55" s="23" t="s">
        <v>129</v>
      </c>
      <c r="D55" s="24">
        <v>36</v>
      </c>
      <c r="E55" s="56" t="s">
        <v>186</v>
      </c>
      <c r="F55" s="24">
        <v>8869980</v>
      </c>
      <c r="G55" s="24">
        <f>96+410</f>
      </c>
      <c r="H55" s="25" t="s">
        <v>130</v>
      </c>
      <c r="I55" s="26">
        <f>31998000+138990000</f>
      </c>
      <c r="J55" s="24">
        <v>65</v>
      </c>
      <c r="K55" s="56">
        <v>249000</v>
      </c>
      <c r="L55" s="24">
        <v>16080420</v>
      </c>
      <c r="M55" s="24">
        <v>20</v>
      </c>
      <c r="N55" s="57">
        <v>261500</v>
      </c>
      <c r="O55" s="24">
        <v>5230000</v>
      </c>
    </row>
    <row x14ac:dyDescent="0.25" r="56" customHeight="1" ht="39">
      <c r="A56" s="21">
        <v>52</v>
      </c>
      <c r="B56" s="22" t="s">
        <v>131</v>
      </c>
      <c r="C56" s="23" t="s">
        <v>132</v>
      </c>
      <c r="D56" s="24"/>
      <c r="E56" s="56"/>
      <c r="F56" s="24"/>
      <c r="G56" s="24">
        <f>19+71</f>
      </c>
      <c r="H56" s="25" t="s">
        <v>133</v>
      </c>
      <c r="I56" s="26">
        <f>3307000+12531500</f>
      </c>
      <c r="J56" s="24">
        <v>2</v>
      </c>
      <c r="K56" s="56">
        <v>130000</v>
      </c>
      <c r="L56" s="24">
        <v>241800</v>
      </c>
      <c r="M56" s="24"/>
      <c r="N56" s="58"/>
      <c r="O56" s="24"/>
    </row>
    <row x14ac:dyDescent="0.25" r="57" customHeight="1" ht="39">
      <c r="A57" s="21">
        <v>53</v>
      </c>
      <c r="B57" s="22" t="s">
        <v>134</v>
      </c>
      <c r="C57" s="23" t="s">
        <v>135</v>
      </c>
      <c r="D57" s="24">
        <v>8</v>
      </c>
      <c r="E57" s="56" t="s">
        <v>187</v>
      </c>
      <c r="F57" s="24">
        <v>1512000</v>
      </c>
      <c r="G57" s="24">
        <v>82</v>
      </c>
      <c r="H57" s="25" t="s">
        <v>136</v>
      </c>
      <c r="I57" s="26">
        <v>19310000</v>
      </c>
      <c r="J57" s="24">
        <v>19</v>
      </c>
      <c r="K57" s="56" t="s">
        <v>187</v>
      </c>
      <c r="L57" s="24">
        <v>3310200</v>
      </c>
      <c r="M57" s="24">
        <v>10</v>
      </c>
      <c r="N57" s="57">
        <v>189000</v>
      </c>
      <c r="O57" s="24">
        <v>1890000</v>
      </c>
    </row>
    <row x14ac:dyDescent="0.25" r="58" customHeight="1" ht="39">
      <c r="A58" s="21">
        <v>54</v>
      </c>
      <c r="B58" s="22" t="s">
        <v>137</v>
      </c>
      <c r="C58" s="23" t="s">
        <v>138</v>
      </c>
      <c r="D58" s="24"/>
      <c r="E58" s="56"/>
      <c r="F58" s="24"/>
      <c r="G58" s="24">
        <v>191</v>
      </c>
      <c r="H58" s="25">
        <v>271500</v>
      </c>
      <c r="I58" s="26">
        <v>51785000</v>
      </c>
      <c r="J58" s="24">
        <v>0</v>
      </c>
      <c r="K58" s="56">
        <v>200000</v>
      </c>
      <c r="L58" s="24">
        <v>0</v>
      </c>
      <c r="M58" s="24"/>
      <c r="N58" s="58"/>
      <c r="O58" s="24"/>
    </row>
    <row x14ac:dyDescent="0.25" r="59" customHeight="1" ht="39">
      <c r="A59" s="21">
        <v>55</v>
      </c>
      <c r="B59" s="22" t="s">
        <v>139</v>
      </c>
      <c r="C59" s="23" t="s">
        <v>140</v>
      </c>
      <c r="D59" s="24">
        <v>1310</v>
      </c>
      <c r="E59" s="56" t="s">
        <v>188</v>
      </c>
      <c r="F59" s="24">
        <v>53379400</v>
      </c>
      <c r="G59" s="24">
        <v>4671</v>
      </c>
      <c r="H59" s="25">
        <v>55500</v>
      </c>
      <c r="I59" s="26">
        <v>259240500</v>
      </c>
      <c r="J59" s="24">
        <v>1804</v>
      </c>
      <c r="K59" s="56" t="s">
        <v>188</v>
      </c>
      <c r="L59" s="24">
        <v>72523720</v>
      </c>
      <c r="M59" s="24">
        <v>1865</v>
      </c>
      <c r="N59" s="57" t="s">
        <v>188</v>
      </c>
      <c r="O59" s="24">
        <v>75687600</v>
      </c>
    </row>
    <row x14ac:dyDescent="0.25" r="60" customHeight="1" ht="39">
      <c r="A60" s="21">
        <v>56</v>
      </c>
      <c r="B60" s="22" t="s">
        <v>141</v>
      </c>
      <c r="C60" s="23" t="s">
        <v>142</v>
      </c>
      <c r="D60" s="24">
        <v>6</v>
      </c>
      <c r="E60" s="56">
        <v>105000</v>
      </c>
      <c r="F60" s="24">
        <v>630000</v>
      </c>
      <c r="G60" s="24">
        <f>77+215</f>
      </c>
      <c r="H60" s="25" t="s">
        <v>143</v>
      </c>
      <c r="I60" s="26">
        <f>10672500+29992500</f>
      </c>
      <c r="J60" s="24">
        <v>30</v>
      </c>
      <c r="K60" s="56">
        <v>105000</v>
      </c>
      <c r="L60" s="24">
        <v>3150000</v>
      </c>
      <c r="M60" s="24"/>
      <c r="N60" s="58"/>
      <c r="O60" s="24"/>
    </row>
    <row x14ac:dyDescent="0.25" r="61" customHeight="1" ht="39">
      <c r="A61" s="21">
        <v>57</v>
      </c>
      <c r="B61" s="22" t="s">
        <v>144</v>
      </c>
      <c r="C61" s="23" t="s">
        <v>145</v>
      </c>
      <c r="D61" s="24"/>
      <c r="E61" s="59"/>
      <c r="F61" s="24"/>
      <c r="G61" s="24">
        <v>300</v>
      </c>
      <c r="H61" s="25">
        <v>165000</v>
      </c>
      <c r="I61" s="26">
        <v>49500000</v>
      </c>
      <c r="J61" s="24"/>
      <c r="K61" s="59"/>
      <c r="L61" s="24"/>
      <c r="M61" s="24"/>
      <c r="N61" s="58"/>
      <c r="O61" s="24"/>
    </row>
    <row x14ac:dyDescent="0.25" r="62" customHeight="1" ht="39">
      <c r="A62" s="21" t="s">
        <v>146</v>
      </c>
      <c r="B62" s="33"/>
      <c r="C62" s="34"/>
      <c r="D62" s="24">
        <f>SUM(D7:D60)</f>
      </c>
      <c r="E62" s="59"/>
      <c r="F62" s="24">
        <f>SUM(F7:F60)</f>
      </c>
      <c r="G62" s="9">
        <f>SUM(G7:G61)</f>
      </c>
      <c r="H62" s="30"/>
      <c r="I62" s="35">
        <f>SUM(I7:I61)</f>
      </c>
      <c r="J62" s="9">
        <f>SUM(J7:J61)</f>
      </c>
      <c r="K62" s="59"/>
      <c r="L62" s="9">
        <f>SUM(L7:L61)</f>
      </c>
      <c r="M62" s="21">
        <f>SUM(M7:M61)</f>
      </c>
      <c r="N62" s="58"/>
      <c r="O62" s="36">
        <f>SUM(O7:O61)</f>
      </c>
    </row>
    <row x14ac:dyDescent="0.25" r="63" customHeight="1" ht="39">
      <c r="A63" s="38"/>
      <c r="B63" s="39"/>
      <c r="C63" s="5"/>
      <c r="D63" s="38"/>
      <c r="E63" s="38"/>
      <c r="F63" s="38"/>
      <c r="G63" s="40"/>
      <c r="H63" s="41"/>
      <c r="I63" s="42"/>
      <c r="J63" s="42"/>
      <c r="K63" s="38"/>
      <c r="L63" s="60"/>
      <c r="M63" s="38"/>
      <c r="N63" s="38"/>
      <c r="O63" s="38"/>
    </row>
    <row x14ac:dyDescent="0.25" r="64" customHeight="1" ht="39">
      <c r="A64" s="38"/>
      <c r="B64" s="39"/>
      <c r="C64" s="5"/>
      <c r="D64" s="38"/>
      <c r="E64" s="38"/>
      <c r="F64" s="38"/>
      <c r="G64" s="40"/>
      <c r="H64" s="41"/>
      <c r="I64" s="42"/>
      <c r="J64" s="38"/>
      <c r="K64" s="38"/>
      <c r="L64" s="38"/>
      <c r="M64" s="38"/>
      <c r="N64" s="38"/>
      <c r="O64" s="38"/>
    </row>
    <row x14ac:dyDescent="0.25" r="65" customHeight="1" ht="39">
      <c r="A65" s="38"/>
      <c r="B65" s="44"/>
      <c r="C65" s="5"/>
      <c r="D65" s="38"/>
      <c r="E65" s="38"/>
      <c r="F65" s="42"/>
      <c r="G65" s="40"/>
      <c r="H65" s="41"/>
      <c r="I65" s="40"/>
      <c r="J65" s="42"/>
      <c r="K65" s="38"/>
      <c r="L65" s="42"/>
      <c r="M65" s="38"/>
      <c r="N65" s="38"/>
      <c r="O65" s="38"/>
    </row>
    <row x14ac:dyDescent="0.25" r="66" customHeight="1" ht="39">
      <c r="A66" s="38"/>
      <c r="B66" s="44"/>
      <c r="C66" s="5"/>
      <c r="D66" s="38"/>
      <c r="E66" s="38"/>
      <c r="F66" s="42"/>
      <c r="G66" s="40"/>
      <c r="H66" s="41"/>
      <c r="I66" s="42"/>
      <c r="J66" s="38"/>
      <c r="K66" s="38"/>
      <c r="L66" s="38"/>
      <c r="M66" s="38"/>
      <c r="N66" s="40"/>
      <c r="O66" s="38"/>
    </row>
    <row x14ac:dyDescent="0.25" r="67" customHeight="1" ht="39">
      <c r="A67" s="38"/>
      <c r="B67" s="44"/>
      <c r="C67" s="5"/>
      <c r="D67" s="38"/>
      <c r="E67" s="38"/>
      <c r="F67" s="42"/>
      <c r="G67" s="40"/>
      <c r="H67" s="41"/>
      <c r="I67" s="42"/>
      <c r="J67" s="42"/>
      <c r="K67" s="38"/>
      <c r="L67" s="42"/>
      <c r="M67" s="38"/>
      <c r="N67" s="38"/>
      <c r="O67" s="38"/>
    </row>
    <row x14ac:dyDescent="0.25" r="68" customHeight="1" ht="39">
      <c r="A68" s="38"/>
      <c r="B68" s="44"/>
      <c r="C68" s="5"/>
      <c r="D68" s="38"/>
      <c r="E68" s="38"/>
      <c r="F68" s="42"/>
      <c r="G68" s="40"/>
      <c r="H68" s="41"/>
      <c r="I68" s="40"/>
      <c r="J68" s="38"/>
      <c r="K68" s="38"/>
      <c r="L68" s="38"/>
      <c r="M68" s="38"/>
      <c r="N68" s="38"/>
      <c r="O68" s="38"/>
    </row>
    <row x14ac:dyDescent="0.25" r="69" customHeight="1" ht="39">
      <c r="A69" s="38"/>
      <c r="B69" s="44"/>
      <c r="C69" s="5"/>
      <c r="D69" s="38"/>
      <c r="E69" s="38"/>
      <c r="F69" s="42"/>
      <c r="G69" s="40"/>
      <c r="H69" s="41"/>
      <c r="I69" s="42"/>
      <c r="J69" s="42"/>
      <c r="K69" s="38"/>
      <c r="L69" s="42"/>
      <c r="M69" s="38"/>
      <c r="N69" s="38"/>
      <c r="O69" s="38"/>
    </row>
    <row x14ac:dyDescent="0.25" r="70" customHeight="1" ht="39">
      <c r="A70" s="38"/>
      <c r="B70" s="44"/>
      <c r="C70" s="5"/>
      <c r="D70" s="38"/>
      <c r="E70" s="38"/>
      <c r="F70" s="42"/>
      <c r="G70" s="40"/>
      <c r="H70" s="41"/>
      <c r="I70" s="42"/>
      <c r="J70" s="42"/>
      <c r="K70" s="38"/>
      <c r="L70" s="42"/>
      <c r="M70" s="38"/>
      <c r="N70" s="38"/>
      <c r="O70" s="38"/>
    </row>
    <row x14ac:dyDescent="0.25" r="71" customHeight="1" ht="39">
      <c r="A71" s="38"/>
      <c r="B71" s="44"/>
      <c r="C71" s="5"/>
      <c r="D71" s="38"/>
      <c r="E71" s="38"/>
      <c r="F71" s="42"/>
      <c r="G71" s="40"/>
      <c r="H71" s="41"/>
      <c r="I71" s="42"/>
      <c r="J71" s="42"/>
      <c r="K71" s="38"/>
      <c r="L71" s="42"/>
      <c r="M71" s="38"/>
      <c r="N71" s="38"/>
      <c r="O71" s="38"/>
    </row>
    <row x14ac:dyDescent="0.25" r="72" customHeight="1" ht="39">
      <c r="A72" s="38"/>
      <c r="B72" s="44"/>
      <c r="C72" s="5"/>
      <c r="D72" s="38"/>
      <c r="E72" s="38"/>
      <c r="F72" s="42"/>
      <c r="G72" s="40"/>
      <c r="H72" s="41"/>
      <c r="I72" s="42"/>
      <c r="J72" s="42"/>
      <c r="K72" s="38"/>
      <c r="L72" s="42"/>
      <c r="M72" s="38"/>
      <c r="N72" s="38"/>
      <c r="O72" s="38"/>
    </row>
    <row x14ac:dyDescent="0.25" r="73" customHeight="1" ht="39">
      <c r="A73" s="38"/>
      <c r="B73" s="44"/>
      <c r="C73" s="5"/>
      <c r="D73" s="38"/>
      <c r="E73" s="38"/>
      <c r="F73" s="42"/>
      <c r="G73" s="40"/>
      <c r="H73" s="41"/>
      <c r="I73" s="42"/>
      <c r="J73" s="42"/>
      <c r="K73" s="38"/>
      <c r="L73" s="42"/>
      <c r="M73" s="38"/>
      <c r="N73" s="38"/>
      <c r="O73" s="38"/>
    </row>
    <row x14ac:dyDescent="0.25" r="74" customHeight="1" ht="39">
      <c r="A74" s="38"/>
      <c r="B74" s="44"/>
      <c r="C74" s="5"/>
      <c r="D74" s="38"/>
      <c r="E74" s="38"/>
      <c r="F74" s="42"/>
      <c r="G74" s="40"/>
      <c r="H74" s="41"/>
      <c r="I74" s="42"/>
      <c r="J74" s="42"/>
      <c r="K74" s="38"/>
      <c r="L74" s="42"/>
      <c r="M74" s="38"/>
      <c r="N74" s="38"/>
      <c r="O74" s="38"/>
    </row>
    <row x14ac:dyDescent="0.25" r="75" customHeight="1" ht="39">
      <c r="A75" s="38"/>
      <c r="B75" s="44"/>
      <c r="C75" s="5"/>
      <c r="D75" s="38"/>
      <c r="E75" s="38"/>
      <c r="F75" s="42"/>
      <c r="G75" s="40"/>
      <c r="H75" s="41"/>
      <c r="I75" s="42"/>
      <c r="J75" s="42"/>
      <c r="K75" s="38"/>
      <c r="L75" s="42"/>
      <c r="M75" s="38"/>
      <c r="N75" s="38"/>
      <c r="O75" s="38"/>
    </row>
    <row x14ac:dyDescent="0.25" r="76" customHeight="1" ht="39">
      <c r="A76" s="38"/>
      <c r="B76" s="44"/>
      <c r="C76" s="5"/>
      <c r="D76" s="38"/>
      <c r="E76" s="38"/>
      <c r="F76" s="42"/>
      <c r="G76" s="40"/>
      <c r="H76" s="41"/>
      <c r="I76" s="42"/>
      <c r="J76" s="42"/>
      <c r="K76" s="38"/>
      <c r="L76" s="42"/>
      <c r="M76" s="38"/>
      <c r="N76" s="38"/>
      <c r="O76" s="38"/>
    </row>
    <row x14ac:dyDescent="0.25" r="77" customHeight="1" ht="39">
      <c r="A77" s="38"/>
      <c r="B77" s="44"/>
      <c r="C77" s="5"/>
      <c r="D77" s="38"/>
      <c r="E77" s="38"/>
      <c r="F77" s="42"/>
      <c r="G77" s="40"/>
      <c r="H77" s="41"/>
      <c r="I77" s="42"/>
      <c r="J77" s="42"/>
      <c r="K77" s="38"/>
      <c r="L77" s="42"/>
      <c r="M77" s="38"/>
      <c r="N77" s="38"/>
      <c r="O77" s="38"/>
    </row>
    <row x14ac:dyDescent="0.25" r="78" customHeight="1" ht="39">
      <c r="A78" s="38"/>
      <c r="B78" s="44"/>
      <c r="C78" s="5"/>
      <c r="D78" s="38"/>
      <c r="E78" s="38"/>
      <c r="F78" s="42"/>
      <c r="G78" s="40"/>
      <c r="H78" s="41"/>
      <c r="I78" s="42"/>
      <c r="J78" s="42"/>
      <c r="K78" s="38"/>
      <c r="L78" s="42"/>
      <c r="M78" s="38"/>
      <c r="N78" s="38"/>
      <c r="O78" s="38"/>
    </row>
    <row x14ac:dyDescent="0.25" r="79" customHeight="1" ht="39">
      <c r="A79" s="38"/>
      <c r="B79" s="44"/>
      <c r="C79" s="5"/>
      <c r="D79" s="38"/>
      <c r="E79" s="38"/>
      <c r="F79" s="42"/>
      <c r="G79" s="40"/>
      <c r="H79" s="41"/>
      <c r="I79" s="42"/>
      <c r="J79" s="42"/>
      <c r="K79" s="38"/>
      <c r="L79" s="42"/>
      <c r="M79" s="38"/>
      <c r="N79" s="38"/>
      <c r="O79" s="38"/>
    </row>
    <row x14ac:dyDescent="0.25" r="80" customHeight="1" ht="39">
      <c r="A80" s="38"/>
      <c r="B80" s="44"/>
      <c r="C80" s="5"/>
      <c r="D80" s="38"/>
      <c r="E80" s="38"/>
      <c r="F80" s="42"/>
      <c r="G80" s="40"/>
      <c r="H80" s="41"/>
      <c r="I80" s="42"/>
      <c r="J80" s="42"/>
      <c r="K80" s="38"/>
      <c r="L80" s="42"/>
      <c r="M80" s="38"/>
      <c r="N80" s="38"/>
      <c r="O80" s="38"/>
    </row>
    <row x14ac:dyDescent="0.25" r="81" customHeight="1" ht="39">
      <c r="A81" s="38"/>
      <c r="B81" s="44"/>
      <c r="C81" s="5"/>
      <c r="D81" s="38"/>
      <c r="E81" s="38"/>
      <c r="F81" s="42"/>
      <c r="G81" s="40"/>
      <c r="H81" s="41"/>
      <c r="I81" s="42"/>
      <c r="J81" s="42"/>
      <c r="K81" s="38"/>
      <c r="L81" s="42"/>
      <c r="M81" s="38"/>
      <c r="N81" s="38"/>
      <c r="O81" s="38"/>
    </row>
    <row x14ac:dyDescent="0.25" r="82" customHeight="1" ht="39">
      <c r="A82" s="38"/>
      <c r="B82" s="44"/>
      <c r="C82" s="5"/>
      <c r="D82" s="38"/>
      <c r="E82" s="38"/>
      <c r="F82" s="42"/>
      <c r="G82" s="40"/>
      <c r="H82" s="41"/>
      <c r="I82" s="42"/>
      <c r="J82" s="42"/>
      <c r="K82" s="38"/>
      <c r="L82" s="42"/>
      <c r="M82" s="38"/>
      <c r="N82" s="38"/>
      <c r="O82" s="38"/>
    </row>
    <row x14ac:dyDescent="0.25" r="83" customHeight="1" ht="39">
      <c r="A83" s="38"/>
      <c r="B83" s="44"/>
      <c r="C83" s="5"/>
      <c r="D83" s="38"/>
      <c r="E83" s="38"/>
      <c r="F83" s="42"/>
      <c r="G83" s="40"/>
      <c r="H83" s="41"/>
      <c r="I83" s="42"/>
      <c r="J83" s="42"/>
      <c r="K83" s="38"/>
      <c r="L83" s="42"/>
      <c r="M83" s="38"/>
      <c r="N83" s="38"/>
      <c r="O83" s="38"/>
    </row>
    <row x14ac:dyDescent="0.25" r="84" customHeight="1" ht="39">
      <c r="A84" s="38"/>
      <c r="B84" s="44"/>
      <c r="C84" s="5"/>
      <c r="D84" s="38"/>
      <c r="E84" s="38"/>
      <c r="F84" s="42"/>
      <c r="G84" s="40"/>
      <c r="H84" s="41"/>
      <c r="I84" s="42"/>
      <c r="J84" s="42"/>
      <c r="K84" s="38"/>
      <c r="L84" s="42"/>
      <c r="M84" s="38"/>
      <c r="N84" s="38"/>
      <c r="O84" s="38"/>
    </row>
    <row x14ac:dyDescent="0.25" r="85" customHeight="1" ht="39">
      <c r="A85" s="38"/>
      <c r="B85" s="44"/>
      <c r="C85" s="5"/>
      <c r="D85" s="38"/>
      <c r="E85" s="38"/>
      <c r="F85" s="42"/>
      <c r="G85" s="40"/>
      <c r="H85" s="41"/>
      <c r="I85" s="42"/>
      <c r="J85" s="42"/>
      <c r="K85" s="38"/>
      <c r="L85" s="42"/>
      <c r="M85" s="38"/>
      <c r="N85" s="38"/>
      <c r="O85" s="38"/>
    </row>
    <row x14ac:dyDescent="0.25" r="86" customHeight="1" ht="39">
      <c r="A86" s="38"/>
      <c r="B86" s="44"/>
      <c r="C86" s="5"/>
      <c r="D86" s="38"/>
      <c r="E86" s="38"/>
      <c r="F86" s="42"/>
      <c r="G86" s="40"/>
      <c r="H86" s="41"/>
      <c r="I86" s="42"/>
      <c r="J86" s="42"/>
      <c r="K86" s="38"/>
      <c r="L86" s="42"/>
      <c r="M86" s="38"/>
      <c r="N86" s="38"/>
      <c r="O86" s="38"/>
    </row>
    <row x14ac:dyDescent="0.25" r="87" customHeight="1" ht="39">
      <c r="A87" s="38"/>
      <c r="B87" s="44"/>
      <c r="C87" s="5"/>
      <c r="D87" s="38"/>
      <c r="E87" s="38"/>
      <c r="F87" s="42"/>
      <c r="G87" s="40"/>
      <c r="H87" s="41"/>
      <c r="I87" s="42"/>
      <c r="J87" s="42"/>
      <c r="K87" s="38"/>
      <c r="L87" s="42"/>
      <c r="M87" s="38"/>
      <c r="N87" s="38"/>
      <c r="O87" s="38"/>
    </row>
    <row x14ac:dyDescent="0.25" r="88" customHeight="1" ht="39">
      <c r="A88" s="38"/>
      <c r="B88" s="44"/>
      <c r="C88" s="5"/>
      <c r="D88" s="38"/>
      <c r="E88" s="38"/>
      <c r="F88" s="42"/>
      <c r="G88" s="40"/>
      <c r="H88" s="41"/>
      <c r="I88" s="42"/>
      <c r="J88" s="42"/>
      <c r="K88" s="38"/>
      <c r="L88" s="42"/>
      <c r="M88" s="38"/>
      <c r="N88" s="38"/>
      <c r="O88" s="38"/>
    </row>
    <row x14ac:dyDescent="0.25" r="89" customHeight="1" ht="39">
      <c r="A89" s="38"/>
      <c r="B89" s="44"/>
      <c r="C89" s="5"/>
      <c r="D89" s="38"/>
      <c r="E89" s="38"/>
      <c r="F89" s="42"/>
      <c r="G89" s="40"/>
      <c r="H89" s="41"/>
      <c r="I89" s="42"/>
      <c r="J89" s="42"/>
      <c r="K89" s="38"/>
      <c r="L89" s="42"/>
      <c r="M89" s="38"/>
      <c r="N89" s="38"/>
      <c r="O89" s="38"/>
    </row>
    <row x14ac:dyDescent="0.25" r="90" customHeight="1" ht="39">
      <c r="A90" s="38"/>
      <c r="B90" s="44"/>
      <c r="C90" s="5"/>
      <c r="D90" s="38"/>
      <c r="E90" s="38"/>
      <c r="F90" s="42"/>
      <c r="G90" s="40"/>
      <c r="H90" s="41"/>
      <c r="I90" s="42"/>
      <c r="J90" s="42"/>
      <c r="K90" s="38"/>
      <c r="L90" s="42"/>
      <c r="M90" s="38"/>
      <c r="N90" s="38"/>
      <c r="O90" s="38"/>
    </row>
    <row x14ac:dyDescent="0.25" r="91" customHeight="1" ht="39">
      <c r="A91" s="38"/>
      <c r="B91" s="44"/>
      <c r="C91" s="5"/>
      <c r="D91" s="38"/>
      <c r="E91" s="38"/>
      <c r="F91" s="42"/>
      <c r="G91" s="40"/>
      <c r="H91" s="41"/>
      <c r="I91" s="42"/>
      <c r="J91" s="42"/>
      <c r="K91" s="38"/>
      <c r="L91" s="42"/>
      <c r="M91" s="38"/>
      <c r="N91" s="38"/>
      <c r="O91" s="38"/>
    </row>
    <row x14ac:dyDescent="0.25" r="92" customHeight="1" ht="39">
      <c r="A92" s="38"/>
      <c r="B92" s="44"/>
      <c r="C92" s="5"/>
      <c r="D92" s="38"/>
      <c r="E92" s="38"/>
      <c r="F92" s="42"/>
      <c r="G92" s="38"/>
      <c r="H92" s="41"/>
      <c r="I92" s="38"/>
      <c r="J92" s="42"/>
      <c r="K92" s="38"/>
      <c r="L92" s="42"/>
      <c r="M92" s="38"/>
      <c r="N92" s="38"/>
      <c r="O92" s="38"/>
    </row>
    <row x14ac:dyDescent="0.25" r="93" customHeight="1" ht="39">
      <c r="A93" s="38"/>
      <c r="B93" s="44"/>
      <c r="C93" s="5"/>
      <c r="D93" s="38"/>
      <c r="E93" s="38"/>
      <c r="F93" s="42"/>
      <c r="G93" s="38"/>
      <c r="H93" s="38"/>
      <c r="I93" s="38"/>
      <c r="J93" s="42"/>
      <c r="K93" s="38"/>
      <c r="L93" s="42"/>
      <c r="M93" s="38"/>
      <c r="N93" s="38"/>
      <c r="O93" s="38"/>
    </row>
    <row x14ac:dyDescent="0.25" r="94" customHeight="1" ht="39">
      <c r="A94" s="38"/>
      <c r="B94" s="44"/>
      <c r="C94" s="5"/>
      <c r="D94" s="38"/>
      <c r="E94" s="38"/>
      <c r="F94" s="42"/>
      <c r="G94" s="38"/>
      <c r="H94" s="38"/>
      <c r="I94" s="38"/>
      <c r="J94" s="42"/>
      <c r="K94" s="38"/>
      <c r="L94" s="42"/>
      <c r="M94" s="38"/>
      <c r="N94" s="38"/>
      <c r="O94" s="38"/>
    </row>
    <row x14ac:dyDescent="0.25" r="95" customHeight="1" ht="39">
      <c r="A95" s="38"/>
      <c r="B95" s="44"/>
      <c r="C95" s="5"/>
      <c r="D95" s="38"/>
      <c r="E95" s="38"/>
      <c r="F95" s="42"/>
      <c r="G95" s="38"/>
      <c r="H95" s="38"/>
      <c r="I95" s="38"/>
      <c r="J95" s="42"/>
      <c r="K95" s="38"/>
      <c r="L95" s="42"/>
      <c r="M95" s="38"/>
      <c r="N95" s="38"/>
      <c r="O95" s="38"/>
    </row>
    <row x14ac:dyDescent="0.25" r="96" customHeight="1" ht="39">
      <c r="A96" s="38"/>
      <c r="B96" s="44"/>
      <c r="C96" s="5"/>
      <c r="D96" s="38"/>
      <c r="E96" s="38"/>
      <c r="F96" s="42"/>
      <c r="G96" s="38"/>
      <c r="H96" s="38"/>
      <c r="I96" s="38"/>
      <c r="J96" s="42"/>
      <c r="K96" s="38"/>
      <c r="L96" s="42"/>
      <c r="M96" s="38"/>
      <c r="N96" s="38"/>
      <c r="O96" s="38"/>
    </row>
    <row x14ac:dyDescent="0.25" r="97" customHeight="1" ht="39">
      <c r="A97" s="38"/>
      <c r="B97" s="44"/>
      <c r="C97" s="5"/>
      <c r="D97" s="38"/>
      <c r="E97" s="38"/>
      <c r="F97" s="42"/>
      <c r="G97" s="38"/>
      <c r="H97" s="38"/>
      <c r="I97" s="38"/>
      <c r="J97" s="42"/>
      <c r="K97" s="38"/>
      <c r="L97" s="42"/>
      <c r="M97" s="38"/>
      <c r="N97" s="38"/>
      <c r="O97" s="38"/>
    </row>
    <row x14ac:dyDescent="0.25" r="98" customHeight="1" ht="39">
      <c r="A98" s="38"/>
      <c r="B98" s="44"/>
      <c r="C98" s="5"/>
      <c r="D98" s="38"/>
      <c r="E98" s="38"/>
      <c r="F98" s="42"/>
      <c r="G98" s="38"/>
      <c r="H98" s="38"/>
      <c r="I98" s="38"/>
      <c r="J98" s="42"/>
      <c r="K98" s="38"/>
      <c r="L98" s="42"/>
      <c r="M98" s="38"/>
      <c r="N98" s="38"/>
      <c r="O98" s="38"/>
    </row>
    <row x14ac:dyDescent="0.25" r="99" customHeight="1" ht="39">
      <c r="A99" s="38"/>
      <c r="B99" s="44"/>
      <c r="C99" s="5"/>
      <c r="D99" s="38"/>
      <c r="E99" s="38"/>
      <c r="F99" s="42"/>
      <c r="G99" s="38"/>
      <c r="H99" s="38"/>
      <c r="I99" s="38"/>
      <c r="J99" s="42"/>
      <c r="K99" s="38"/>
      <c r="L99" s="42"/>
      <c r="M99" s="38"/>
      <c r="N99" s="38"/>
      <c r="O99" s="38"/>
    </row>
    <row x14ac:dyDescent="0.25" r="100" customHeight="1" ht="39">
      <c r="A100" s="38"/>
      <c r="B100" s="44"/>
      <c r="C100" s="5"/>
      <c r="D100" s="38"/>
      <c r="E100" s="38"/>
      <c r="F100" s="42"/>
      <c r="G100" s="38"/>
      <c r="H100" s="38"/>
      <c r="I100" s="38"/>
      <c r="J100" s="42"/>
      <c r="K100" s="38"/>
      <c r="L100" s="42"/>
      <c r="M100" s="38"/>
      <c r="N100" s="38"/>
      <c r="O100" s="38"/>
    </row>
    <row x14ac:dyDescent="0.25" r="101" customHeight="1" ht="39">
      <c r="A101" s="38"/>
      <c r="B101" s="44"/>
      <c r="C101" s="5"/>
      <c r="D101" s="38"/>
      <c r="E101" s="38"/>
      <c r="F101" s="42"/>
      <c r="G101" s="38"/>
      <c r="H101" s="38"/>
      <c r="I101" s="38"/>
      <c r="J101" s="42"/>
      <c r="K101" s="38"/>
      <c r="L101" s="42"/>
      <c r="M101" s="38"/>
      <c r="N101" s="38"/>
      <c r="O101" s="38"/>
    </row>
    <row x14ac:dyDescent="0.25" r="102" customHeight="1" ht="39">
      <c r="A102" s="38"/>
      <c r="B102" s="44"/>
      <c r="C102" s="5"/>
      <c r="D102" s="38"/>
      <c r="E102" s="38"/>
      <c r="F102" s="42"/>
      <c r="G102" s="38"/>
      <c r="H102" s="38"/>
      <c r="I102" s="38"/>
      <c r="J102" s="42"/>
      <c r="K102" s="38"/>
      <c r="L102" s="42"/>
      <c r="M102" s="38"/>
      <c r="N102" s="38"/>
      <c r="O102" s="38"/>
    </row>
    <row x14ac:dyDescent="0.25" r="103" customHeight="1" ht="39">
      <c r="A103" s="38"/>
      <c r="B103" s="44"/>
      <c r="C103" s="5"/>
      <c r="D103" s="38"/>
      <c r="E103" s="38"/>
      <c r="F103" s="42"/>
      <c r="G103" s="38"/>
      <c r="H103" s="38"/>
      <c r="I103" s="38"/>
      <c r="J103" s="42"/>
      <c r="K103" s="38"/>
      <c r="L103" s="42"/>
      <c r="M103" s="38"/>
      <c r="N103" s="38"/>
      <c r="O103" s="38"/>
    </row>
    <row x14ac:dyDescent="0.25" r="104" customHeight="1" ht="39">
      <c r="A104" s="38"/>
      <c r="B104" s="44"/>
      <c r="C104" s="5"/>
      <c r="D104" s="38"/>
      <c r="E104" s="38"/>
      <c r="F104" s="42"/>
      <c r="G104" s="38"/>
      <c r="H104" s="38"/>
      <c r="I104" s="38"/>
      <c r="J104" s="42"/>
      <c r="K104" s="38"/>
      <c r="L104" s="42"/>
      <c r="M104" s="38"/>
      <c r="N104" s="38"/>
      <c r="O104" s="38"/>
    </row>
    <row x14ac:dyDescent="0.25" r="105" customHeight="1" ht="39">
      <c r="A105" s="38"/>
      <c r="B105" s="44"/>
      <c r="C105" s="5"/>
      <c r="D105" s="38"/>
      <c r="E105" s="38"/>
      <c r="F105" s="42"/>
      <c r="G105" s="38"/>
      <c r="H105" s="38"/>
      <c r="I105" s="38"/>
      <c r="J105" s="42"/>
      <c r="K105" s="38"/>
      <c r="L105" s="42"/>
      <c r="M105" s="38"/>
      <c r="N105" s="38"/>
      <c r="O105" s="38"/>
    </row>
    <row x14ac:dyDescent="0.25" r="106" customHeight="1" ht="39">
      <c r="A106" s="38"/>
      <c r="B106" s="44"/>
      <c r="C106" s="5"/>
      <c r="D106" s="38"/>
      <c r="E106" s="38"/>
      <c r="F106" s="42"/>
      <c r="G106" s="38"/>
      <c r="H106" s="38"/>
      <c r="I106" s="38"/>
      <c r="J106" s="42"/>
      <c r="K106" s="38"/>
      <c r="L106" s="42"/>
      <c r="M106" s="38"/>
      <c r="N106" s="38"/>
      <c r="O106" s="38"/>
    </row>
    <row x14ac:dyDescent="0.25" r="107" customHeight="1" ht="39">
      <c r="A107" s="38"/>
      <c r="B107" s="44"/>
      <c r="C107" s="5"/>
      <c r="D107" s="38"/>
      <c r="E107" s="38"/>
      <c r="F107" s="42"/>
      <c r="G107" s="38"/>
      <c r="H107" s="38"/>
      <c r="I107" s="38"/>
      <c r="J107" s="42"/>
      <c r="K107" s="38"/>
      <c r="L107" s="42"/>
      <c r="M107" s="38"/>
      <c r="N107" s="38"/>
      <c r="O107" s="38"/>
    </row>
    <row x14ac:dyDescent="0.25" r="108" customHeight="1" ht="39">
      <c r="A108" s="38"/>
      <c r="B108" s="44"/>
      <c r="C108" s="5"/>
      <c r="D108" s="38"/>
      <c r="E108" s="38"/>
      <c r="F108" s="42"/>
      <c r="G108" s="38"/>
      <c r="H108" s="38"/>
      <c r="I108" s="38"/>
      <c r="J108" s="42"/>
      <c r="K108" s="38"/>
      <c r="L108" s="42"/>
      <c r="M108" s="38"/>
      <c r="N108" s="38"/>
      <c r="O108" s="38"/>
    </row>
    <row x14ac:dyDescent="0.25" r="109" customHeight="1" ht="39">
      <c r="A109" s="38"/>
      <c r="B109" s="44"/>
      <c r="C109" s="5"/>
      <c r="D109" s="38"/>
      <c r="E109" s="38"/>
      <c r="F109" s="42"/>
      <c r="G109" s="38"/>
      <c r="H109" s="38"/>
      <c r="I109" s="38"/>
      <c r="J109" s="42"/>
      <c r="K109" s="38"/>
      <c r="L109" s="42"/>
      <c r="M109" s="38"/>
      <c r="N109" s="38"/>
      <c r="O109" s="38"/>
    </row>
    <row x14ac:dyDescent="0.25" r="110" customHeight="1" ht="39">
      <c r="A110" s="38"/>
      <c r="B110" s="44"/>
      <c r="C110" s="5"/>
      <c r="D110" s="38"/>
      <c r="E110" s="38"/>
      <c r="F110" s="42"/>
      <c r="G110" s="38"/>
      <c r="H110" s="38"/>
      <c r="I110" s="38"/>
      <c r="J110" s="42"/>
      <c r="K110" s="38"/>
      <c r="L110" s="42"/>
      <c r="M110" s="38"/>
      <c r="N110" s="38"/>
      <c r="O110" s="38"/>
    </row>
    <row x14ac:dyDescent="0.25" r="111" customHeight="1" ht="39">
      <c r="A111" s="38"/>
      <c r="B111" s="44"/>
      <c r="C111" s="5"/>
      <c r="D111" s="38"/>
      <c r="E111" s="38"/>
      <c r="F111" s="42"/>
      <c r="G111" s="38"/>
      <c r="H111" s="38"/>
      <c r="I111" s="38"/>
      <c r="J111" s="42"/>
      <c r="K111" s="38"/>
      <c r="L111" s="42"/>
      <c r="M111" s="38"/>
      <c r="N111" s="38"/>
      <c r="O111" s="38"/>
    </row>
    <row x14ac:dyDescent="0.25" r="112" customHeight="1" ht="39">
      <c r="A112" s="38"/>
      <c r="B112" s="44"/>
      <c r="C112" s="5"/>
      <c r="D112" s="38"/>
      <c r="E112" s="38"/>
      <c r="F112" s="42"/>
      <c r="G112" s="38"/>
      <c r="H112" s="38"/>
      <c r="I112" s="38"/>
      <c r="J112" s="42"/>
      <c r="K112" s="38"/>
      <c r="L112" s="42"/>
      <c r="M112" s="38"/>
      <c r="N112" s="38"/>
      <c r="O112" s="38"/>
    </row>
    <row x14ac:dyDescent="0.25" r="113" customHeight="1" ht="39">
      <c r="A113" s="38"/>
      <c r="B113" s="44"/>
      <c r="C113" s="5"/>
      <c r="D113" s="38"/>
      <c r="E113" s="38"/>
      <c r="F113" s="42"/>
      <c r="G113" s="38"/>
      <c r="H113" s="38"/>
      <c r="I113" s="38"/>
      <c r="J113" s="42"/>
      <c r="K113" s="38"/>
      <c r="L113" s="42"/>
      <c r="M113" s="38"/>
      <c r="N113" s="38"/>
      <c r="O113" s="38"/>
    </row>
    <row x14ac:dyDescent="0.25" r="114" customHeight="1" ht="39">
      <c r="A114" s="38"/>
      <c r="B114" s="44"/>
      <c r="C114" s="5"/>
      <c r="D114" s="38"/>
      <c r="E114" s="38"/>
      <c r="F114" s="42"/>
      <c r="G114" s="38"/>
      <c r="H114" s="38"/>
      <c r="I114" s="38"/>
      <c r="J114" s="42"/>
      <c r="K114" s="38"/>
      <c r="L114" s="42"/>
      <c r="M114" s="38"/>
      <c r="N114" s="38"/>
      <c r="O114" s="38"/>
    </row>
    <row x14ac:dyDescent="0.25" r="115" customHeight="1" ht="39">
      <c r="A115" s="38"/>
      <c r="B115" s="44"/>
      <c r="C115" s="5"/>
      <c r="D115" s="38"/>
      <c r="E115" s="38"/>
      <c r="F115" s="42"/>
      <c r="G115" s="38"/>
      <c r="H115" s="38"/>
      <c r="I115" s="38"/>
      <c r="J115" s="42"/>
      <c r="K115" s="38"/>
      <c r="L115" s="42"/>
      <c r="M115" s="38"/>
      <c r="N115" s="38"/>
      <c r="O115" s="38"/>
    </row>
    <row x14ac:dyDescent="0.25" r="116" customHeight="1" ht="39">
      <c r="A116" s="38"/>
      <c r="B116" s="44"/>
      <c r="C116" s="5"/>
      <c r="D116" s="38"/>
      <c r="E116" s="38"/>
      <c r="F116" s="42"/>
      <c r="G116" s="38"/>
      <c r="H116" s="38"/>
      <c r="I116" s="38"/>
      <c r="J116" s="42"/>
      <c r="K116" s="38"/>
      <c r="L116" s="42"/>
      <c r="M116" s="38"/>
      <c r="N116" s="38"/>
      <c r="O116" s="38"/>
    </row>
    <row x14ac:dyDescent="0.25" r="117" customHeight="1" ht="39">
      <c r="A117" s="38"/>
      <c r="B117" s="44"/>
      <c r="C117" s="5"/>
      <c r="D117" s="38"/>
      <c r="E117" s="38"/>
      <c r="F117" s="42"/>
      <c r="G117" s="38"/>
      <c r="H117" s="38"/>
      <c r="I117" s="38"/>
      <c r="J117" s="42"/>
      <c r="K117" s="38"/>
      <c r="L117" s="42"/>
      <c r="M117" s="38"/>
      <c r="N117" s="38"/>
      <c r="O117" s="38"/>
    </row>
    <row x14ac:dyDescent="0.25" r="118" customHeight="1" ht="39">
      <c r="A118" s="38"/>
      <c r="B118" s="44"/>
      <c r="C118" s="5"/>
      <c r="D118" s="38"/>
      <c r="E118" s="38"/>
      <c r="F118" s="42"/>
      <c r="G118" s="38"/>
      <c r="H118" s="38"/>
      <c r="I118" s="38"/>
      <c r="J118" s="42"/>
      <c r="K118" s="38"/>
      <c r="L118" s="42"/>
      <c r="M118" s="38"/>
      <c r="N118" s="38"/>
      <c r="O118" s="38"/>
    </row>
    <row x14ac:dyDescent="0.25" r="119" customHeight="1" ht="39">
      <c r="A119" s="38"/>
      <c r="B119" s="44"/>
      <c r="C119" s="5"/>
      <c r="D119" s="38"/>
      <c r="E119" s="38"/>
      <c r="F119" s="42"/>
      <c r="G119" s="38"/>
      <c r="H119" s="38"/>
      <c r="I119" s="38"/>
      <c r="J119" s="42"/>
      <c r="K119" s="38"/>
      <c r="L119" s="42"/>
      <c r="M119" s="38"/>
      <c r="N119" s="38"/>
      <c r="O119" s="38"/>
    </row>
    <row x14ac:dyDescent="0.25" r="120" customHeight="1" ht="39">
      <c r="A120" s="38"/>
      <c r="B120" s="44"/>
      <c r="C120" s="5"/>
      <c r="D120" s="38"/>
      <c r="E120" s="38"/>
      <c r="F120" s="42"/>
      <c r="G120" s="38"/>
      <c r="H120" s="38"/>
      <c r="I120" s="38"/>
      <c r="J120" s="42"/>
      <c r="K120" s="38"/>
      <c r="L120" s="42"/>
      <c r="M120" s="38"/>
      <c r="N120" s="38"/>
      <c r="O120" s="38"/>
    </row>
    <row x14ac:dyDescent="0.25" r="121" customHeight="1" ht="39">
      <c r="A121" s="38"/>
      <c r="B121" s="44"/>
      <c r="C121" s="5"/>
      <c r="D121" s="38"/>
      <c r="E121" s="38"/>
      <c r="F121" s="42"/>
      <c r="G121" s="38"/>
      <c r="H121" s="38"/>
      <c r="I121" s="38"/>
      <c r="J121" s="42"/>
      <c r="K121" s="38"/>
      <c r="L121" s="42"/>
      <c r="M121" s="38"/>
      <c r="N121" s="38"/>
      <c r="O121" s="38"/>
    </row>
    <row x14ac:dyDescent="0.25" r="122" customHeight="1" ht="39">
      <c r="A122" s="38"/>
      <c r="B122" s="44"/>
      <c r="C122" s="5"/>
      <c r="D122" s="38"/>
      <c r="E122" s="38"/>
      <c r="F122" s="42"/>
      <c r="G122" s="38"/>
      <c r="H122" s="38"/>
      <c r="I122" s="38"/>
      <c r="J122" s="42"/>
      <c r="K122" s="38"/>
      <c r="L122" s="42"/>
      <c r="M122" s="38"/>
      <c r="N122" s="38"/>
      <c r="O122" s="38"/>
    </row>
    <row x14ac:dyDescent="0.25" r="123" customHeight="1" ht="39">
      <c r="A123" s="38"/>
      <c r="B123" s="39"/>
      <c r="C123" s="5"/>
      <c r="D123" s="38"/>
      <c r="E123" s="38"/>
      <c r="F123" s="38"/>
      <c r="G123" s="38"/>
      <c r="H123" s="38"/>
      <c r="I123" s="38"/>
      <c r="J123" s="42"/>
      <c r="K123" s="38"/>
      <c r="L123" s="42"/>
      <c r="M123" s="38"/>
      <c r="N123" s="38"/>
      <c r="O123" s="38"/>
    </row>
    <row x14ac:dyDescent="0.25" r="124" customHeight="1" ht="18.75">
      <c r="A124" s="38"/>
      <c r="B124" s="39"/>
      <c r="C124" s="5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</row>
    <row x14ac:dyDescent="0.25" r="125" customHeight="1" ht="18.75">
      <c r="A125" s="38"/>
      <c r="B125" s="39"/>
      <c r="C125" s="5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</row>
    <row x14ac:dyDescent="0.25" r="126" customHeight="1" ht="18.75">
      <c r="A126" s="38"/>
      <c r="B126" s="39"/>
      <c r="C126" s="5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</row>
    <row x14ac:dyDescent="0.25" r="127" customHeight="1" ht="18.75">
      <c r="A127" s="38"/>
      <c r="B127" s="39"/>
      <c r="C127" s="5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</row>
    <row x14ac:dyDescent="0.25" r="128" customHeight="1" ht="18.75">
      <c r="A128" s="38"/>
      <c r="B128" s="39"/>
      <c r="C128" s="5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</row>
    <row x14ac:dyDescent="0.25" r="129" customHeight="1" ht="39">
      <c r="A129" s="38"/>
      <c r="B129" s="44"/>
      <c r="C129" s="5"/>
      <c r="D129" s="38"/>
      <c r="E129" s="38"/>
      <c r="F129" s="42"/>
      <c r="G129" s="38"/>
      <c r="H129" s="38"/>
      <c r="I129" s="38"/>
      <c r="J129" s="38"/>
      <c r="K129" s="38"/>
      <c r="L129" s="38"/>
      <c r="M129" s="38"/>
      <c r="N129" s="38"/>
      <c r="O129" s="38"/>
    </row>
    <row x14ac:dyDescent="0.25" r="130" customHeight="1" ht="39">
      <c r="A130" s="38"/>
      <c r="B130" s="44"/>
      <c r="C130" s="5"/>
      <c r="D130" s="38"/>
      <c r="E130" s="38"/>
      <c r="F130" s="42"/>
      <c r="G130" s="38"/>
      <c r="H130" s="38"/>
      <c r="I130" s="38"/>
      <c r="J130" s="38"/>
      <c r="K130" s="38"/>
      <c r="L130" s="38"/>
      <c r="M130" s="38"/>
      <c r="N130" s="38"/>
      <c r="O130" s="38"/>
    </row>
    <row x14ac:dyDescent="0.25" r="131" customHeight="1" ht="39">
      <c r="A131" s="38"/>
      <c r="B131" s="44"/>
      <c r="C131" s="5"/>
      <c r="D131" s="38"/>
      <c r="E131" s="38"/>
      <c r="F131" s="42"/>
      <c r="G131" s="38"/>
      <c r="H131" s="38"/>
      <c r="I131" s="38"/>
      <c r="J131" s="38"/>
      <c r="K131" s="38"/>
      <c r="L131" s="38"/>
      <c r="M131" s="38"/>
      <c r="N131" s="38"/>
      <c r="O131" s="38"/>
    </row>
    <row x14ac:dyDescent="0.25" r="132" customHeight="1" ht="39">
      <c r="A132" s="38"/>
      <c r="B132" s="44"/>
      <c r="C132" s="5"/>
      <c r="D132" s="38"/>
      <c r="E132" s="38"/>
      <c r="F132" s="42"/>
      <c r="G132" s="38"/>
      <c r="H132" s="38"/>
      <c r="I132" s="38"/>
      <c r="J132" s="38"/>
      <c r="K132" s="38"/>
      <c r="L132" s="38"/>
      <c r="M132" s="38"/>
      <c r="N132" s="38"/>
      <c r="O132" s="38"/>
    </row>
    <row x14ac:dyDescent="0.25" r="133" customHeight="1" ht="39">
      <c r="A133" s="38"/>
      <c r="B133" s="44"/>
      <c r="C133" s="5"/>
      <c r="D133" s="38"/>
      <c r="E133" s="38"/>
      <c r="F133" s="42"/>
      <c r="G133" s="38"/>
      <c r="H133" s="38"/>
      <c r="I133" s="38"/>
      <c r="J133" s="38"/>
      <c r="K133" s="38"/>
      <c r="L133" s="38"/>
      <c r="M133" s="38"/>
      <c r="N133" s="38"/>
      <c r="O133" s="38"/>
    </row>
    <row x14ac:dyDescent="0.25" r="134" customHeight="1" ht="39">
      <c r="A134" s="38"/>
      <c r="B134" s="44"/>
      <c r="C134" s="5"/>
      <c r="D134" s="38"/>
      <c r="E134" s="38"/>
      <c r="F134" s="42"/>
      <c r="G134" s="38"/>
      <c r="H134" s="38"/>
      <c r="I134" s="38"/>
      <c r="J134" s="38"/>
      <c r="K134" s="38"/>
      <c r="L134" s="38"/>
      <c r="M134" s="38"/>
      <c r="N134" s="38"/>
      <c r="O134" s="38"/>
    </row>
    <row x14ac:dyDescent="0.25" r="135" customHeight="1" ht="39">
      <c r="A135" s="38"/>
      <c r="B135" s="44"/>
      <c r="C135" s="5"/>
      <c r="D135" s="38"/>
      <c r="E135" s="38"/>
      <c r="F135" s="42"/>
      <c r="G135" s="38"/>
      <c r="H135" s="38"/>
      <c r="I135" s="38"/>
      <c r="J135" s="38"/>
      <c r="K135" s="38"/>
      <c r="L135" s="38"/>
      <c r="M135" s="38"/>
      <c r="N135" s="38"/>
      <c r="O135" s="38"/>
    </row>
    <row x14ac:dyDescent="0.25" r="136" customHeight="1" ht="39">
      <c r="A136" s="38"/>
      <c r="B136" s="44"/>
      <c r="C136" s="5"/>
      <c r="D136" s="38"/>
      <c r="E136" s="38"/>
      <c r="F136" s="42"/>
      <c r="G136" s="38"/>
      <c r="H136" s="38"/>
      <c r="I136" s="38"/>
      <c r="J136" s="38"/>
      <c r="K136" s="38"/>
      <c r="L136" s="38"/>
      <c r="M136" s="38"/>
      <c r="N136" s="38"/>
      <c r="O136" s="38"/>
    </row>
    <row x14ac:dyDescent="0.25" r="137" customHeight="1" ht="39">
      <c r="A137" s="38"/>
      <c r="B137" s="44"/>
      <c r="C137" s="5"/>
      <c r="D137" s="38"/>
      <c r="E137" s="38"/>
      <c r="F137" s="42"/>
      <c r="G137" s="38"/>
      <c r="H137" s="38"/>
      <c r="I137" s="38"/>
      <c r="J137" s="38"/>
      <c r="K137" s="38"/>
      <c r="L137" s="38"/>
      <c r="M137" s="38"/>
      <c r="N137" s="38"/>
      <c r="O137" s="38"/>
    </row>
    <row x14ac:dyDescent="0.25" r="138" customHeight="1" ht="39">
      <c r="A138" s="38"/>
      <c r="B138" s="44"/>
      <c r="C138" s="5"/>
      <c r="D138" s="38"/>
      <c r="E138" s="38"/>
      <c r="F138" s="42"/>
      <c r="G138" s="38"/>
      <c r="H138" s="38"/>
      <c r="I138" s="38"/>
      <c r="J138" s="38"/>
      <c r="K138" s="38"/>
      <c r="L138" s="38"/>
      <c r="M138" s="38"/>
      <c r="N138" s="38"/>
      <c r="O138" s="38"/>
    </row>
  </sheetData>
  <mergeCells count="12">
    <mergeCell ref="D2:F2"/>
    <mergeCell ref="G2:I2"/>
    <mergeCell ref="J2:L2"/>
    <mergeCell ref="M2:O2"/>
    <mergeCell ref="A3:A4"/>
    <mergeCell ref="B3:B4"/>
    <mergeCell ref="C3:C4"/>
    <mergeCell ref="D3:F3"/>
    <mergeCell ref="G3:I3"/>
    <mergeCell ref="J3:L3"/>
    <mergeCell ref="M3:O3"/>
    <mergeCell ref="A62:C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38"/>
  <sheetViews>
    <sheetView workbookViewId="0"/>
  </sheetViews>
  <sheetFormatPr defaultRowHeight="15" x14ac:dyDescent="0.25"/>
  <cols>
    <col min="1" max="1" style="45" width="7.147857142857143" customWidth="1" bestFit="1"/>
    <col min="2" max="2" style="46" width="9.719285714285713" customWidth="1" bestFit="1"/>
    <col min="3" max="3" style="47" width="40.71928571428572" customWidth="1" bestFit="1"/>
    <col min="4" max="4" style="45" width="10.147857142857141" customWidth="1" bestFit="1"/>
    <col min="5" max="5" style="45" width="11.719285714285713" customWidth="1" bestFit="1"/>
    <col min="6" max="6" style="45" width="16.719285714285714" customWidth="1" bestFit="1"/>
    <col min="7" max="7" style="45" width="8.862142857142858" customWidth="1" bestFit="1"/>
    <col min="8" max="8" style="45" width="10.576428571428572" customWidth="1" bestFit="1"/>
    <col min="9" max="9" style="45" width="18.290714285714284" customWidth="1" bestFit="1"/>
    <col min="10" max="10" style="45" width="8.719285714285713" customWidth="1" bestFit="1"/>
    <col min="11" max="11" style="45" width="10.719285714285713" customWidth="1" bestFit="1"/>
    <col min="12" max="12" style="45" width="16.576428571428572" customWidth="1" bestFit="1"/>
    <col min="13" max="13" style="45" width="9.005" customWidth="1" bestFit="1"/>
    <col min="14" max="14" style="45" width="11.005" customWidth="1" bestFit="1"/>
    <col min="15" max="15" style="45" width="16.005" customWidth="1" bestFit="1"/>
    <col min="16" max="16" style="47" width="13.576428571428572" customWidth="1" bestFit="1"/>
  </cols>
  <sheetData>
    <row x14ac:dyDescent="0.25" r="1" customHeight="1" ht="18.75">
      <c r="A1" s="1" t="s">
        <v>0</v>
      </c>
      <c r="B1" s="2"/>
      <c r="C1" s="3"/>
      <c r="D1" s="1"/>
      <c r="E1" s="1"/>
      <c r="F1" s="1"/>
      <c r="G1" s="4"/>
      <c r="H1" s="4"/>
      <c r="I1" s="4"/>
      <c r="J1" s="4"/>
      <c r="K1" s="4"/>
      <c r="L1" s="4"/>
      <c r="M1" s="4"/>
      <c r="N1" s="4"/>
      <c r="O1" s="4"/>
      <c r="P1" s="5"/>
    </row>
    <row x14ac:dyDescent="0.25" r="2" customHeight="1" ht="18.75">
      <c r="A2" s="6" t="s">
        <v>1</v>
      </c>
      <c r="B2" s="7" t="s">
        <v>2</v>
      </c>
      <c r="C2" s="8" t="s">
        <v>3</v>
      </c>
      <c r="D2" s="9" t="s">
        <v>4</v>
      </c>
      <c r="E2" s="9"/>
      <c r="F2" s="9"/>
      <c r="G2" s="9" t="s">
        <v>5</v>
      </c>
      <c r="H2" s="9"/>
      <c r="I2" s="9"/>
      <c r="J2" s="9" t="s">
        <v>6</v>
      </c>
      <c r="K2" s="9"/>
      <c r="L2" s="9"/>
      <c r="M2" s="9" t="s">
        <v>7</v>
      </c>
      <c r="N2" s="9"/>
      <c r="O2" s="9"/>
      <c r="P2" s="5"/>
    </row>
    <row x14ac:dyDescent="0.25" r="3" customHeight="1" ht="18.75">
      <c r="A3" s="10"/>
      <c r="B3" s="11"/>
      <c r="C3" s="12"/>
      <c r="D3" s="13" t="s">
        <v>8</v>
      </c>
      <c r="E3" s="14"/>
      <c r="F3" s="15"/>
      <c r="G3" s="13" t="s">
        <v>8</v>
      </c>
      <c r="H3" s="14"/>
      <c r="I3" s="15"/>
      <c r="J3" s="9" t="s">
        <v>8</v>
      </c>
      <c r="K3" s="15"/>
      <c r="L3" s="15"/>
      <c r="M3" s="13" t="s">
        <v>8</v>
      </c>
      <c r="N3" s="14"/>
      <c r="O3" s="15"/>
      <c r="P3" s="5"/>
    </row>
    <row x14ac:dyDescent="0.25" r="4" customHeight="1" ht="18.75">
      <c r="A4" s="16"/>
      <c r="B4" s="17"/>
      <c r="C4" s="18"/>
      <c r="D4" s="13" t="s">
        <v>9</v>
      </c>
      <c r="E4" s="19" t="s">
        <v>10</v>
      </c>
      <c r="F4" s="13" t="s">
        <v>11</v>
      </c>
      <c r="G4" s="13" t="s">
        <v>9</v>
      </c>
      <c r="H4" s="19" t="s">
        <v>10</v>
      </c>
      <c r="I4" s="13" t="s">
        <v>11</v>
      </c>
      <c r="J4" s="13" t="s">
        <v>9</v>
      </c>
      <c r="K4" s="19" t="s">
        <v>10</v>
      </c>
      <c r="L4" s="13" t="s">
        <v>11</v>
      </c>
      <c r="M4" s="13" t="s">
        <v>9</v>
      </c>
      <c r="N4" s="20" t="s">
        <v>10</v>
      </c>
      <c r="O4" s="13" t="s">
        <v>11</v>
      </c>
      <c r="P4" s="5"/>
    </row>
    <row x14ac:dyDescent="0.25" r="5" customHeight="1" ht="18.75">
      <c r="A5" s="21">
        <v>1</v>
      </c>
      <c r="B5" s="22" t="s">
        <v>12</v>
      </c>
      <c r="C5" s="23" t="s">
        <v>13</v>
      </c>
      <c r="D5" s="24">
        <v>1000</v>
      </c>
      <c r="E5" s="25">
        <v>20000</v>
      </c>
      <c r="F5" s="24">
        <v>20000000</v>
      </c>
      <c r="G5" s="24">
        <v>3900</v>
      </c>
      <c r="H5" s="25">
        <v>20000</v>
      </c>
      <c r="I5" s="26">
        <v>78000000</v>
      </c>
      <c r="J5" s="24">
        <v>630</v>
      </c>
      <c r="K5" s="25">
        <v>20000</v>
      </c>
      <c r="L5" s="24">
        <v>12600000</v>
      </c>
      <c r="M5" s="21">
        <v>810</v>
      </c>
      <c r="N5" s="27">
        <v>20000</v>
      </c>
      <c r="O5" s="21">
        <v>16200000</v>
      </c>
      <c r="P5" s="28"/>
    </row>
    <row x14ac:dyDescent="0.25" r="6" customHeight="1" ht="31.5">
      <c r="A6" s="21">
        <v>2</v>
      </c>
      <c r="B6" s="22" t="s">
        <v>14</v>
      </c>
      <c r="C6" s="23" t="s">
        <v>15</v>
      </c>
      <c r="D6" s="24">
        <v>500</v>
      </c>
      <c r="E6" s="25">
        <v>20000</v>
      </c>
      <c r="F6" s="24">
        <v>10000000</v>
      </c>
      <c r="G6" s="24">
        <f>504+2500</f>
      </c>
      <c r="H6" s="25" t="s">
        <v>16</v>
      </c>
      <c r="I6" s="26">
        <f>10056000+50000000</f>
      </c>
      <c r="J6" s="24">
        <v>260</v>
      </c>
      <c r="K6" s="25">
        <v>20000</v>
      </c>
      <c r="L6" s="24">
        <v>5200000</v>
      </c>
      <c r="M6" s="21">
        <v>710</v>
      </c>
      <c r="N6" s="27">
        <v>20000</v>
      </c>
      <c r="O6" s="21">
        <v>14200000</v>
      </c>
      <c r="P6" s="28"/>
    </row>
    <row x14ac:dyDescent="0.25" r="7" customHeight="1" ht="18.75">
      <c r="A7" s="21">
        <v>3</v>
      </c>
      <c r="B7" s="22" t="s">
        <v>17</v>
      </c>
      <c r="C7" s="23" t="s">
        <v>18</v>
      </c>
      <c r="D7" s="24">
        <v>150</v>
      </c>
      <c r="E7" s="25">
        <v>52500</v>
      </c>
      <c r="F7" s="24">
        <v>7875000</v>
      </c>
      <c r="G7" s="24">
        <v>700</v>
      </c>
      <c r="H7" s="25">
        <v>52500</v>
      </c>
      <c r="I7" s="26">
        <v>36750000</v>
      </c>
      <c r="J7" s="24">
        <v>250</v>
      </c>
      <c r="K7" s="25">
        <v>52500</v>
      </c>
      <c r="L7" s="24">
        <v>13125000</v>
      </c>
      <c r="M7" s="21">
        <v>250</v>
      </c>
      <c r="N7" s="27">
        <v>52500</v>
      </c>
      <c r="O7" s="21">
        <v>13125000</v>
      </c>
      <c r="P7" s="28"/>
    </row>
    <row x14ac:dyDescent="0.25" r="8" customHeight="1" ht="18.75">
      <c r="A8" s="21">
        <v>4</v>
      </c>
      <c r="B8" s="22" t="s">
        <v>19</v>
      </c>
      <c r="C8" s="23" t="s">
        <v>20</v>
      </c>
      <c r="D8" s="24">
        <v>2983</v>
      </c>
      <c r="E8" s="25">
        <v>53000</v>
      </c>
      <c r="F8" s="24">
        <v>158099000</v>
      </c>
      <c r="G8" s="24">
        <v>7657</v>
      </c>
      <c r="H8" s="25">
        <v>53000</v>
      </c>
      <c r="I8" s="26">
        <v>405821000</v>
      </c>
      <c r="J8" s="24">
        <v>1901</v>
      </c>
      <c r="K8" s="25">
        <v>53000</v>
      </c>
      <c r="L8" s="24">
        <v>100753000</v>
      </c>
      <c r="M8" s="21">
        <v>2580</v>
      </c>
      <c r="N8" s="27">
        <v>53000</v>
      </c>
      <c r="O8" s="21">
        <v>136740000</v>
      </c>
      <c r="P8" s="28"/>
    </row>
    <row x14ac:dyDescent="0.25" r="9" customHeight="1" ht="18.75">
      <c r="A9" s="21">
        <v>5</v>
      </c>
      <c r="B9" s="22" t="s">
        <v>21</v>
      </c>
      <c r="C9" s="23" t="s">
        <v>22</v>
      </c>
      <c r="D9" s="24">
        <v>1178</v>
      </c>
      <c r="E9" s="25">
        <v>62500</v>
      </c>
      <c r="F9" s="24">
        <v>73625000</v>
      </c>
      <c r="G9" s="24">
        <v>5302</v>
      </c>
      <c r="H9" s="25">
        <v>62500</v>
      </c>
      <c r="I9" s="26">
        <v>331375000</v>
      </c>
      <c r="J9" s="24">
        <v>940</v>
      </c>
      <c r="K9" s="25">
        <v>62500</v>
      </c>
      <c r="L9" s="24">
        <v>58750000</v>
      </c>
      <c r="M9" s="21">
        <v>1741</v>
      </c>
      <c r="N9" s="27">
        <v>62500</v>
      </c>
      <c r="O9" s="21">
        <v>108812500</v>
      </c>
      <c r="P9" s="28"/>
    </row>
    <row x14ac:dyDescent="0.25" r="10" customHeight="1" ht="18.75">
      <c r="A10" s="21">
        <v>6</v>
      </c>
      <c r="B10" s="22" t="s">
        <v>23</v>
      </c>
      <c r="C10" s="23" t="s">
        <v>24</v>
      </c>
      <c r="D10" s="24">
        <v>90</v>
      </c>
      <c r="E10" s="25">
        <v>90500</v>
      </c>
      <c r="F10" s="24">
        <v>8145000</v>
      </c>
      <c r="G10" s="24">
        <v>410</v>
      </c>
      <c r="H10" s="25">
        <v>90500</v>
      </c>
      <c r="I10" s="26">
        <v>37105000</v>
      </c>
      <c r="J10" s="24">
        <v>80</v>
      </c>
      <c r="K10" s="25">
        <v>90500</v>
      </c>
      <c r="L10" s="24">
        <v>7240000</v>
      </c>
      <c r="M10" s="21">
        <v>20</v>
      </c>
      <c r="N10" s="27">
        <v>90500</v>
      </c>
      <c r="O10" s="21">
        <v>1810000</v>
      </c>
      <c r="P10" s="28"/>
    </row>
    <row x14ac:dyDescent="0.25" r="11" customHeight="1" ht="18.75">
      <c r="A11" s="21">
        <v>7</v>
      </c>
      <c r="B11" s="22" t="s">
        <v>25</v>
      </c>
      <c r="C11" s="23" t="s">
        <v>26</v>
      </c>
      <c r="D11" s="24">
        <v>171</v>
      </c>
      <c r="E11" s="25">
        <v>64000</v>
      </c>
      <c r="F11" s="24">
        <v>10944000</v>
      </c>
      <c r="G11" s="24">
        <v>500</v>
      </c>
      <c r="H11" s="25">
        <v>64000</v>
      </c>
      <c r="I11" s="26">
        <v>32000000</v>
      </c>
      <c r="J11" s="24">
        <v>200</v>
      </c>
      <c r="K11" s="25">
        <v>64000</v>
      </c>
      <c r="L11" s="24">
        <v>12800000</v>
      </c>
      <c r="M11" s="21">
        <v>30</v>
      </c>
      <c r="N11" s="27">
        <v>64000</v>
      </c>
      <c r="O11" s="21">
        <v>1920000</v>
      </c>
      <c r="P11" s="28"/>
    </row>
    <row x14ac:dyDescent="0.25" r="12" customHeight="1" ht="18.75">
      <c r="A12" s="21">
        <v>8</v>
      </c>
      <c r="B12" s="22" t="s">
        <v>27</v>
      </c>
      <c r="C12" s="23" t="s">
        <v>28</v>
      </c>
      <c r="D12" s="24">
        <v>511</v>
      </c>
      <c r="E12" s="25">
        <v>64500</v>
      </c>
      <c r="F12" s="24">
        <v>32959500</v>
      </c>
      <c r="G12" s="24">
        <v>1850</v>
      </c>
      <c r="H12" s="25">
        <v>64500</v>
      </c>
      <c r="I12" s="26">
        <v>119325000</v>
      </c>
      <c r="J12" s="24">
        <v>750</v>
      </c>
      <c r="K12" s="25">
        <v>64500</v>
      </c>
      <c r="L12" s="24">
        <v>48375000</v>
      </c>
      <c r="M12" s="21">
        <v>250</v>
      </c>
      <c r="N12" s="27">
        <v>64500</v>
      </c>
      <c r="O12" s="21">
        <v>16125000</v>
      </c>
      <c r="P12" s="28"/>
    </row>
    <row x14ac:dyDescent="0.25" r="13" customHeight="1" ht="31.5">
      <c r="A13" s="21">
        <v>9</v>
      </c>
      <c r="B13" s="22" t="s">
        <v>29</v>
      </c>
      <c r="C13" s="23" t="s">
        <v>30</v>
      </c>
      <c r="D13" s="24">
        <v>24</v>
      </c>
      <c r="E13" s="25">
        <v>68500</v>
      </c>
      <c r="F13" s="24">
        <v>1644000</v>
      </c>
      <c r="G13" s="24">
        <v>252</v>
      </c>
      <c r="H13" s="25" t="s">
        <v>31</v>
      </c>
      <c r="I13" s="26">
        <v>17221000</v>
      </c>
      <c r="J13" s="24">
        <v>0</v>
      </c>
      <c r="K13" s="25">
        <v>68500</v>
      </c>
      <c r="L13" s="24">
        <v>0</v>
      </c>
      <c r="M13" s="21">
        <v>0</v>
      </c>
      <c r="N13" s="29"/>
      <c r="O13" s="21">
        <v>0</v>
      </c>
      <c r="P13" s="28"/>
    </row>
    <row x14ac:dyDescent="0.25" r="14" customHeight="1" ht="18.75">
      <c r="A14" s="21">
        <v>10</v>
      </c>
      <c r="B14" s="22" t="s">
        <v>32</v>
      </c>
      <c r="C14" s="23" t="s">
        <v>33</v>
      </c>
      <c r="D14" s="24">
        <v>221</v>
      </c>
      <c r="E14" s="25">
        <v>72500</v>
      </c>
      <c r="F14" s="24">
        <v>16022500</v>
      </c>
      <c r="G14" s="24">
        <v>400</v>
      </c>
      <c r="H14" s="25">
        <v>72500</v>
      </c>
      <c r="I14" s="26">
        <v>29000000</v>
      </c>
      <c r="J14" s="24">
        <v>138</v>
      </c>
      <c r="K14" s="25">
        <v>72500</v>
      </c>
      <c r="L14" s="24">
        <v>10005000</v>
      </c>
      <c r="M14" s="21">
        <v>0</v>
      </c>
      <c r="N14" s="29"/>
      <c r="O14" s="21">
        <v>0</v>
      </c>
      <c r="P14" s="28"/>
    </row>
    <row x14ac:dyDescent="0.25" r="15" customHeight="1" ht="31.5">
      <c r="A15" s="21">
        <v>11</v>
      </c>
      <c r="B15" s="22" t="s">
        <v>34</v>
      </c>
      <c r="C15" s="23" t="s">
        <v>35</v>
      </c>
      <c r="D15" s="24">
        <v>360</v>
      </c>
      <c r="E15" s="25">
        <v>76500</v>
      </c>
      <c r="F15" s="24">
        <v>27540000</v>
      </c>
      <c r="G15" s="24">
        <f>100+803</f>
      </c>
      <c r="H15" s="25" t="s">
        <v>36</v>
      </c>
      <c r="I15" s="26">
        <f>7573500+61429500</f>
      </c>
      <c r="J15" s="24">
        <v>250</v>
      </c>
      <c r="K15" s="25">
        <v>76500</v>
      </c>
      <c r="L15" s="24">
        <v>19125000</v>
      </c>
      <c r="M15" s="21">
        <v>50</v>
      </c>
      <c r="N15" s="27">
        <v>76500</v>
      </c>
      <c r="O15" s="21">
        <v>3825000</v>
      </c>
      <c r="P15" s="28"/>
    </row>
    <row x14ac:dyDescent="0.25" r="16" customHeight="1" ht="18.75">
      <c r="A16" s="21">
        <v>12</v>
      </c>
      <c r="B16" s="22" t="s">
        <v>37</v>
      </c>
      <c r="C16" s="23" t="s">
        <v>38</v>
      </c>
      <c r="D16" s="24">
        <v>250</v>
      </c>
      <c r="E16" s="25">
        <v>79000</v>
      </c>
      <c r="F16" s="24">
        <v>19750000</v>
      </c>
      <c r="G16" s="24">
        <v>850</v>
      </c>
      <c r="H16" s="25">
        <v>79000</v>
      </c>
      <c r="I16" s="26">
        <v>67150000</v>
      </c>
      <c r="J16" s="24">
        <v>179</v>
      </c>
      <c r="K16" s="25">
        <v>79000</v>
      </c>
      <c r="L16" s="24">
        <v>14141000</v>
      </c>
      <c r="M16" s="21">
        <v>100</v>
      </c>
      <c r="N16" s="27">
        <v>79000</v>
      </c>
      <c r="O16" s="21">
        <v>7900000</v>
      </c>
      <c r="P16" s="28"/>
    </row>
    <row x14ac:dyDescent="0.25" r="17" customHeight="1" ht="33.75">
      <c r="A17" s="21">
        <v>13</v>
      </c>
      <c r="B17" s="22" t="s">
        <v>39</v>
      </c>
      <c r="C17" s="23" t="s">
        <v>40</v>
      </c>
      <c r="D17" s="24">
        <v>1000</v>
      </c>
      <c r="E17" s="25">
        <v>79500</v>
      </c>
      <c r="F17" s="24">
        <v>79500000</v>
      </c>
      <c r="G17" s="24">
        <f>203+2550</f>
      </c>
      <c r="H17" s="25" t="s">
        <v>41</v>
      </c>
      <c r="I17" s="26">
        <f>16062000+202725000</f>
      </c>
      <c r="J17" s="24">
        <v>480</v>
      </c>
      <c r="K17" s="25" t="s">
        <v>41</v>
      </c>
      <c r="L17" s="24">
        <v>38160000</v>
      </c>
      <c r="M17" s="21">
        <v>141</v>
      </c>
      <c r="N17" s="27">
        <v>79500</v>
      </c>
      <c r="O17" s="21">
        <v>11209500</v>
      </c>
      <c r="P17" s="28"/>
    </row>
    <row x14ac:dyDescent="0.25" r="18" customHeight="1" ht="33.75">
      <c r="A18" s="21">
        <v>14</v>
      </c>
      <c r="B18" s="22" t="s">
        <v>42</v>
      </c>
      <c r="C18" s="23" t="s">
        <v>43</v>
      </c>
      <c r="D18" s="24">
        <v>100</v>
      </c>
      <c r="E18" s="25">
        <v>100000</v>
      </c>
      <c r="F18" s="24">
        <v>10000000</v>
      </c>
      <c r="G18" s="24">
        <v>700</v>
      </c>
      <c r="H18" s="25">
        <v>100000</v>
      </c>
      <c r="I18" s="26">
        <v>70000000</v>
      </c>
      <c r="J18" s="24">
        <v>80</v>
      </c>
      <c r="K18" s="25">
        <v>100000</v>
      </c>
      <c r="L18" s="24">
        <v>8000000</v>
      </c>
      <c r="M18" s="21">
        <v>40</v>
      </c>
      <c r="N18" s="27">
        <v>100000</v>
      </c>
      <c r="O18" s="21">
        <v>4000000</v>
      </c>
      <c r="P18" s="28"/>
    </row>
    <row x14ac:dyDescent="0.25" r="19" customHeight="1" ht="33.75">
      <c r="A19" s="21">
        <v>15</v>
      </c>
      <c r="B19" s="22" t="s">
        <v>44</v>
      </c>
      <c r="C19" s="23" t="s">
        <v>45</v>
      </c>
      <c r="D19" s="24">
        <v>1072</v>
      </c>
      <c r="E19" s="25">
        <v>84500</v>
      </c>
      <c r="F19" s="24">
        <v>90584000</v>
      </c>
      <c r="G19" s="24">
        <v>3020</v>
      </c>
      <c r="H19" s="25">
        <v>84500</v>
      </c>
      <c r="I19" s="26">
        <v>255190000</v>
      </c>
      <c r="J19" s="24">
        <v>850</v>
      </c>
      <c r="K19" s="25">
        <v>84500</v>
      </c>
      <c r="L19" s="24">
        <v>71825000</v>
      </c>
      <c r="M19" s="21">
        <v>850</v>
      </c>
      <c r="N19" s="27">
        <v>84500</v>
      </c>
      <c r="O19" s="21">
        <v>71825000</v>
      </c>
      <c r="P19" s="28"/>
    </row>
    <row x14ac:dyDescent="0.25" r="20" customHeight="1" ht="33.75">
      <c r="A20" s="21">
        <v>16</v>
      </c>
      <c r="B20" s="22" t="s">
        <v>46</v>
      </c>
      <c r="C20" s="23" t="s">
        <v>47</v>
      </c>
      <c r="D20" s="24">
        <v>1180</v>
      </c>
      <c r="E20" s="25">
        <v>90000</v>
      </c>
      <c r="F20" s="24">
        <v>106200000</v>
      </c>
      <c r="G20" s="24">
        <v>3650</v>
      </c>
      <c r="H20" s="25">
        <v>90000</v>
      </c>
      <c r="I20" s="26">
        <v>328500000</v>
      </c>
      <c r="J20" s="24">
        <v>1279</v>
      </c>
      <c r="K20" s="25">
        <v>90000</v>
      </c>
      <c r="L20" s="24">
        <v>115110000</v>
      </c>
      <c r="M20" s="21">
        <v>1500</v>
      </c>
      <c r="N20" s="27">
        <v>90000</v>
      </c>
      <c r="O20" s="21">
        <v>135000000</v>
      </c>
      <c r="P20" s="28"/>
    </row>
    <row x14ac:dyDescent="0.25" r="21" customHeight="1" ht="33.75">
      <c r="A21" s="21">
        <v>17</v>
      </c>
      <c r="B21" s="22" t="s">
        <v>48</v>
      </c>
      <c r="C21" s="23" t="s">
        <v>49</v>
      </c>
      <c r="D21" s="24">
        <v>38</v>
      </c>
      <c r="E21" s="25">
        <v>101000</v>
      </c>
      <c r="F21" s="24">
        <v>3838000</v>
      </c>
      <c r="G21" s="24">
        <v>150</v>
      </c>
      <c r="H21" s="25">
        <v>101000</v>
      </c>
      <c r="I21" s="26">
        <v>15150000</v>
      </c>
      <c r="J21" s="24">
        <v>25</v>
      </c>
      <c r="K21" s="25">
        <v>101000</v>
      </c>
      <c r="L21" s="24">
        <v>2525000</v>
      </c>
      <c r="M21" s="21"/>
      <c r="N21" s="29"/>
      <c r="O21" s="21"/>
      <c r="P21" s="28"/>
    </row>
    <row x14ac:dyDescent="0.25" r="22" customHeight="1" ht="33.75">
      <c r="A22" s="21">
        <v>18</v>
      </c>
      <c r="B22" s="22" t="s">
        <v>50</v>
      </c>
      <c r="C22" s="23" t="s">
        <v>51</v>
      </c>
      <c r="D22" s="24">
        <v>30</v>
      </c>
      <c r="E22" s="30">
        <v>102000</v>
      </c>
      <c r="F22" s="24">
        <v>3060000</v>
      </c>
      <c r="G22" s="24">
        <v>218</v>
      </c>
      <c r="H22" s="30">
        <v>102000</v>
      </c>
      <c r="I22" s="26">
        <v>22236000</v>
      </c>
      <c r="J22" s="24">
        <v>50</v>
      </c>
      <c r="K22" s="30">
        <v>102000</v>
      </c>
      <c r="L22" s="24">
        <v>5100000</v>
      </c>
      <c r="M22" s="21"/>
      <c r="N22" s="29"/>
      <c r="O22" s="21"/>
      <c r="P22" s="28"/>
    </row>
    <row x14ac:dyDescent="0.25" r="23" customHeight="1" ht="33.75">
      <c r="A23" s="21">
        <v>19</v>
      </c>
      <c r="B23" s="22" t="s">
        <v>52</v>
      </c>
      <c r="C23" s="23" t="s">
        <v>53</v>
      </c>
      <c r="D23" s="24">
        <v>100</v>
      </c>
      <c r="E23" s="25">
        <v>134000</v>
      </c>
      <c r="F23" s="24">
        <v>13400000</v>
      </c>
      <c r="G23" s="24">
        <v>1150</v>
      </c>
      <c r="H23" s="25">
        <v>134000</v>
      </c>
      <c r="I23" s="26">
        <v>154100000</v>
      </c>
      <c r="J23" s="24">
        <v>170</v>
      </c>
      <c r="K23" s="25">
        <v>134000</v>
      </c>
      <c r="L23" s="24">
        <v>22780000</v>
      </c>
      <c r="M23" s="21"/>
      <c r="N23" s="29"/>
      <c r="O23" s="21"/>
      <c r="P23" s="28"/>
    </row>
    <row x14ac:dyDescent="0.25" r="24" customHeight="1" ht="33.75">
      <c r="A24" s="21">
        <v>20</v>
      </c>
      <c r="B24" s="22" t="s">
        <v>54</v>
      </c>
      <c r="C24" s="23" t="s">
        <v>55</v>
      </c>
      <c r="D24" s="24">
        <v>100</v>
      </c>
      <c r="E24" s="25">
        <v>136000</v>
      </c>
      <c r="F24" s="24">
        <v>13600000</v>
      </c>
      <c r="G24" s="24">
        <v>500</v>
      </c>
      <c r="H24" s="25">
        <v>136000</v>
      </c>
      <c r="I24" s="26">
        <v>68000000</v>
      </c>
      <c r="J24" s="24">
        <v>161</v>
      </c>
      <c r="K24" s="25">
        <v>136000</v>
      </c>
      <c r="L24" s="24">
        <v>21896000</v>
      </c>
      <c r="M24" s="21"/>
      <c r="N24" s="29"/>
      <c r="O24" s="21"/>
      <c r="P24" s="28"/>
    </row>
    <row x14ac:dyDescent="0.25" r="25" customHeight="1" ht="33.75">
      <c r="A25" s="21">
        <v>21</v>
      </c>
      <c r="B25" s="22" t="s">
        <v>56</v>
      </c>
      <c r="C25" s="23" t="s">
        <v>57</v>
      </c>
      <c r="D25" s="24">
        <v>100</v>
      </c>
      <c r="E25" s="25">
        <v>159000</v>
      </c>
      <c r="F25" s="24">
        <v>15900000</v>
      </c>
      <c r="G25" s="24">
        <v>450</v>
      </c>
      <c r="H25" s="25">
        <v>159000</v>
      </c>
      <c r="I25" s="26">
        <v>71550000</v>
      </c>
      <c r="J25" s="24">
        <v>140</v>
      </c>
      <c r="K25" s="25">
        <v>159000</v>
      </c>
      <c r="L25" s="24">
        <v>22260000</v>
      </c>
      <c r="M25" s="21">
        <v>110</v>
      </c>
      <c r="N25" s="27">
        <v>159000</v>
      </c>
      <c r="O25" s="21">
        <v>17490000</v>
      </c>
      <c r="P25" s="28"/>
    </row>
    <row x14ac:dyDescent="0.25" r="26" customHeight="1" ht="33.75">
      <c r="A26" s="21">
        <v>22</v>
      </c>
      <c r="B26" s="22" t="s">
        <v>58</v>
      </c>
      <c r="C26" s="23" t="s">
        <v>59</v>
      </c>
      <c r="D26" s="24">
        <v>690</v>
      </c>
      <c r="E26" s="25">
        <v>118000</v>
      </c>
      <c r="F26" s="24">
        <v>81420000</v>
      </c>
      <c r="G26" s="24">
        <f>456+1300</f>
      </c>
      <c r="H26" s="25" t="s">
        <v>60</v>
      </c>
      <c r="I26" s="26">
        <f>53568000+153400000</f>
      </c>
      <c r="J26" s="24">
        <v>580</v>
      </c>
      <c r="K26" s="25">
        <v>118000</v>
      </c>
      <c r="L26" s="24">
        <v>68440000</v>
      </c>
      <c r="M26" s="21">
        <v>280</v>
      </c>
      <c r="N26" s="27">
        <v>118000</v>
      </c>
      <c r="O26" s="21">
        <v>33040000</v>
      </c>
      <c r="P26" s="28"/>
    </row>
    <row x14ac:dyDescent="0.25" r="27" customHeight="1" ht="33.75">
      <c r="A27" s="21">
        <v>23</v>
      </c>
      <c r="B27" s="22" t="s">
        <v>61</v>
      </c>
      <c r="C27" s="23" t="s">
        <v>62</v>
      </c>
      <c r="D27" s="24">
        <v>993</v>
      </c>
      <c r="E27" s="25">
        <v>119000</v>
      </c>
      <c r="F27" s="24">
        <v>118167000</v>
      </c>
      <c r="G27" s="24">
        <f>2412+1450</f>
      </c>
      <c r="H27" s="25" t="s">
        <v>63</v>
      </c>
      <c r="I27" s="26">
        <f>286548000+172550000</f>
      </c>
      <c r="J27" s="24">
        <v>869</v>
      </c>
      <c r="K27" s="25">
        <v>119000</v>
      </c>
      <c r="L27" s="24">
        <v>103411000</v>
      </c>
      <c r="M27" s="21">
        <v>450</v>
      </c>
      <c r="N27" s="27">
        <v>119000</v>
      </c>
      <c r="O27" s="21">
        <v>53550000</v>
      </c>
      <c r="P27" s="28"/>
    </row>
    <row x14ac:dyDescent="0.25" r="28" customHeight="1" ht="33.75">
      <c r="A28" s="21">
        <v>24</v>
      </c>
      <c r="B28" s="22" t="s">
        <v>64</v>
      </c>
      <c r="C28" s="23" t="s">
        <v>65</v>
      </c>
      <c r="D28" s="24">
        <v>250</v>
      </c>
      <c r="E28" s="25">
        <v>128000</v>
      </c>
      <c r="F28" s="24">
        <v>32000000</v>
      </c>
      <c r="G28" s="24">
        <f>516+799</f>
      </c>
      <c r="H28" s="25" t="s">
        <v>66</v>
      </c>
      <c r="I28" s="26">
        <f>65598000+102272000</f>
      </c>
      <c r="J28" s="24">
        <v>410</v>
      </c>
      <c r="K28" s="25">
        <v>128000</v>
      </c>
      <c r="L28" s="24">
        <v>52480000</v>
      </c>
      <c r="M28" s="21">
        <v>130</v>
      </c>
      <c r="N28" s="27">
        <v>128000</v>
      </c>
      <c r="O28" s="21">
        <v>16640000</v>
      </c>
      <c r="P28" s="28"/>
    </row>
    <row x14ac:dyDescent="0.25" r="29" customHeight="1" ht="33.75">
      <c r="A29" s="21">
        <v>25</v>
      </c>
      <c r="B29" s="22" t="s">
        <v>67</v>
      </c>
      <c r="C29" s="23" t="s">
        <v>68</v>
      </c>
      <c r="D29" s="24"/>
      <c r="E29" s="25"/>
      <c r="F29" s="24"/>
      <c r="G29" s="24">
        <v>3</v>
      </c>
      <c r="H29" s="25">
        <v>87000</v>
      </c>
      <c r="I29" s="26">
        <v>261000</v>
      </c>
      <c r="J29" s="24">
        <v>0</v>
      </c>
      <c r="K29" s="25">
        <v>87000</v>
      </c>
      <c r="L29" s="24">
        <v>0</v>
      </c>
      <c r="M29" s="21"/>
      <c r="N29" s="29"/>
      <c r="O29" s="21"/>
      <c r="P29" s="28"/>
    </row>
    <row x14ac:dyDescent="0.25" r="30" customHeight="1" ht="33.75">
      <c r="A30" s="21">
        <v>26</v>
      </c>
      <c r="B30" s="22" t="s">
        <v>69</v>
      </c>
      <c r="C30" s="23" t="s">
        <v>70</v>
      </c>
      <c r="D30" s="24"/>
      <c r="E30" s="25"/>
      <c r="F30" s="24"/>
      <c r="G30" s="24">
        <v>271</v>
      </c>
      <c r="H30" s="25" t="s">
        <v>71</v>
      </c>
      <c r="I30" s="26">
        <v>37898000</v>
      </c>
      <c r="J30" s="24">
        <v>110</v>
      </c>
      <c r="K30" s="25">
        <v>140000</v>
      </c>
      <c r="L30" s="24">
        <v>15400000</v>
      </c>
      <c r="M30" s="21">
        <v>40</v>
      </c>
      <c r="N30" s="27">
        <v>140000</v>
      </c>
      <c r="O30" s="21">
        <v>5600000</v>
      </c>
      <c r="P30" s="28"/>
    </row>
    <row x14ac:dyDescent="0.25" r="31" customHeight="1" ht="33.75">
      <c r="A31" s="21">
        <v>27</v>
      </c>
      <c r="B31" s="22" t="s">
        <v>72</v>
      </c>
      <c r="C31" s="23" t="s">
        <v>73</v>
      </c>
      <c r="D31" s="24">
        <v>762</v>
      </c>
      <c r="E31" s="25">
        <v>134500</v>
      </c>
      <c r="F31" s="24">
        <v>102489000</v>
      </c>
      <c r="G31" s="24">
        <v>1780</v>
      </c>
      <c r="H31" s="25">
        <v>134500</v>
      </c>
      <c r="I31" s="26">
        <v>239410000</v>
      </c>
      <c r="J31" s="24">
        <v>450</v>
      </c>
      <c r="K31" s="25">
        <v>134500</v>
      </c>
      <c r="L31" s="24">
        <v>60525000</v>
      </c>
      <c r="M31" s="21">
        <v>300</v>
      </c>
      <c r="N31" s="27">
        <v>134500</v>
      </c>
      <c r="O31" s="21">
        <v>40350000</v>
      </c>
      <c r="P31" s="28"/>
    </row>
    <row x14ac:dyDescent="0.25" r="32" customHeight="1" ht="33.75">
      <c r="A32" s="21">
        <v>28</v>
      </c>
      <c r="B32" s="22" t="s">
        <v>74</v>
      </c>
      <c r="C32" s="23" t="s">
        <v>75</v>
      </c>
      <c r="D32" s="24">
        <v>1907</v>
      </c>
      <c r="E32" s="25">
        <v>139000</v>
      </c>
      <c r="F32" s="24">
        <v>265073000</v>
      </c>
      <c r="G32" s="24">
        <v>5115</v>
      </c>
      <c r="H32" s="25">
        <v>139000</v>
      </c>
      <c r="I32" s="26">
        <v>710985000</v>
      </c>
      <c r="J32" s="24">
        <v>1400</v>
      </c>
      <c r="K32" s="25">
        <v>139000</v>
      </c>
      <c r="L32" s="24">
        <v>194600000</v>
      </c>
      <c r="M32" s="21">
        <v>1250</v>
      </c>
      <c r="N32" s="27">
        <v>139000</v>
      </c>
      <c r="O32" s="21">
        <v>173750000</v>
      </c>
      <c r="P32" s="28"/>
    </row>
    <row x14ac:dyDescent="0.25" r="33" customHeight="1" ht="33.75">
      <c r="A33" s="21">
        <v>29</v>
      </c>
      <c r="B33" s="22" t="s">
        <v>76</v>
      </c>
      <c r="C33" s="23" t="s">
        <v>77</v>
      </c>
      <c r="D33" s="24">
        <v>632</v>
      </c>
      <c r="E33" s="25">
        <v>168000</v>
      </c>
      <c r="F33" s="24">
        <v>106176000</v>
      </c>
      <c r="G33" s="24">
        <v>1290</v>
      </c>
      <c r="H33" s="25">
        <v>168000</v>
      </c>
      <c r="I33" s="26">
        <v>216720000</v>
      </c>
      <c r="J33" s="24">
        <v>448</v>
      </c>
      <c r="K33" s="25">
        <v>168000</v>
      </c>
      <c r="L33" s="24">
        <v>75264000</v>
      </c>
      <c r="M33" s="21">
        <v>332</v>
      </c>
      <c r="N33" s="27">
        <v>168000</v>
      </c>
      <c r="O33" s="21">
        <v>55776000</v>
      </c>
      <c r="P33" s="28"/>
    </row>
    <row x14ac:dyDescent="0.25" r="34" customHeight="1" ht="33.75">
      <c r="A34" s="21">
        <v>30</v>
      </c>
      <c r="B34" s="22" t="s">
        <v>78</v>
      </c>
      <c r="C34" s="23" t="s">
        <v>79</v>
      </c>
      <c r="D34" s="24">
        <v>1070</v>
      </c>
      <c r="E34" s="25">
        <v>171000</v>
      </c>
      <c r="F34" s="24">
        <v>182970000</v>
      </c>
      <c r="G34" s="24">
        <v>2967</v>
      </c>
      <c r="H34" s="25">
        <v>171000</v>
      </c>
      <c r="I34" s="26">
        <v>507357000</v>
      </c>
      <c r="J34" s="24">
        <v>875</v>
      </c>
      <c r="K34" s="25">
        <v>171000</v>
      </c>
      <c r="L34" s="24">
        <v>149625000</v>
      </c>
      <c r="M34" s="21">
        <v>580</v>
      </c>
      <c r="N34" s="27">
        <v>171000</v>
      </c>
      <c r="O34" s="21">
        <v>99180000</v>
      </c>
      <c r="P34" s="28"/>
    </row>
    <row x14ac:dyDescent="0.25" r="35" customHeight="1" ht="33.75">
      <c r="A35" s="21">
        <v>31</v>
      </c>
      <c r="B35" s="22" t="s">
        <v>80</v>
      </c>
      <c r="C35" s="23" t="s">
        <v>81</v>
      </c>
      <c r="D35" s="24">
        <v>175</v>
      </c>
      <c r="E35" s="25">
        <v>190500</v>
      </c>
      <c r="F35" s="24">
        <v>33337500</v>
      </c>
      <c r="G35" s="24">
        <v>870</v>
      </c>
      <c r="H35" s="25">
        <v>190500</v>
      </c>
      <c r="I35" s="26">
        <v>165735000</v>
      </c>
      <c r="J35" s="24">
        <v>190</v>
      </c>
      <c r="K35" s="25">
        <v>190500</v>
      </c>
      <c r="L35" s="24">
        <v>36195000</v>
      </c>
      <c r="M35" s="21">
        <v>200</v>
      </c>
      <c r="N35" s="27">
        <v>190500</v>
      </c>
      <c r="O35" s="21">
        <v>38100000</v>
      </c>
      <c r="P35" s="28"/>
    </row>
    <row x14ac:dyDescent="0.25" r="36" customHeight="1" ht="33.75">
      <c r="A36" s="21">
        <v>32</v>
      </c>
      <c r="B36" s="22" t="s">
        <v>82</v>
      </c>
      <c r="C36" s="23" t="s">
        <v>83</v>
      </c>
      <c r="D36" s="24">
        <v>400</v>
      </c>
      <c r="E36" s="25">
        <v>206000</v>
      </c>
      <c r="F36" s="24">
        <v>82400000</v>
      </c>
      <c r="G36" s="24">
        <v>900</v>
      </c>
      <c r="H36" s="25">
        <v>206000</v>
      </c>
      <c r="I36" s="26">
        <v>185400000</v>
      </c>
      <c r="J36" s="24">
        <v>221</v>
      </c>
      <c r="K36" s="25">
        <v>206000</v>
      </c>
      <c r="L36" s="24">
        <v>45526000</v>
      </c>
      <c r="M36" s="21">
        <v>120</v>
      </c>
      <c r="N36" s="29">
        <v>206000</v>
      </c>
      <c r="O36" s="21">
        <v>24720000</v>
      </c>
      <c r="P36" s="28"/>
    </row>
    <row x14ac:dyDescent="0.25" r="37" customHeight="1" ht="33.75">
      <c r="A37" s="21">
        <v>33</v>
      </c>
      <c r="B37" s="22" t="s">
        <v>84</v>
      </c>
      <c r="C37" s="23" t="s">
        <v>85</v>
      </c>
      <c r="D37" s="24">
        <v>200</v>
      </c>
      <c r="E37" s="25">
        <v>206000</v>
      </c>
      <c r="F37" s="24">
        <v>41200000</v>
      </c>
      <c r="G37" s="24">
        <v>1000</v>
      </c>
      <c r="H37" s="25">
        <v>206000</v>
      </c>
      <c r="I37" s="26">
        <v>206000000</v>
      </c>
      <c r="J37" s="24">
        <v>310</v>
      </c>
      <c r="K37" s="25">
        <v>206000</v>
      </c>
      <c r="L37" s="24">
        <v>63860000</v>
      </c>
      <c r="M37" s="21">
        <v>200</v>
      </c>
      <c r="N37" s="27">
        <v>206000</v>
      </c>
      <c r="O37" s="21">
        <v>41200000</v>
      </c>
      <c r="P37" s="28"/>
    </row>
    <row x14ac:dyDescent="0.25" r="38" customHeight="1" ht="33.75">
      <c r="A38" s="21">
        <v>34</v>
      </c>
      <c r="B38" s="22" t="s">
        <v>86</v>
      </c>
      <c r="C38" s="23" t="s">
        <v>87</v>
      </c>
      <c r="D38" s="24">
        <v>1565</v>
      </c>
      <c r="E38" s="25">
        <v>213500</v>
      </c>
      <c r="F38" s="24">
        <v>334127500</v>
      </c>
      <c r="G38" s="24">
        <v>3875</v>
      </c>
      <c r="H38" s="25">
        <v>213500</v>
      </c>
      <c r="I38" s="26">
        <v>827312500</v>
      </c>
      <c r="J38" s="24">
        <v>1530</v>
      </c>
      <c r="K38" s="25">
        <v>213500</v>
      </c>
      <c r="L38" s="24">
        <v>326655000</v>
      </c>
      <c r="M38" s="21">
        <v>1159</v>
      </c>
      <c r="N38" s="27">
        <v>213500</v>
      </c>
      <c r="O38" s="21">
        <v>247446500</v>
      </c>
      <c r="P38" s="28"/>
    </row>
    <row x14ac:dyDescent="0.25" r="39" customHeight="1" ht="33.75">
      <c r="A39" s="21">
        <v>35</v>
      </c>
      <c r="B39" s="31" t="s">
        <v>88</v>
      </c>
      <c r="C39" s="32" t="s">
        <v>89</v>
      </c>
      <c r="D39" s="24">
        <v>200</v>
      </c>
      <c r="E39" s="25" t="s">
        <v>90</v>
      </c>
      <c r="F39" s="24">
        <v>43780000</v>
      </c>
      <c r="G39" s="24">
        <v>1050</v>
      </c>
      <c r="H39" s="25" t="s">
        <v>90</v>
      </c>
      <c r="I39" s="26">
        <v>228513000</v>
      </c>
      <c r="J39" s="24">
        <f>433+100</f>
      </c>
      <c r="K39" s="25" t="s">
        <v>91</v>
      </c>
      <c r="L39" s="24">
        <f>93744500+22850000</f>
      </c>
      <c r="M39" s="21">
        <v>230</v>
      </c>
      <c r="N39" s="27">
        <v>216500</v>
      </c>
      <c r="O39" s="21">
        <v>49795000</v>
      </c>
      <c r="P39" s="28"/>
    </row>
    <row x14ac:dyDescent="0.25" r="40" customHeight="1" ht="33.75">
      <c r="A40" s="21">
        <v>36</v>
      </c>
      <c r="B40" s="22" t="s">
        <v>92</v>
      </c>
      <c r="C40" s="23" t="s">
        <v>93</v>
      </c>
      <c r="D40" s="24">
        <v>30</v>
      </c>
      <c r="E40" s="25">
        <v>128500</v>
      </c>
      <c r="F40" s="24">
        <v>3855000</v>
      </c>
      <c r="G40" s="24">
        <v>310</v>
      </c>
      <c r="H40" s="25">
        <v>128500</v>
      </c>
      <c r="I40" s="26">
        <v>39835000</v>
      </c>
      <c r="J40" s="24">
        <v>40</v>
      </c>
      <c r="K40" s="25">
        <v>128500</v>
      </c>
      <c r="L40" s="24">
        <v>5140000</v>
      </c>
      <c r="M40" s="21"/>
      <c r="N40" s="29"/>
      <c r="O40" s="21"/>
      <c r="P40" s="28"/>
    </row>
    <row x14ac:dyDescent="0.25" r="41" customHeight="1" ht="33.75">
      <c r="A41" s="21">
        <v>37</v>
      </c>
      <c r="B41" s="22" t="s">
        <v>94</v>
      </c>
      <c r="C41" s="23" t="s">
        <v>95</v>
      </c>
      <c r="D41" s="24">
        <v>150</v>
      </c>
      <c r="E41" s="25">
        <v>247000</v>
      </c>
      <c r="F41" s="24">
        <v>37050000</v>
      </c>
      <c r="G41" s="24">
        <f>29+272</f>
      </c>
      <c r="H41" s="25" t="s">
        <v>96</v>
      </c>
      <c r="I41" s="26">
        <f>7093000+67184000</f>
      </c>
      <c r="J41" s="24">
        <v>100</v>
      </c>
      <c r="K41" s="25">
        <v>247000</v>
      </c>
      <c r="L41" s="24">
        <v>24700000</v>
      </c>
      <c r="M41" s="21">
        <v>70</v>
      </c>
      <c r="N41" s="27">
        <v>247000</v>
      </c>
      <c r="O41" s="21">
        <v>17290000</v>
      </c>
      <c r="P41" s="28"/>
    </row>
    <row x14ac:dyDescent="0.25" r="42" customHeight="1" ht="33.75">
      <c r="A42" s="21">
        <v>38</v>
      </c>
      <c r="B42" s="22" t="s">
        <v>97</v>
      </c>
      <c r="C42" s="23" t="s">
        <v>98</v>
      </c>
      <c r="D42" s="24">
        <v>650</v>
      </c>
      <c r="E42" s="25">
        <v>256000</v>
      </c>
      <c r="F42" s="24">
        <v>166400000</v>
      </c>
      <c r="G42" s="24">
        <v>1400</v>
      </c>
      <c r="H42" s="25">
        <v>256000</v>
      </c>
      <c r="I42" s="26">
        <v>358400000</v>
      </c>
      <c r="J42" s="24">
        <v>760</v>
      </c>
      <c r="K42" s="25">
        <v>256000</v>
      </c>
      <c r="L42" s="24">
        <v>194560000</v>
      </c>
      <c r="M42" s="21">
        <v>310</v>
      </c>
      <c r="N42" s="29">
        <v>256000</v>
      </c>
      <c r="O42" s="21">
        <v>79360000</v>
      </c>
      <c r="P42" s="28"/>
    </row>
    <row x14ac:dyDescent="0.25" r="43" customHeight="1" ht="33.75">
      <c r="A43" s="21">
        <v>39</v>
      </c>
      <c r="B43" s="22" t="s">
        <v>99</v>
      </c>
      <c r="C43" s="23" t="s">
        <v>100</v>
      </c>
      <c r="D43" s="24">
        <v>0</v>
      </c>
      <c r="E43" s="25">
        <v>257500</v>
      </c>
      <c r="F43" s="24">
        <v>0</v>
      </c>
      <c r="G43" s="24">
        <v>230</v>
      </c>
      <c r="H43" s="25">
        <v>257500</v>
      </c>
      <c r="I43" s="26">
        <v>59225000</v>
      </c>
      <c r="J43" s="24">
        <v>230</v>
      </c>
      <c r="K43" s="25">
        <v>257500</v>
      </c>
      <c r="L43" s="24">
        <v>59225000</v>
      </c>
      <c r="M43" s="21">
        <v>20</v>
      </c>
      <c r="N43" s="27">
        <v>257500</v>
      </c>
      <c r="O43" s="21">
        <v>5150000</v>
      </c>
      <c r="P43" s="28"/>
    </row>
    <row x14ac:dyDescent="0.25" r="44" customHeight="1" ht="33.75">
      <c r="A44" s="21">
        <v>40</v>
      </c>
      <c r="B44" s="22" t="s">
        <v>101</v>
      </c>
      <c r="C44" s="23" t="s">
        <v>102</v>
      </c>
      <c r="D44" s="24">
        <v>50</v>
      </c>
      <c r="E44" s="25">
        <v>279000</v>
      </c>
      <c r="F44" s="24">
        <v>13950000</v>
      </c>
      <c r="G44" s="24">
        <f>71+100</f>
      </c>
      <c r="H44" s="25" t="s">
        <v>103</v>
      </c>
      <c r="I44" s="26">
        <f>19724500+27900000</f>
      </c>
      <c r="J44" s="24">
        <v>60</v>
      </c>
      <c r="K44" s="25">
        <v>279000</v>
      </c>
      <c r="L44" s="24">
        <v>16740000</v>
      </c>
      <c r="M44" s="21"/>
      <c r="N44" s="29"/>
      <c r="O44" s="21"/>
      <c r="P44" s="28"/>
    </row>
    <row x14ac:dyDescent="0.25" r="45" customHeight="1" ht="33.75">
      <c r="A45" s="21">
        <v>41</v>
      </c>
      <c r="B45" s="22" t="s">
        <v>104</v>
      </c>
      <c r="C45" s="23" t="s">
        <v>105</v>
      </c>
      <c r="D45" s="24">
        <v>0</v>
      </c>
      <c r="E45" s="25">
        <v>259500</v>
      </c>
      <c r="F45" s="24">
        <v>0</v>
      </c>
      <c r="G45" s="24">
        <f>11+91</f>
      </c>
      <c r="H45" s="25" t="s">
        <v>106</v>
      </c>
      <c r="I45" s="26">
        <f>2781000+23614500</f>
      </c>
      <c r="J45" s="24">
        <v>47</v>
      </c>
      <c r="K45" s="25">
        <v>259500</v>
      </c>
      <c r="L45" s="24">
        <v>12196500</v>
      </c>
      <c r="M45" s="21"/>
      <c r="N45" s="29"/>
      <c r="O45" s="21"/>
      <c r="P45" s="28"/>
    </row>
    <row x14ac:dyDescent="0.25" r="46" customHeight="1" ht="33.75">
      <c r="A46" s="21">
        <v>42</v>
      </c>
      <c r="B46" s="22" t="s">
        <v>107</v>
      </c>
      <c r="C46" s="23" t="s">
        <v>108</v>
      </c>
      <c r="D46" s="24">
        <v>250</v>
      </c>
      <c r="E46" s="25">
        <v>274500</v>
      </c>
      <c r="F46" s="24">
        <v>68625000</v>
      </c>
      <c r="G46" s="24">
        <v>770</v>
      </c>
      <c r="H46" s="25">
        <v>274500</v>
      </c>
      <c r="I46" s="26">
        <v>211365000</v>
      </c>
      <c r="J46" s="24">
        <v>340</v>
      </c>
      <c r="K46" s="25">
        <v>274500</v>
      </c>
      <c r="L46" s="24">
        <v>93330000</v>
      </c>
      <c r="M46" s="21">
        <v>120</v>
      </c>
      <c r="N46" s="27">
        <v>274500</v>
      </c>
      <c r="O46" s="21">
        <v>32940000</v>
      </c>
      <c r="P46" s="28"/>
    </row>
    <row x14ac:dyDescent="0.25" r="47" customHeight="1" ht="33.75">
      <c r="A47" s="21">
        <v>43</v>
      </c>
      <c r="B47" s="22" t="s">
        <v>109</v>
      </c>
      <c r="C47" s="23" t="s">
        <v>110</v>
      </c>
      <c r="D47" s="24">
        <v>100</v>
      </c>
      <c r="E47" s="25">
        <v>282000</v>
      </c>
      <c r="F47" s="24">
        <v>28200000</v>
      </c>
      <c r="G47" s="24">
        <v>133</v>
      </c>
      <c r="H47" s="25" t="s">
        <v>111</v>
      </c>
      <c r="I47" s="26">
        <v>37426000</v>
      </c>
      <c r="J47" s="24">
        <v>205</v>
      </c>
      <c r="K47" s="25">
        <v>282000</v>
      </c>
      <c r="L47" s="24">
        <v>57810000</v>
      </c>
      <c r="M47" s="21">
        <v>20</v>
      </c>
      <c r="N47" s="27">
        <v>282000</v>
      </c>
      <c r="O47" s="21">
        <v>5640000</v>
      </c>
      <c r="P47" s="28"/>
    </row>
    <row x14ac:dyDescent="0.25" r="48" customHeight="1" ht="33.75">
      <c r="A48" s="21">
        <v>44</v>
      </c>
      <c r="B48" s="22" t="s">
        <v>112</v>
      </c>
      <c r="C48" s="23" t="s">
        <v>113</v>
      </c>
      <c r="D48" s="24">
        <v>50</v>
      </c>
      <c r="E48" s="25">
        <v>122000</v>
      </c>
      <c r="F48" s="24">
        <v>6100000</v>
      </c>
      <c r="G48" s="24">
        <v>1723</v>
      </c>
      <c r="H48" s="25">
        <v>122000</v>
      </c>
      <c r="I48" s="26">
        <v>210206000</v>
      </c>
      <c r="J48" s="24">
        <v>300</v>
      </c>
      <c r="K48" s="25">
        <v>122000</v>
      </c>
      <c r="L48" s="24">
        <v>36600000</v>
      </c>
      <c r="M48" s="21">
        <v>330</v>
      </c>
      <c r="N48" s="27">
        <v>122000</v>
      </c>
      <c r="O48" s="21">
        <v>40260000</v>
      </c>
      <c r="P48" s="28"/>
    </row>
    <row x14ac:dyDescent="0.25" r="49" customHeight="1" ht="33.75">
      <c r="A49" s="21">
        <v>45</v>
      </c>
      <c r="B49" s="22" t="s">
        <v>114</v>
      </c>
      <c r="C49" s="23" t="s">
        <v>115</v>
      </c>
      <c r="D49" s="24">
        <v>140</v>
      </c>
      <c r="E49" s="25">
        <v>340500</v>
      </c>
      <c r="F49" s="24">
        <v>47670000</v>
      </c>
      <c r="G49" s="24">
        <v>369</v>
      </c>
      <c r="H49" s="25">
        <v>340500</v>
      </c>
      <c r="I49" s="26">
        <v>125644500</v>
      </c>
      <c r="J49" s="24">
        <v>200</v>
      </c>
      <c r="K49" s="25">
        <v>340500</v>
      </c>
      <c r="L49" s="24">
        <v>68100000</v>
      </c>
      <c r="M49" s="21">
        <v>50</v>
      </c>
      <c r="N49" s="27">
        <v>363500</v>
      </c>
      <c r="O49" s="21">
        <v>17255000</v>
      </c>
      <c r="P49" s="28"/>
    </row>
    <row x14ac:dyDescent="0.25" r="50" customHeight="1" ht="33.75">
      <c r="A50" s="21">
        <v>46</v>
      </c>
      <c r="B50" s="22" t="s">
        <v>116</v>
      </c>
      <c r="C50" s="23" t="s">
        <v>117</v>
      </c>
      <c r="D50" s="24"/>
      <c r="E50" s="30"/>
      <c r="F50" s="24"/>
      <c r="G50" s="24">
        <v>80</v>
      </c>
      <c r="H50" s="30">
        <v>353900</v>
      </c>
      <c r="I50" s="26">
        <v>28312000</v>
      </c>
      <c r="J50" s="24">
        <v>90</v>
      </c>
      <c r="K50" s="30">
        <v>353900</v>
      </c>
      <c r="L50" s="24">
        <v>31851000</v>
      </c>
      <c r="M50" s="21"/>
      <c r="N50" s="29"/>
      <c r="O50" s="21"/>
      <c r="P50" s="28"/>
    </row>
    <row x14ac:dyDescent="0.25" r="51" customHeight="1" ht="33.75">
      <c r="A51" s="21">
        <v>47</v>
      </c>
      <c r="B51" s="22" t="s">
        <v>118</v>
      </c>
      <c r="C51" s="23" t="s">
        <v>119</v>
      </c>
      <c r="D51" s="24">
        <v>140</v>
      </c>
      <c r="E51" s="25">
        <v>363500</v>
      </c>
      <c r="F51" s="24">
        <v>50890000</v>
      </c>
      <c r="G51" s="24">
        <f>117+408</f>
      </c>
      <c r="H51" s="25" t="s">
        <v>120</v>
      </c>
      <c r="I51" s="26">
        <f>41987000+148308000</f>
      </c>
      <c r="J51" s="24">
        <v>330</v>
      </c>
      <c r="K51" s="25">
        <v>363500</v>
      </c>
      <c r="L51" s="24">
        <v>119955000</v>
      </c>
      <c r="M51" s="21">
        <v>50</v>
      </c>
      <c r="N51" s="27">
        <v>363500</v>
      </c>
      <c r="O51" s="21">
        <v>18175000</v>
      </c>
      <c r="P51" s="28"/>
    </row>
    <row x14ac:dyDescent="0.25" r="52" customHeight="1" ht="33.75">
      <c r="A52" s="21">
        <v>48</v>
      </c>
      <c r="B52" s="22" t="s">
        <v>121</v>
      </c>
      <c r="C52" s="23" t="s">
        <v>122</v>
      </c>
      <c r="D52" s="24">
        <v>70</v>
      </c>
      <c r="E52" s="25">
        <v>222000</v>
      </c>
      <c r="F52" s="24">
        <v>15540000</v>
      </c>
      <c r="G52" s="24">
        <f>80+150</f>
      </c>
      <c r="H52" s="25" t="s">
        <v>123</v>
      </c>
      <c r="I52" s="26">
        <f>17205000+33300000</f>
      </c>
      <c r="J52" s="24">
        <v>60</v>
      </c>
      <c r="K52" s="25">
        <v>222000</v>
      </c>
      <c r="L52" s="24">
        <v>13320000</v>
      </c>
      <c r="M52" s="21">
        <v>20</v>
      </c>
      <c r="N52" s="27">
        <v>222000</v>
      </c>
      <c r="O52" s="21">
        <v>4440000</v>
      </c>
      <c r="P52" s="28"/>
    </row>
    <row x14ac:dyDescent="0.25" r="53" customHeight="1" ht="33.75">
      <c r="A53" s="21">
        <v>49</v>
      </c>
      <c r="B53" s="22" t="s">
        <v>124</v>
      </c>
      <c r="C53" s="23" t="s">
        <v>125</v>
      </c>
      <c r="D53" s="24">
        <v>10</v>
      </c>
      <c r="E53" s="25">
        <v>234500</v>
      </c>
      <c r="F53" s="24">
        <v>2345000</v>
      </c>
      <c r="G53" s="24">
        <v>310</v>
      </c>
      <c r="H53" s="25">
        <v>234500</v>
      </c>
      <c r="I53" s="26">
        <v>72695000</v>
      </c>
      <c r="J53" s="24">
        <v>15</v>
      </c>
      <c r="K53" s="25">
        <v>234500</v>
      </c>
      <c r="L53" s="24">
        <v>3517500</v>
      </c>
      <c r="M53" s="21">
        <v>30</v>
      </c>
      <c r="N53" s="27">
        <v>234500</v>
      </c>
      <c r="O53" s="21">
        <v>7035000</v>
      </c>
      <c r="P53" s="28"/>
    </row>
    <row x14ac:dyDescent="0.25" r="54" customHeight="1" ht="33.75">
      <c r="A54" s="21">
        <v>50</v>
      </c>
      <c r="B54" s="22" t="s">
        <v>126</v>
      </c>
      <c r="C54" s="23" t="s">
        <v>127</v>
      </c>
      <c r="D54" s="24">
        <v>10</v>
      </c>
      <c r="E54" s="25">
        <v>312500</v>
      </c>
      <c r="F54" s="24">
        <v>3125000</v>
      </c>
      <c r="G54" s="24">
        <v>145</v>
      </c>
      <c r="H54" s="25">
        <v>312500</v>
      </c>
      <c r="I54" s="26">
        <v>45312500</v>
      </c>
      <c r="J54" s="24">
        <v>54</v>
      </c>
      <c r="K54" s="25">
        <v>312500</v>
      </c>
      <c r="L54" s="24">
        <v>16562500</v>
      </c>
      <c r="M54" s="21"/>
      <c r="N54" s="29"/>
      <c r="O54" s="21"/>
      <c r="P54" s="28"/>
    </row>
    <row x14ac:dyDescent="0.25" r="55" customHeight="1" ht="33.75">
      <c r="A55" s="21">
        <v>51</v>
      </c>
      <c r="B55" s="22" t="s">
        <v>128</v>
      </c>
      <c r="C55" s="23" t="s">
        <v>129</v>
      </c>
      <c r="D55" s="24">
        <v>40</v>
      </c>
      <c r="E55" s="25">
        <v>339000</v>
      </c>
      <c r="F55" s="24">
        <v>13560000</v>
      </c>
      <c r="G55" s="24">
        <f>96+410</f>
      </c>
      <c r="H55" s="25" t="s">
        <v>130</v>
      </c>
      <c r="I55" s="26">
        <f>31998000+138990000</f>
      </c>
      <c r="J55" s="24">
        <v>106</v>
      </c>
      <c r="K55" s="25">
        <v>339000</v>
      </c>
      <c r="L55" s="24">
        <v>35934000</v>
      </c>
      <c r="M55" s="21">
        <v>60</v>
      </c>
      <c r="N55" s="27">
        <v>339000</v>
      </c>
      <c r="O55" s="21">
        <v>20340000</v>
      </c>
      <c r="P55" s="28"/>
    </row>
    <row x14ac:dyDescent="0.25" r="56" customHeight="1" ht="33.75">
      <c r="A56" s="21">
        <v>52</v>
      </c>
      <c r="B56" s="22" t="s">
        <v>131</v>
      </c>
      <c r="C56" s="23" t="s">
        <v>132</v>
      </c>
      <c r="D56" s="24">
        <v>14</v>
      </c>
      <c r="E56" s="25">
        <v>176500</v>
      </c>
      <c r="F56" s="24">
        <v>2471000</v>
      </c>
      <c r="G56" s="24">
        <f>19+71</f>
      </c>
      <c r="H56" s="25" t="s">
        <v>133</v>
      </c>
      <c r="I56" s="26">
        <f>3307000+12531500</f>
      </c>
      <c r="J56" s="24">
        <v>20</v>
      </c>
      <c r="K56" s="25">
        <v>176500</v>
      </c>
      <c r="L56" s="24">
        <v>3530000</v>
      </c>
      <c r="M56" s="21"/>
      <c r="N56" s="29"/>
      <c r="O56" s="21"/>
      <c r="P56" s="28"/>
    </row>
    <row x14ac:dyDescent="0.25" r="57" customHeight="1" ht="33.75">
      <c r="A57" s="21">
        <v>53</v>
      </c>
      <c r="B57" s="22" t="s">
        <v>134</v>
      </c>
      <c r="C57" s="23" t="s">
        <v>135</v>
      </c>
      <c r="D57" s="24">
        <v>10</v>
      </c>
      <c r="E57" s="25">
        <v>245000</v>
      </c>
      <c r="F57" s="24">
        <v>2450000</v>
      </c>
      <c r="G57" s="24">
        <v>82</v>
      </c>
      <c r="H57" s="25" t="s">
        <v>136</v>
      </c>
      <c r="I57" s="26">
        <v>19310000</v>
      </c>
      <c r="J57" s="24">
        <v>30</v>
      </c>
      <c r="K57" s="25">
        <v>245000</v>
      </c>
      <c r="L57" s="24">
        <v>7350000</v>
      </c>
      <c r="M57" s="21"/>
      <c r="N57" s="29"/>
      <c r="O57" s="21"/>
      <c r="P57" s="28"/>
    </row>
    <row x14ac:dyDescent="0.25" r="58" customHeight="1" ht="33.75">
      <c r="A58" s="21">
        <v>54</v>
      </c>
      <c r="B58" s="22" t="s">
        <v>137</v>
      </c>
      <c r="C58" s="23" t="s">
        <v>138</v>
      </c>
      <c r="D58" s="24"/>
      <c r="E58" s="25">
        <v>271500</v>
      </c>
      <c r="F58" s="24"/>
      <c r="G58" s="24">
        <v>191</v>
      </c>
      <c r="H58" s="25">
        <v>271500</v>
      </c>
      <c r="I58" s="26">
        <v>51785000</v>
      </c>
      <c r="J58" s="24">
        <v>46</v>
      </c>
      <c r="K58" s="25">
        <v>271500</v>
      </c>
      <c r="L58" s="24">
        <v>12489000</v>
      </c>
      <c r="M58" s="21">
        <v>30</v>
      </c>
      <c r="N58" s="27">
        <v>271500</v>
      </c>
      <c r="O58" s="21">
        <v>8145000</v>
      </c>
      <c r="P58" s="28"/>
    </row>
    <row x14ac:dyDescent="0.25" r="59" customHeight="1" ht="33.75">
      <c r="A59" s="21">
        <v>55</v>
      </c>
      <c r="B59" s="22" t="s">
        <v>139</v>
      </c>
      <c r="C59" s="23" t="s">
        <v>140</v>
      </c>
      <c r="D59" s="24">
        <v>1451</v>
      </c>
      <c r="E59" s="25">
        <v>55500</v>
      </c>
      <c r="F59" s="24">
        <v>80530500</v>
      </c>
      <c r="G59" s="24">
        <v>4671</v>
      </c>
      <c r="H59" s="25">
        <v>55500</v>
      </c>
      <c r="I59" s="26">
        <v>259240500</v>
      </c>
      <c r="J59" s="24">
        <v>2611</v>
      </c>
      <c r="K59" s="25">
        <v>55500</v>
      </c>
      <c r="L59" s="24">
        <v>144910500</v>
      </c>
      <c r="M59" s="21">
        <v>1850</v>
      </c>
      <c r="N59" s="27">
        <v>55500</v>
      </c>
      <c r="O59" s="21">
        <v>102675000</v>
      </c>
      <c r="P59" s="28"/>
    </row>
    <row x14ac:dyDescent="0.25" r="60" customHeight="1" ht="33.75">
      <c r="A60" s="21">
        <v>56</v>
      </c>
      <c r="B60" s="22" t="s">
        <v>141</v>
      </c>
      <c r="C60" s="23" t="s">
        <v>142</v>
      </c>
      <c r="D60" s="24">
        <v>20</v>
      </c>
      <c r="E60" s="25">
        <v>139500</v>
      </c>
      <c r="F60" s="24">
        <v>2790000</v>
      </c>
      <c r="G60" s="24">
        <f>77+215</f>
      </c>
      <c r="H60" s="25" t="s">
        <v>143</v>
      </c>
      <c r="I60" s="26">
        <f>10672500+29992500</f>
      </c>
      <c r="J60" s="24">
        <v>50</v>
      </c>
      <c r="K60" s="25">
        <v>139500</v>
      </c>
      <c r="L60" s="24">
        <v>6975000</v>
      </c>
      <c r="M60" s="21">
        <v>70</v>
      </c>
      <c r="N60" s="27">
        <v>139500</v>
      </c>
      <c r="O60" s="21">
        <v>9765000</v>
      </c>
      <c r="P60" s="28"/>
    </row>
    <row x14ac:dyDescent="0.25" r="61" customHeight="1" ht="33.75">
      <c r="A61" s="21">
        <v>57</v>
      </c>
      <c r="B61" s="22" t="s">
        <v>144</v>
      </c>
      <c r="C61" s="23" t="s">
        <v>145</v>
      </c>
      <c r="D61" s="24">
        <v>10</v>
      </c>
      <c r="E61" s="25">
        <v>165000</v>
      </c>
      <c r="F61" s="24">
        <v>1650000</v>
      </c>
      <c r="G61" s="24">
        <v>300</v>
      </c>
      <c r="H61" s="25">
        <v>165000</v>
      </c>
      <c r="I61" s="26">
        <v>49500000</v>
      </c>
      <c r="J61" s="24">
        <v>20</v>
      </c>
      <c r="K61" s="25">
        <v>165000</v>
      </c>
      <c r="L61" s="24">
        <v>3300000</v>
      </c>
      <c r="M61" s="21">
        <v>80</v>
      </c>
      <c r="N61" s="27">
        <v>165000</v>
      </c>
      <c r="O61" s="21">
        <v>13200000</v>
      </c>
      <c r="P61" s="28"/>
    </row>
    <row x14ac:dyDescent="0.25" r="62" customHeight="1" ht="33.75">
      <c r="A62" s="21" t="s">
        <v>146</v>
      </c>
      <c r="B62" s="33"/>
      <c r="C62" s="34"/>
      <c r="D62" s="21">
        <f>SUM(D7:D61)</f>
      </c>
      <c r="E62" s="30"/>
      <c r="F62" s="21">
        <f>SUM(F7:F61)</f>
      </c>
      <c r="G62" s="9">
        <f>SUM(G7:G61)</f>
      </c>
      <c r="H62" s="30"/>
      <c r="I62" s="35">
        <f>SUM(I7:I61)</f>
      </c>
      <c r="J62" s="9">
        <f>SUM(J7:J61)</f>
      </c>
      <c r="K62" s="30"/>
      <c r="L62" s="9">
        <f>SUM(L7:L61)</f>
      </c>
      <c r="M62" s="21">
        <f>SUM(M7:M61)</f>
      </c>
      <c r="N62" s="29"/>
      <c r="O62" s="36">
        <f>SUM(O7:O61)</f>
      </c>
      <c r="P62" s="37"/>
    </row>
    <row x14ac:dyDescent="0.25" r="63" customHeight="1" ht="33.75">
      <c r="A63" s="38"/>
      <c r="B63" s="39"/>
      <c r="C63" s="5"/>
      <c r="D63" s="40"/>
      <c r="E63" s="41"/>
      <c r="F63" s="38"/>
      <c r="G63" s="40"/>
      <c r="H63" s="41"/>
      <c r="I63" s="42"/>
      <c r="J63" s="43"/>
      <c r="K63" s="41"/>
      <c r="L63" s="28"/>
      <c r="M63" s="38"/>
      <c r="N63" s="38"/>
      <c r="O63" s="38"/>
      <c r="P63" s="5"/>
    </row>
    <row x14ac:dyDescent="0.25" r="64" customHeight="1" ht="33.75">
      <c r="A64" s="38"/>
      <c r="B64" s="39"/>
      <c r="C64" s="5"/>
      <c r="D64" s="40"/>
      <c r="E64" s="41"/>
      <c r="F64" s="38"/>
      <c r="G64" s="40"/>
      <c r="H64" s="41"/>
      <c r="I64" s="42"/>
      <c r="J64" s="38"/>
      <c r="K64" s="41"/>
      <c r="L64" s="38"/>
      <c r="M64" s="38"/>
      <c r="N64" s="40"/>
      <c r="O64" s="38"/>
      <c r="P64" s="5"/>
    </row>
    <row x14ac:dyDescent="0.25" r="65" customHeight="1" ht="33.75">
      <c r="A65" s="38"/>
      <c r="B65" s="44"/>
      <c r="C65" s="5"/>
      <c r="D65" s="40"/>
      <c r="E65" s="41"/>
      <c r="F65" s="42"/>
      <c r="G65" s="40"/>
      <c r="H65" s="41"/>
      <c r="I65" s="40"/>
      <c r="J65" s="38"/>
      <c r="K65" s="41"/>
      <c r="L65" s="42"/>
      <c r="M65" s="38"/>
      <c r="N65" s="40"/>
      <c r="O65" s="38"/>
      <c r="P65" s="5"/>
    </row>
    <row x14ac:dyDescent="0.25" r="66" customHeight="1" ht="33.75">
      <c r="A66" s="38"/>
      <c r="B66" s="44"/>
      <c r="C66" s="5"/>
      <c r="D66" s="40"/>
      <c r="E66" s="41"/>
      <c r="F66" s="42"/>
      <c r="G66" s="40"/>
      <c r="H66" s="41"/>
      <c r="I66" s="42"/>
      <c r="J66" s="38"/>
      <c r="K66" s="41"/>
      <c r="L66" s="38"/>
      <c r="M66" s="42"/>
      <c r="N66" s="40"/>
      <c r="O66" s="42"/>
      <c r="P66" s="5"/>
    </row>
    <row x14ac:dyDescent="0.25" r="67" customHeight="1" ht="33.75">
      <c r="A67" s="38"/>
      <c r="B67" s="44"/>
      <c r="C67" s="5"/>
      <c r="D67" s="40"/>
      <c r="E67" s="41"/>
      <c r="F67" s="42"/>
      <c r="G67" s="40"/>
      <c r="H67" s="41"/>
      <c r="I67" s="42"/>
      <c r="J67" s="38"/>
      <c r="K67" s="41"/>
      <c r="L67" s="42"/>
      <c r="M67" s="38"/>
      <c r="N67" s="38"/>
      <c r="O67" s="38"/>
      <c r="P67" s="5"/>
    </row>
    <row x14ac:dyDescent="0.25" r="68" customHeight="1" ht="33.75">
      <c r="A68" s="38"/>
      <c r="B68" s="44"/>
      <c r="C68" s="5"/>
      <c r="D68" s="40"/>
      <c r="E68" s="41"/>
      <c r="F68" s="42"/>
      <c r="G68" s="40"/>
      <c r="H68" s="41"/>
      <c r="I68" s="40"/>
      <c r="J68" s="38"/>
      <c r="K68" s="41"/>
      <c r="L68" s="38"/>
      <c r="M68" s="38"/>
      <c r="N68" s="38"/>
      <c r="O68" s="38"/>
      <c r="P68" s="5"/>
    </row>
    <row x14ac:dyDescent="0.25" r="69" customHeight="1" ht="33.75">
      <c r="A69" s="38"/>
      <c r="B69" s="44"/>
      <c r="C69" s="5"/>
      <c r="D69" s="40"/>
      <c r="E69" s="41"/>
      <c r="F69" s="42"/>
      <c r="G69" s="40"/>
      <c r="H69" s="41"/>
      <c r="I69" s="42"/>
      <c r="J69" s="38"/>
      <c r="K69" s="41"/>
      <c r="L69" s="42"/>
      <c r="M69" s="38"/>
      <c r="N69" s="38"/>
      <c r="O69" s="38"/>
      <c r="P69" s="5"/>
    </row>
    <row x14ac:dyDescent="0.25" r="70" customHeight="1" ht="33.75">
      <c r="A70" s="38"/>
      <c r="B70" s="44"/>
      <c r="C70" s="5"/>
      <c r="D70" s="40"/>
      <c r="E70" s="41"/>
      <c r="F70" s="42"/>
      <c r="G70" s="40"/>
      <c r="H70" s="41"/>
      <c r="I70" s="42"/>
      <c r="J70" s="38"/>
      <c r="K70" s="41"/>
      <c r="L70" s="42"/>
      <c r="M70" s="38"/>
      <c r="N70" s="38"/>
      <c r="O70" s="38"/>
      <c r="P70" s="5"/>
    </row>
    <row x14ac:dyDescent="0.25" r="71" customHeight="1" ht="33.75">
      <c r="A71" s="38"/>
      <c r="B71" s="44"/>
      <c r="C71" s="5"/>
      <c r="D71" s="40"/>
      <c r="E71" s="41"/>
      <c r="F71" s="42"/>
      <c r="G71" s="40"/>
      <c r="H71" s="41"/>
      <c r="I71" s="42"/>
      <c r="J71" s="38"/>
      <c r="K71" s="41"/>
      <c r="L71" s="42"/>
      <c r="M71" s="38"/>
      <c r="N71" s="38"/>
      <c r="O71" s="38"/>
      <c r="P71" s="5"/>
    </row>
    <row x14ac:dyDescent="0.25" r="72" customHeight="1" ht="33.75">
      <c r="A72" s="38"/>
      <c r="B72" s="44"/>
      <c r="C72" s="5"/>
      <c r="D72" s="40"/>
      <c r="E72" s="41"/>
      <c r="F72" s="42"/>
      <c r="G72" s="40"/>
      <c r="H72" s="41"/>
      <c r="I72" s="42"/>
      <c r="J72" s="38"/>
      <c r="K72" s="41"/>
      <c r="L72" s="42"/>
      <c r="M72" s="38"/>
      <c r="N72" s="38"/>
      <c r="O72" s="38"/>
      <c r="P72" s="5"/>
    </row>
    <row x14ac:dyDescent="0.25" r="73" customHeight="1" ht="33.75">
      <c r="A73" s="38"/>
      <c r="B73" s="44"/>
      <c r="C73" s="5"/>
      <c r="D73" s="40"/>
      <c r="E73" s="41"/>
      <c r="F73" s="42"/>
      <c r="G73" s="40"/>
      <c r="H73" s="41"/>
      <c r="I73" s="42"/>
      <c r="J73" s="38"/>
      <c r="K73" s="41"/>
      <c r="L73" s="42"/>
      <c r="M73" s="38"/>
      <c r="N73" s="38"/>
      <c r="O73" s="38"/>
      <c r="P73" s="5"/>
    </row>
    <row x14ac:dyDescent="0.25" r="74" customHeight="1" ht="33.75">
      <c r="A74" s="38"/>
      <c r="B74" s="44"/>
      <c r="C74" s="5"/>
      <c r="D74" s="40"/>
      <c r="E74" s="41"/>
      <c r="F74" s="42"/>
      <c r="G74" s="40"/>
      <c r="H74" s="41"/>
      <c r="I74" s="42"/>
      <c r="J74" s="38"/>
      <c r="K74" s="41"/>
      <c r="L74" s="42"/>
      <c r="M74" s="38"/>
      <c r="N74" s="38"/>
      <c r="O74" s="38"/>
      <c r="P74" s="5"/>
    </row>
    <row x14ac:dyDescent="0.25" r="75" customHeight="1" ht="33.75">
      <c r="A75" s="38"/>
      <c r="B75" s="44"/>
      <c r="C75" s="5"/>
      <c r="D75" s="40"/>
      <c r="E75" s="41"/>
      <c r="F75" s="42"/>
      <c r="G75" s="40"/>
      <c r="H75" s="41"/>
      <c r="I75" s="42"/>
      <c r="J75" s="38"/>
      <c r="K75" s="41"/>
      <c r="L75" s="42"/>
      <c r="M75" s="38"/>
      <c r="N75" s="38"/>
      <c r="O75" s="38"/>
      <c r="P75" s="5"/>
    </row>
    <row x14ac:dyDescent="0.25" r="76" customHeight="1" ht="33.75">
      <c r="A76" s="38"/>
      <c r="B76" s="44"/>
      <c r="C76" s="5"/>
      <c r="D76" s="40"/>
      <c r="E76" s="41"/>
      <c r="F76" s="42"/>
      <c r="G76" s="40"/>
      <c r="H76" s="41"/>
      <c r="I76" s="42"/>
      <c r="J76" s="38"/>
      <c r="K76" s="41"/>
      <c r="L76" s="42"/>
      <c r="M76" s="38"/>
      <c r="N76" s="38"/>
      <c r="O76" s="38"/>
      <c r="P76" s="5"/>
    </row>
    <row x14ac:dyDescent="0.25" r="77" customHeight="1" ht="33.75">
      <c r="A77" s="38"/>
      <c r="B77" s="44"/>
      <c r="C77" s="5"/>
      <c r="D77" s="40"/>
      <c r="E77" s="41"/>
      <c r="F77" s="42"/>
      <c r="G77" s="40"/>
      <c r="H77" s="41"/>
      <c r="I77" s="42"/>
      <c r="J77" s="38"/>
      <c r="K77" s="41"/>
      <c r="L77" s="42"/>
      <c r="M77" s="38"/>
      <c r="N77" s="38"/>
      <c r="O77" s="38"/>
      <c r="P77" s="5"/>
    </row>
    <row x14ac:dyDescent="0.25" r="78" customHeight="1" ht="33.75">
      <c r="A78" s="38"/>
      <c r="B78" s="44"/>
      <c r="C78" s="5"/>
      <c r="D78" s="40"/>
      <c r="E78" s="41"/>
      <c r="F78" s="42"/>
      <c r="G78" s="40"/>
      <c r="H78" s="41"/>
      <c r="I78" s="42"/>
      <c r="J78" s="38"/>
      <c r="K78" s="41"/>
      <c r="L78" s="42"/>
      <c r="M78" s="38"/>
      <c r="N78" s="38"/>
      <c r="O78" s="38"/>
      <c r="P78" s="5"/>
    </row>
    <row x14ac:dyDescent="0.25" r="79" customHeight="1" ht="33.75">
      <c r="A79" s="38"/>
      <c r="B79" s="44"/>
      <c r="C79" s="5"/>
      <c r="D79" s="40"/>
      <c r="E79" s="41"/>
      <c r="F79" s="42"/>
      <c r="G79" s="40"/>
      <c r="H79" s="41"/>
      <c r="I79" s="42"/>
      <c r="J79" s="38"/>
      <c r="K79" s="41"/>
      <c r="L79" s="42"/>
      <c r="M79" s="38"/>
      <c r="N79" s="38"/>
      <c r="O79" s="38"/>
      <c r="P79" s="5"/>
    </row>
    <row x14ac:dyDescent="0.25" r="80" customHeight="1" ht="33.75">
      <c r="A80" s="38"/>
      <c r="B80" s="44"/>
      <c r="C80" s="5"/>
      <c r="D80" s="40"/>
      <c r="E80" s="41"/>
      <c r="F80" s="42"/>
      <c r="G80" s="40"/>
      <c r="H80" s="41"/>
      <c r="I80" s="42"/>
      <c r="J80" s="38"/>
      <c r="K80" s="41"/>
      <c r="L80" s="42"/>
      <c r="M80" s="38"/>
      <c r="N80" s="38"/>
      <c r="O80" s="38"/>
      <c r="P80" s="5"/>
    </row>
    <row x14ac:dyDescent="0.25" r="81" customHeight="1" ht="33.75">
      <c r="A81" s="38"/>
      <c r="B81" s="44"/>
      <c r="C81" s="5"/>
      <c r="D81" s="40"/>
      <c r="E81" s="41"/>
      <c r="F81" s="42"/>
      <c r="G81" s="40"/>
      <c r="H81" s="41"/>
      <c r="I81" s="42"/>
      <c r="J81" s="38"/>
      <c r="K81" s="41"/>
      <c r="L81" s="42"/>
      <c r="M81" s="38"/>
      <c r="N81" s="38"/>
      <c r="O81" s="38"/>
      <c r="P81" s="5"/>
    </row>
    <row x14ac:dyDescent="0.25" r="82" customHeight="1" ht="33.75">
      <c r="A82" s="38"/>
      <c r="B82" s="44"/>
      <c r="C82" s="5"/>
      <c r="D82" s="40"/>
      <c r="E82" s="41"/>
      <c r="F82" s="42"/>
      <c r="G82" s="40"/>
      <c r="H82" s="41"/>
      <c r="I82" s="42"/>
      <c r="J82" s="38"/>
      <c r="K82" s="41"/>
      <c r="L82" s="42"/>
      <c r="M82" s="38"/>
      <c r="N82" s="38"/>
      <c r="O82" s="38"/>
      <c r="P82" s="5"/>
    </row>
    <row x14ac:dyDescent="0.25" r="83" customHeight="1" ht="33.75">
      <c r="A83" s="38"/>
      <c r="B83" s="44"/>
      <c r="C83" s="5"/>
      <c r="D83" s="40"/>
      <c r="E83" s="41"/>
      <c r="F83" s="42"/>
      <c r="G83" s="40"/>
      <c r="H83" s="41"/>
      <c r="I83" s="42"/>
      <c r="J83" s="38"/>
      <c r="K83" s="41"/>
      <c r="L83" s="42"/>
      <c r="M83" s="38"/>
      <c r="N83" s="38"/>
      <c r="O83" s="38"/>
      <c r="P83" s="5"/>
    </row>
    <row x14ac:dyDescent="0.25" r="84" customHeight="1" ht="33.75">
      <c r="A84" s="38"/>
      <c r="B84" s="44"/>
      <c r="C84" s="5"/>
      <c r="D84" s="40"/>
      <c r="E84" s="41"/>
      <c r="F84" s="42"/>
      <c r="G84" s="40"/>
      <c r="H84" s="41"/>
      <c r="I84" s="42"/>
      <c r="J84" s="38"/>
      <c r="K84" s="41"/>
      <c r="L84" s="42"/>
      <c r="M84" s="38"/>
      <c r="N84" s="38"/>
      <c r="O84" s="38"/>
      <c r="P84" s="5"/>
    </row>
    <row x14ac:dyDescent="0.25" r="85" customHeight="1" ht="33.75">
      <c r="A85" s="38"/>
      <c r="B85" s="44"/>
      <c r="C85" s="5"/>
      <c r="D85" s="40"/>
      <c r="E85" s="41"/>
      <c r="F85" s="42"/>
      <c r="G85" s="40"/>
      <c r="H85" s="41"/>
      <c r="I85" s="42"/>
      <c r="J85" s="38"/>
      <c r="K85" s="41"/>
      <c r="L85" s="42"/>
      <c r="M85" s="38"/>
      <c r="N85" s="38"/>
      <c r="O85" s="38"/>
      <c r="P85" s="5"/>
    </row>
    <row x14ac:dyDescent="0.25" r="86" customHeight="1" ht="33.75">
      <c r="A86" s="38"/>
      <c r="B86" s="44"/>
      <c r="C86" s="5"/>
      <c r="D86" s="40"/>
      <c r="E86" s="41"/>
      <c r="F86" s="42"/>
      <c r="G86" s="40"/>
      <c r="H86" s="41"/>
      <c r="I86" s="42"/>
      <c r="J86" s="38"/>
      <c r="K86" s="41"/>
      <c r="L86" s="42"/>
      <c r="M86" s="38"/>
      <c r="N86" s="38"/>
      <c r="O86" s="38"/>
      <c r="P86" s="5"/>
    </row>
    <row x14ac:dyDescent="0.25" r="87" customHeight="1" ht="33.75">
      <c r="A87" s="38"/>
      <c r="B87" s="44"/>
      <c r="C87" s="5"/>
      <c r="D87" s="40"/>
      <c r="E87" s="41"/>
      <c r="F87" s="42"/>
      <c r="G87" s="40"/>
      <c r="H87" s="41"/>
      <c r="I87" s="42"/>
      <c r="J87" s="38"/>
      <c r="K87" s="41"/>
      <c r="L87" s="42"/>
      <c r="M87" s="38"/>
      <c r="N87" s="38"/>
      <c r="O87" s="38"/>
      <c r="P87" s="5"/>
    </row>
    <row x14ac:dyDescent="0.25" r="88" customHeight="1" ht="33.75">
      <c r="A88" s="38"/>
      <c r="B88" s="44"/>
      <c r="C88" s="5"/>
      <c r="D88" s="40"/>
      <c r="E88" s="41"/>
      <c r="F88" s="42"/>
      <c r="G88" s="40"/>
      <c r="H88" s="41"/>
      <c r="I88" s="42"/>
      <c r="J88" s="38"/>
      <c r="K88" s="41"/>
      <c r="L88" s="42"/>
      <c r="M88" s="38"/>
      <c r="N88" s="38"/>
      <c r="O88" s="38"/>
      <c r="P88" s="5"/>
    </row>
    <row x14ac:dyDescent="0.25" r="89" customHeight="1" ht="33.75">
      <c r="A89" s="38"/>
      <c r="B89" s="44"/>
      <c r="C89" s="5"/>
      <c r="D89" s="40"/>
      <c r="E89" s="41"/>
      <c r="F89" s="42"/>
      <c r="G89" s="40"/>
      <c r="H89" s="41"/>
      <c r="I89" s="42"/>
      <c r="J89" s="38"/>
      <c r="K89" s="41"/>
      <c r="L89" s="42"/>
      <c r="M89" s="38"/>
      <c r="N89" s="38"/>
      <c r="O89" s="38"/>
      <c r="P89" s="5"/>
    </row>
    <row x14ac:dyDescent="0.25" r="90" customHeight="1" ht="33.75">
      <c r="A90" s="38"/>
      <c r="B90" s="44"/>
      <c r="C90" s="5"/>
      <c r="D90" s="40"/>
      <c r="E90" s="41"/>
      <c r="F90" s="42"/>
      <c r="G90" s="40"/>
      <c r="H90" s="41"/>
      <c r="I90" s="42"/>
      <c r="J90" s="38"/>
      <c r="K90" s="41"/>
      <c r="L90" s="42"/>
      <c r="M90" s="38"/>
      <c r="N90" s="38"/>
      <c r="O90" s="38"/>
      <c r="P90" s="5"/>
    </row>
    <row x14ac:dyDescent="0.25" r="91" customHeight="1" ht="33.75">
      <c r="A91" s="38"/>
      <c r="B91" s="44"/>
      <c r="C91" s="5"/>
      <c r="D91" s="40"/>
      <c r="E91" s="41"/>
      <c r="F91" s="42"/>
      <c r="G91" s="40"/>
      <c r="H91" s="41"/>
      <c r="I91" s="42"/>
      <c r="J91" s="38"/>
      <c r="K91" s="41"/>
      <c r="L91" s="42"/>
      <c r="M91" s="38"/>
      <c r="N91" s="38"/>
      <c r="O91" s="38"/>
      <c r="P91" s="5"/>
    </row>
    <row x14ac:dyDescent="0.25" r="92" customHeight="1" ht="33.75">
      <c r="A92" s="38"/>
      <c r="B92" s="44"/>
      <c r="C92" s="5"/>
      <c r="D92" s="40"/>
      <c r="E92" s="38"/>
      <c r="F92" s="42"/>
      <c r="G92" s="38"/>
      <c r="H92" s="41"/>
      <c r="I92" s="38"/>
      <c r="J92" s="38"/>
      <c r="K92" s="41"/>
      <c r="L92" s="42"/>
      <c r="M92" s="38"/>
      <c r="N92" s="38"/>
      <c r="O92" s="38"/>
      <c r="P92" s="5"/>
    </row>
    <row x14ac:dyDescent="0.25" r="93" customHeight="1" ht="33.75">
      <c r="A93" s="38"/>
      <c r="B93" s="44"/>
      <c r="C93" s="5"/>
      <c r="D93" s="40"/>
      <c r="E93" s="38"/>
      <c r="F93" s="42"/>
      <c r="G93" s="38"/>
      <c r="H93" s="38"/>
      <c r="I93" s="38"/>
      <c r="J93" s="38"/>
      <c r="K93" s="38"/>
      <c r="L93" s="42"/>
      <c r="M93" s="38"/>
      <c r="N93" s="38"/>
      <c r="O93" s="38"/>
      <c r="P93" s="5"/>
    </row>
    <row x14ac:dyDescent="0.25" r="94" customHeight="1" ht="33.75">
      <c r="A94" s="38"/>
      <c r="B94" s="44"/>
      <c r="C94" s="5"/>
      <c r="D94" s="40"/>
      <c r="E94" s="38"/>
      <c r="F94" s="42"/>
      <c r="G94" s="38"/>
      <c r="H94" s="38"/>
      <c r="I94" s="38"/>
      <c r="J94" s="38"/>
      <c r="K94" s="38"/>
      <c r="L94" s="42"/>
      <c r="M94" s="38"/>
      <c r="N94" s="38"/>
      <c r="O94" s="38"/>
      <c r="P94" s="5"/>
    </row>
    <row x14ac:dyDescent="0.25" r="95" customHeight="1" ht="33.75">
      <c r="A95" s="38"/>
      <c r="B95" s="44"/>
      <c r="C95" s="5"/>
      <c r="D95" s="40"/>
      <c r="E95" s="38"/>
      <c r="F95" s="42"/>
      <c r="G95" s="38"/>
      <c r="H95" s="38"/>
      <c r="I95" s="38"/>
      <c r="J95" s="38"/>
      <c r="K95" s="38"/>
      <c r="L95" s="42"/>
      <c r="M95" s="38"/>
      <c r="N95" s="38"/>
      <c r="O95" s="38"/>
      <c r="P95" s="5"/>
    </row>
    <row x14ac:dyDescent="0.25" r="96" customHeight="1" ht="33.75">
      <c r="A96" s="38"/>
      <c r="B96" s="44"/>
      <c r="C96" s="5"/>
      <c r="D96" s="40"/>
      <c r="E96" s="38"/>
      <c r="F96" s="42"/>
      <c r="G96" s="38"/>
      <c r="H96" s="38"/>
      <c r="I96" s="38"/>
      <c r="J96" s="38"/>
      <c r="K96" s="38"/>
      <c r="L96" s="42"/>
      <c r="M96" s="38"/>
      <c r="N96" s="38"/>
      <c r="O96" s="38"/>
      <c r="P96" s="5"/>
    </row>
    <row x14ac:dyDescent="0.25" r="97" customHeight="1" ht="33.75">
      <c r="A97" s="38"/>
      <c r="B97" s="44"/>
      <c r="C97" s="5"/>
      <c r="D97" s="40"/>
      <c r="E97" s="38"/>
      <c r="F97" s="38"/>
      <c r="G97" s="38"/>
      <c r="H97" s="38"/>
      <c r="I97" s="38"/>
      <c r="J97" s="38"/>
      <c r="K97" s="38"/>
      <c r="L97" s="42"/>
      <c r="M97" s="38"/>
      <c r="N97" s="38"/>
      <c r="O97" s="38"/>
      <c r="P97" s="5"/>
    </row>
    <row x14ac:dyDescent="0.25" r="98" customHeight="1" ht="33.75">
      <c r="A98" s="38"/>
      <c r="B98" s="44"/>
      <c r="C98" s="5"/>
      <c r="D98" s="40"/>
      <c r="E98" s="38"/>
      <c r="F98" s="38"/>
      <c r="G98" s="38"/>
      <c r="H98" s="38"/>
      <c r="I98" s="38"/>
      <c r="J98" s="38"/>
      <c r="K98" s="38"/>
      <c r="L98" s="42"/>
      <c r="M98" s="38"/>
      <c r="N98" s="38"/>
      <c r="O98" s="38"/>
      <c r="P98" s="5"/>
    </row>
    <row x14ac:dyDescent="0.25" r="99" customHeight="1" ht="33.75">
      <c r="A99" s="38"/>
      <c r="B99" s="44"/>
      <c r="C99" s="5"/>
      <c r="D99" s="40"/>
      <c r="E99" s="38"/>
      <c r="F99" s="38"/>
      <c r="G99" s="38"/>
      <c r="H99" s="38"/>
      <c r="I99" s="38"/>
      <c r="J99" s="38"/>
      <c r="K99" s="38"/>
      <c r="L99" s="42"/>
      <c r="M99" s="38"/>
      <c r="N99" s="38"/>
      <c r="O99" s="38"/>
      <c r="P99" s="5"/>
    </row>
    <row x14ac:dyDescent="0.25" r="100" customHeight="1" ht="33.75">
      <c r="A100" s="38"/>
      <c r="B100" s="44"/>
      <c r="C100" s="5"/>
      <c r="D100" s="40"/>
      <c r="E100" s="38"/>
      <c r="F100" s="38"/>
      <c r="G100" s="38"/>
      <c r="H100" s="38"/>
      <c r="I100" s="38"/>
      <c r="J100" s="38"/>
      <c r="K100" s="38"/>
      <c r="L100" s="42"/>
      <c r="M100" s="38"/>
      <c r="N100" s="38"/>
      <c r="O100" s="38"/>
      <c r="P100" s="5"/>
    </row>
    <row x14ac:dyDescent="0.25" r="101" customHeight="1" ht="33.75">
      <c r="A101" s="38"/>
      <c r="B101" s="44"/>
      <c r="C101" s="5"/>
      <c r="D101" s="40"/>
      <c r="E101" s="38"/>
      <c r="F101" s="38"/>
      <c r="G101" s="38"/>
      <c r="H101" s="38"/>
      <c r="I101" s="38"/>
      <c r="J101" s="38"/>
      <c r="K101" s="38"/>
      <c r="L101" s="42"/>
      <c r="M101" s="38"/>
      <c r="N101" s="38"/>
      <c r="O101" s="38"/>
      <c r="P101" s="5"/>
    </row>
    <row x14ac:dyDescent="0.25" r="102" customHeight="1" ht="33.75">
      <c r="A102" s="38"/>
      <c r="B102" s="44"/>
      <c r="C102" s="5"/>
      <c r="D102" s="40"/>
      <c r="E102" s="38"/>
      <c r="F102" s="38"/>
      <c r="G102" s="38"/>
      <c r="H102" s="38"/>
      <c r="I102" s="38"/>
      <c r="J102" s="38"/>
      <c r="K102" s="38"/>
      <c r="L102" s="42"/>
      <c r="M102" s="38"/>
      <c r="N102" s="38"/>
      <c r="O102" s="38"/>
      <c r="P102" s="5"/>
    </row>
    <row x14ac:dyDescent="0.25" r="103" customHeight="1" ht="33.75">
      <c r="A103" s="38"/>
      <c r="B103" s="44"/>
      <c r="C103" s="5"/>
      <c r="D103" s="40"/>
      <c r="E103" s="38"/>
      <c r="F103" s="38"/>
      <c r="G103" s="38"/>
      <c r="H103" s="38"/>
      <c r="I103" s="38"/>
      <c r="J103" s="38"/>
      <c r="K103" s="38"/>
      <c r="L103" s="42"/>
      <c r="M103" s="38"/>
      <c r="N103" s="38"/>
      <c r="O103" s="38"/>
      <c r="P103" s="5"/>
    </row>
    <row x14ac:dyDescent="0.25" r="104" customHeight="1" ht="33.75">
      <c r="A104" s="38"/>
      <c r="B104" s="44"/>
      <c r="C104" s="5"/>
      <c r="D104" s="40"/>
      <c r="E104" s="38"/>
      <c r="F104" s="38"/>
      <c r="G104" s="38"/>
      <c r="H104" s="38"/>
      <c r="I104" s="38"/>
      <c r="J104" s="38"/>
      <c r="K104" s="38"/>
      <c r="L104" s="42"/>
      <c r="M104" s="38"/>
      <c r="N104" s="38"/>
      <c r="O104" s="38"/>
      <c r="P104" s="5"/>
    </row>
    <row x14ac:dyDescent="0.25" r="105" customHeight="1" ht="33.75">
      <c r="A105" s="38"/>
      <c r="B105" s="44"/>
      <c r="C105" s="5"/>
      <c r="D105" s="42"/>
      <c r="E105" s="38"/>
      <c r="F105" s="40"/>
      <c r="G105" s="38"/>
      <c r="H105" s="38"/>
      <c r="I105" s="38"/>
      <c r="J105" s="38"/>
      <c r="K105" s="38"/>
      <c r="L105" s="42"/>
      <c r="M105" s="38"/>
      <c r="N105" s="38"/>
      <c r="O105" s="38"/>
      <c r="P105" s="5"/>
    </row>
    <row x14ac:dyDescent="0.25" r="106" customHeight="1" ht="33.75">
      <c r="A106" s="38"/>
      <c r="B106" s="44"/>
      <c r="C106" s="5"/>
      <c r="D106" s="42"/>
      <c r="E106" s="38"/>
      <c r="F106" s="40"/>
      <c r="G106" s="38"/>
      <c r="H106" s="38"/>
      <c r="I106" s="38"/>
      <c r="J106" s="38"/>
      <c r="K106" s="38"/>
      <c r="L106" s="42"/>
      <c r="M106" s="38"/>
      <c r="N106" s="38"/>
      <c r="O106" s="38"/>
      <c r="P106" s="5"/>
    </row>
    <row x14ac:dyDescent="0.25" r="107" customHeight="1" ht="33.75">
      <c r="A107" s="38"/>
      <c r="B107" s="44"/>
      <c r="C107" s="5"/>
      <c r="D107" s="42"/>
      <c r="E107" s="38"/>
      <c r="F107" s="40"/>
      <c r="G107" s="38"/>
      <c r="H107" s="38"/>
      <c r="I107" s="38"/>
      <c r="J107" s="38"/>
      <c r="K107" s="38"/>
      <c r="L107" s="42"/>
      <c r="M107" s="38"/>
      <c r="N107" s="38"/>
      <c r="O107" s="38"/>
      <c r="P107" s="5"/>
    </row>
    <row x14ac:dyDescent="0.25" r="108" customHeight="1" ht="33.75">
      <c r="A108" s="38"/>
      <c r="B108" s="44"/>
      <c r="C108" s="5"/>
      <c r="D108" s="42"/>
      <c r="E108" s="38"/>
      <c r="F108" s="40"/>
      <c r="G108" s="38"/>
      <c r="H108" s="38"/>
      <c r="I108" s="38"/>
      <c r="J108" s="38"/>
      <c r="K108" s="38"/>
      <c r="L108" s="42"/>
      <c r="M108" s="38"/>
      <c r="N108" s="38"/>
      <c r="O108" s="38"/>
      <c r="P108" s="5"/>
    </row>
    <row x14ac:dyDescent="0.25" r="109" customHeight="1" ht="33.75">
      <c r="A109" s="38"/>
      <c r="B109" s="44"/>
      <c r="C109" s="5"/>
      <c r="D109" s="42"/>
      <c r="E109" s="38"/>
      <c r="F109" s="40"/>
      <c r="G109" s="38"/>
      <c r="H109" s="38"/>
      <c r="I109" s="38"/>
      <c r="J109" s="38"/>
      <c r="K109" s="38"/>
      <c r="L109" s="42"/>
      <c r="M109" s="38"/>
      <c r="N109" s="38"/>
      <c r="O109" s="38"/>
      <c r="P109" s="5"/>
    </row>
    <row x14ac:dyDescent="0.25" r="110" customHeight="1" ht="33.75">
      <c r="A110" s="38"/>
      <c r="B110" s="44"/>
      <c r="C110" s="5"/>
      <c r="D110" s="42"/>
      <c r="E110" s="38"/>
      <c r="F110" s="40"/>
      <c r="G110" s="38"/>
      <c r="H110" s="38"/>
      <c r="I110" s="38"/>
      <c r="J110" s="38"/>
      <c r="K110" s="38"/>
      <c r="L110" s="42"/>
      <c r="M110" s="38"/>
      <c r="N110" s="38"/>
      <c r="O110" s="38"/>
      <c r="P110" s="5"/>
    </row>
    <row x14ac:dyDescent="0.25" r="111" customHeight="1" ht="33.75">
      <c r="A111" s="38"/>
      <c r="B111" s="44"/>
      <c r="C111" s="5"/>
      <c r="D111" s="42"/>
      <c r="E111" s="38"/>
      <c r="F111" s="40"/>
      <c r="G111" s="38"/>
      <c r="H111" s="38"/>
      <c r="I111" s="38"/>
      <c r="J111" s="38"/>
      <c r="K111" s="38"/>
      <c r="L111" s="42"/>
      <c r="M111" s="38"/>
      <c r="N111" s="38"/>
      <c r="O111" s="38"/>
      <c r="P111" s="5"/>
    </row>
    <row x14ac:dyDescent="0.25" r="112" customHeight="1" ht="33.75">
      <c r="A112" s="38"/>
      <c r="B112" s="44"/>
      <c r="C112" s="5"/>
      <c r="D112" s="42"/>
      <c r="E112" s="38"/>
      <c r="F112" s="40"/>
      <c r="G112" s="38"/>
      <c r="H112" s="38"/>
      <c r="I112" s="38"/>
      <c r="J112" s="38"/>
      <c r="K112" s="38"/>
      <c r="L112" s="42"/>
      <c r="M112" s="38"/>
      <c r="N112" s="38"/>
      <c r="O112" s="38"/>
      <c r="P112" s="5"/>
    </row>
    <row x14ac:dyDescent="0.25" r="113" customHeight="1" ht="33.75">
      <c r="A113" s="38"/>
      <c r="B113" s="44"/>
      <c r="C113" s="5"/>
      <c r="D113" s="42"/>
      <c r="E113" s="38"/>
      <c r="F113" s="40"/>
      <c r="G113" s="38"/>
      <c r="H113" s="38"/>
      <c r="I113" s="38"/>
      <c r="J113" s="38"/>
      <c r="K113" s="38"/>
      <c r="L113" s="42"/>
      <c r="M113" s="38"/>
      <c r="N113" s="38"/>
      <c r="O113" s="38"/>
      <c r="P113" s="5"/>
    </row>
    <row x14ac:dyDescent="0.25" r="114" customHeight="1" ht="33.75">
      <c r="A114" s="38"/>
      <c r="B114" s="44"/>
      <c r="C114" s="5"/>
      <c r="D114" s="42"/>
      <c r="E114" s="38"/>
      <c r="F114" s="40"/>
      <c r="G114" s="38"/>
      <c r="H114" s="38"/>
      <c r="I114" s="38"/>
      <c r="J114" s="38"/>
      <c r="K114" s="38"/>
      <c r="L114" s="42"/>
      <c r="M114" s="38"/>
      <c r="N114" s="38"/>
      <c r="O114" s="38"/>
      <c r="P114" s="5"/>
    </row>
    <row x14ac:dyDescent="0.25" r="115" customHeight="1" ht="33.75">
      <c r="A115" s="38"/>
      <c r="B115" s="44"/>
      <c r="C115" s="5"/>
      <c r="D115" s="42"/>
      <c r="E115" s="38"/>
      <c r="F115" s="40"/>
      <c r="G115" s="38"/>
      <c r="H115" s="38"/>
      <c r="I115" s="38"/>
      <c r="J115" s="38"/>
      <c r="K115" s="38"/>
      <c r="L115" s="42"/>
      <c r="M115" s="38"/>
      <c r="N115" s="38"/>
      <c r="O115" s="38"/>
      <c r="P115" s="5"/>
    </row>
    <row x14ac:dyDescent="0.25" r="116" customHeight="1" ht="33.75">
      <c r="A116" s="38"/>
      <c r="B116" s="44"/>
      <c r="C116" s="5"/>
      <c r="D116" s="42"/>
      <c r="E116" s="38"/>
      <c r="F116" s="40"/>
      <c r="G116" s="38"/>
      <c r="H116" s="38"/>
      <c r="I116" s="38"/>
      <c r="J116" s="38"/>
      <c r="K116" s="38"/>
      <c r="L116" s="42"/>
      <c r="M116" s="38"/>
      <c r="N116" s="38"/>
      <c r="O116" s="38"/>
      <c r="P116" s="5"/>
    </row>
    <row x14ac:dyDescent="0.25" r="117" customHeight="1" ht="33.75">
      <c r="A117" s="38"/>
      <c r="B117" s="44"/>
      <c r="C117" s="5"/>
      <c r="D117" s="42"/>
      <c r="E117" s="38"/>
      <c r="F117" s="40"/>
      <c r="G117" s="38"/>
      <c r="H117" s="38"/>
      <c r="I117" s="38"/>
      <c r="J117" s="38"/>
      <c r="K117" s="38"/>
      <c r="L117" s="42"/>
      <c r="M117" s="38"/>
      <c r="N117" s="38"/>
      <c r="O117" s="38"/>
      <c r="P117" s="5"/>
    </row>
    <row x14ac:dyDescent="0.25" r="118" customHeight="1" ht="33.75">
      <c r="A118" s="38"/>
      <c r="B118" s="44"/>
      <c r="C118" s="5"/>
      <c r="D118" s="42"/>
      <c r="E118" s="38"/>
      <c r="F118" s="40"/>
      <c r="G118" s="38"/>
      <c r="H118" s="38"/>
      <c r="I118" s="38"/>
      <c r="J118" s="38"/>
      <c r="K118" s="38"/>
      <c r="L118" s="42"/>
      <c r="M118" s="38"/>
      <c r="N118" s="38"/>
      <c r="O118" s="38"/>
      <c r="P118" s="5"/>
    </row>
    <row x14ac:dyDescent="0.25" r="119" customHeight="1" ht="33.75">
      <c r="A119" s="38"/>
      <c r="B119" s="44"/>
      <c r="C119" s="5"/>
      <c r="D119" s="42"/>
      <c r="E119" s="38"/>
      <c r="F119" s="40"/>
      <c r="G119" s="38"/>
      <c r="H119" s="38"/>
      <c r="I119" s="38"/>
      <c r="J119" s="38"/>
      <c r="K119" s="38"/>
      <c r="L119" s="42"/>
      <c r="M119" s="38"/>
      <c r="N119" s="38"/>
      <c r="O119" s="38"/>
      <c r="P119" s="5"/>
    </row>
    <row x14ac:dyDescent="0.25" r="120" customHeight="1" ht="33.75">
      <c r="A120" s="38"/>
      <c r="B120" s="44"/>
      <c r="C120" s="5"/>
      <c r="D120" s="42"/>
      <c r="E120" s="38"/>
      <c r="F120" s="40"/>
      <c r="G120" s="38"/>
      <c r="H120" s="38"/>
      <c r="I120" s="38"/>
      <c r="J120" s="38"/>
      <c r="K120" s="38"/>
      <c r="L120" s="42"/>
      <c r="M120" s="38"/>
      <c r="N120" s="38"/>
      <c r="O120" s="38"/>
      <c r="P120" s="5"/>
    </row>
    <row x14ac:dyDescent="0.25" r="121" customHeight="1" ht="33.75">
      <c r="A121" s="38"/>
      <c r="B121" s="44"/>
      <c r="C121" s="5"/>
      <c r="D121" s="42"/>
      <c r="E121" s="38"/>
      <c r="F121" s="40"/>
      <c r="G121" s="38"/>
      <c r="H121" s="38"/>
      <c r="I121" s="38"/>
      <c r="J121" s="38"/>
      <c r="K121" s="38"/>
      <c r="L121" s="42"/>
      <c r="M121" s="38"/>
      <c r="N121" s="38"/>
      <c r="O121" s="38"/>
      <c r="P121" s="5"/>
    </row>
    <row x14ac:dyDescent="0.25" r="122" customHeight="1" ht="33.75">
      <c r="A122" s="38"/>
      <c r="B122" s="44"/>
      <c r="C122" s="5"/>
      <c r="D122" s="42"/>
      <c r="E122" s="38"/>
      <c r="F122" s="40"/>
      <c r="G122" s="38"/>
      <c r="H122" s="38"/>
      <c r="I122" s="38"/>
      <c r="J122" s="38"/>
      <c r="K122" s="38"/>
      <c r="L122" s="42"/>
      <c r="M122" s="38"/>
      <c r="N122" s="38"/>
      <c r="O122" s="38"/>
      <c r="P122" s="5"/>
    </row>
    <row x14ac:dyDescent="0.25" r="123" customHeight="1" ht="33.75">
      <c r="A123" s="38"/>
      <c r="B123" s="39"/>
      <c r="C123" s="5"/>
      <c r="D123" s="38"/>
      <c r="E123" s="38"/>
      <c r="F123" s="38"/>
      <c r="G123" s="38"/>
      <c r="H123" s="38"/>
      <c r="I123" s="38"/>
      <c r="J123" s="38"/>
      <c r="K123" s="38"/>
      <c r="L123" s="42"/>
      <c r="M123" s="38"/>
      <c r="N123" s="38"/>
      <c r="O123" s="38"/>
      <c r="P123" s="5"/>
    </row>
    <row x14ac:dyDescent="0.25" r="124" customHeight="1" ht="18.75">
      <c r="A124" s="38"/>
      <c r="B124" s="39"/>
      <c r="C124" s="5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5"/>
    </row>
    <row x14ac:dyDescent="0.25" r="125" customHeight="1" ht="18.75">
      <c r="A125" s="38"/>
      <c r="B125" s="39"/>
      <c r="C125" s="5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5"/>
    </row>
    <row x14ac:dyDescent="0.25" r="126" customHeight="1" ht="18.75">
      <c r="A126" s="38"/>
      <c r="B126" s="39"/>
      <c r="C126" s="5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5"/>
    </row>
    <row x14ac:dyDescent="0.25" r="127" customHeight="1" ht="18.75">
      <c r="A127" s="38"/>
      <c r="B127" s="39"/>
      <c r="C127" s="5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5"/>
    </row>
    <row x14ac:dyDescent="0.25" r="128" customHeight="1" ht="18.75">
      <c r="A128" s="38"/>
      <c r="B128" s="39"/>
      <c r="C128" s="5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5"/>
    </row>
    <row x14ac:dyDescent="0.25" r="129" customHeight="1" ht="33.75">
      <c r="A129" s="38"/>
      <c r="B129" s="44"/>
      <c r="C129" s="5"/>
      <c r="D129" s="42"/>
      <c r="E129" s="38"/>
      <c r="F129" s="42"/>
      <c r="G129" s="38"/>
      <c r="H129" s="38"/>
      <c r="I129" s="38"/>
      <c r="J129" s="38"/>
      <c r="K129" s="38"/>
      <c r="L129" s="38"/>
      <c r="M129" s="38"/>
      <c r="N129" s="38"/>
      <c r="O129" s="38"/>
      <c r="P129" s="5"/>
    </row>
    <row x14ac:dyDescent="0.25" r="130" customHeight="1" ht="33.75">
      <c r="A130" s="38"/>
      <c r="B130" s="44"/>
      <c r="C130" s="5"/>
      <c r="D130" s="42"/>
      <c r="E130" s="38"/>
      <c r="F130" s="42"/>
      <c r="G130" s="38"/>
      <c r="H130" s="38"/>
      <c r="I130" s="38"/>
      <c r="J130" s="38"/>
      <c r="K130" s="38"/>
      <c r="L130" s="38"/>
      <c r="M130" s="38"/>
      <c r="N130" s="38"/>
      <c r="O130" s="38"/>
      <c r="P130" s="5"/>
    </row>
    <row x14ac:dyDescent="0.25" r="131" customHeight="1" ht="33.75">
      <c r="A131" s="38"/>
      <c r="B131" s="44"/>
      <c r="C131" s="5"/>
      <c r="D131" s="42"/>
      <c r="E131" s="38"/>
      <c r="F131" s="42"/>
      <c r="G131" s="38"/>
      <c r="H131" s="38"/>
      <c r="I131" s="38"/>
      <c r="J131" s="38"/>
      <c r="K131" s="38"/>
      <c r="L131" s="38"/>
      <c r="M131" s="38"/>
      <c r="N131" s="38"/>
      <c r="O131" s="38"/>
      <c r="P131" s="5"/>
    </row>
    <row x14ac:dyDescent="0.25" r="132" customHeight="1" ht="33.75">
      <c r="A132" s="38"/>
      <c r="B132" s="44"/>
      <c r="C132" s="5"/>
      <c r="D132" s="42"/>
      <c r="E132" s="38"/>
      <c r="F132" s="42"/>
      <c r="G132" s="38"/>
      <c r="H132" s="38"/>
      <c r="I132" s="38"/>
      <c r="J132" s="38"/>
      <c r="K132" s="38"/>
      <c r="L132" s="38"/>
      <c r="M132" s="38"/>
      <c r="N132" s="38"/>
      <c r="O132" s="38"/>
      <c r="P132" s="5"/>
    </row>
    <row x14ac:dyDescent="0.25" r="133" customHeight="1" ht="33.75">
      <c r="A133" s="38"/>
      <c r="B133" s="44"/>
      <c r="C133" s="5"/>
      <c r="D133" s="42"/>
      <c r="E133" s="38"/>
      <c r="F133" s="42"/>
      <c r="G133" s="38"/>
      <c r="H133" s="38"/>
      <c r="I133" s="38"/>
      <c r="J133" s="38"/>
      <c r="K133" s="38"/>
      <c r="L133" s="38"/>
      <c r="M133" s="38"/>
      <c r="N133" s="38"/>
      <c r="O133" s="38"/>
      <c r="P133" s="5"/>
    </row>
    <row x14ac:dyDescent="0.25" r="134" customHeight="1" ht="33.75">
      <c r="A134" s="38"/>
      <c r="B134" s="44"/>
      <c r="C134" s="5"/>
      <c r="D134" s="42"/>
      <c r="E134" s="38"/>
      <c r="F134" s="42"/>
      <c r="G134" s="38"/>
      <c r="H134" s="38"/>
      <c r="I134" s="38"/>
      <c r="J134" s="38"/>
      <c r="K134" s="38"/>
      <c r="L134" s="38"/>
      <c r="M134" s="38"/>
      <c r="N134" s="38"/>
      <c r="O134" s="38"/>
      <c r="P134" s="5"/>
    </row>
    <row x14ac:dyDescent="0.25" r="135" customHeight="1" ht="33.75">
      <c r="A135" s="38"/>
      <c r="B135" s="44"/>
      <c r="C135" s="5"/>
      <c r="D135" s="42"/>
      <c r="E135" s="38"/>
      <c r="F135" s="42"/>
      <c r="G135" s="38"/>
      <c r="H135" s="38"/>
      <c r="I135" s="38"/>
      <c r="J135" s="38"/>
      <c r="K135" s="38"/>
      <c r="L135" s="38"/>
      <c r="M135" s="38"/>
      <c r="N135" s="38"/>
      <c r="O135" s="38"/>
      <c r="P135" s="5"/>
    </row>
    <row x14ac:dyDescent="0.25" r="136" customHeight="1" ht="33.75">
      <c r="A136" s="38"/>
      <c r="B136" s="44"/>
      <c r="C136" s="5"/>
      <c r="D136" s="42"/>
      <c r="E136" s="38"/>
      <c r="F136" s="42"/>
      <c r="G136" s="38"/>
      <c r="H136" s="38"/>
      <c r="I136" s="38"/>
      <c r="J136" s="38"/>
      <c r="K136" s="38"/>
      <c r="L136" s="38"/>
      <c r="M136" s="38"/>
      <c r="N136" s="38"/>
      <c r="O136" s="38"/>
      <c r="P136" s="5"/>
    </row>
    <row x14ac:dyDescent="0.25" r="137" customHeight="1" ht="33.75">
      <c r="A137" s="38"/>
      <c r="B137" s="44"/>
      <c r="C137" s="5"/>
      <c r="D137" s="42"/>
      <c r="E137" s="38"/>
      <c r="F137" s="42"/>
      <c r="G137" s="38"/>
      <c r="H137" s="38"/>
      <c r="I137" s="38"/>
      <c r="J137" s="38"/>
      <c r="K137" s="38"/>
      <c r="L137" s="38"/>
      <c r="M137" s="38"/>
      <c r="N137" s="38"/>
      <c r="O137" s="38"/>
      <c r="P137" s="5"/>
    </row>
    <row x14ac:dyDescent="0.25" r="138" customHeight="1" ht="33.75">
      <c r="A138" s="38"/>
      <c r="B138" s="44"/>
      <c r="C138" s="5"/>
      <c r="D138" s="42"/>
      <c r="E138" s="38"/>
      <c r="F138" s="42"/>
      <c r="G138" s="38"/>
      <c r="H138" s="38"/>
      <c r="I138" s="38"/>
      <c r="J138" s="38"/>
      <c r="K138" s="38"/>
      <c r="L138" s="38"/>
      <c r="M138" s="38"/>
      <c r="N138" s="38"/>
      <c r="O138" s="38"/>
      <c r="P138" s="5"/>
    </row>
  </sheetData>
  <mergeCells count="12">
    <mergeCell ref="A2:A4"/>
    <mergeCell ref="B2:B4"/>
    <mergeCell ref="C2:C4"/>
    <mergeCell ref="D2:F2"/>
    <mergeCell ref="G2:I2"/>
    <mergeCell ref="J2:L2"/>
    <mergeCell ref="M2:O2"/>
    <mergeCell ref="D3:F3"/>
    <mergeCell ref="G3:I3"/>
    <mergeCell ref="J3:L3"/>
    <mergeCell ref="M3:O3"/>
    <mergeCell ref="A62:C6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T(H1-21)&amp;amp;(H1-22)Com</vt:lpstr>
      <vt:lpstr>T(Sum)</vt:lpstr>
      <vt:lpstr>E(H1-21)&amp;amp;(H1-22)Com</vt:lpstr>
      <vt:lpstr>E(Sum)</vt:lpstr>
      <vt:lpstr>M(H1-21)&amp;amp;(H1-22)Com</vt:lpstr>
      <vt:lpstr>M(Sum)</vt:lpstr>
      <vt:lpstr>P(H1-21)&amp;amp;(H1-22)Com</vt:lpstr>
      <vt:lpstr>Power(Sum)</vt:lpstr>
      <vt:lpstr>4-Cus(H1-21)</vt:lpstr>
      <vt:lpstr>4-Cus(H1-22)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2022-07-22T07:27:19.476Z</dcterms:created>
  <dcterms:modified xsi:type="dcterms:W3CDTF">2022-07-22T07:27:19.476Z</dcterms:modified>
</cp:coreProperties>
</file>