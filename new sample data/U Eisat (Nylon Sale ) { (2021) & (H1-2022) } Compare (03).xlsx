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19425" windowHeight="10305" tabRatio="618"/>
  </bookViews>
  <sheets>
    <sheet name="E(2021)&amp;(H1-2022)Compare" sheetId="10" r:id="rId1"/>
    <sheet name="E(2021)&amp;(H1-22)Summary" sheetId="109" r:id="rId2"/>
  </sheets>
  <definedNames>
    <definedName name="_xlnm._FilterDatabase" localSheetId="0" hidden="1">'E(2021)&amp;(H1-2022)Compare'!#REF!</definedName>
    <definedName name="apple">#REF!</definedName>
    <definedName name="_xlnm.Print_Area" localSheetId="0">'E(2021)&amp;(H1-2022)Compare'!#REF!</definedName>
  </definedNames>
  <calcPr calcId="144525"/>
  <fileRecoveryPr autoRecover="0"/>
</workbook>
</file>

<file path=xl/calcChain.xml><?xml version="1.0" encoding="utf-8"?>
<calcChain xmlns="http://schemas.openxmlformats.org/spreadsheetml/2006/main">
  <c r="D62" i="109" l="1"/>
  <c r="E62" i="109"/>
  <c r="F62" i="109"/>
  <c r="G62" i="109"/>
  <c r="H62" i="109"/>
  <c r="I62" i="109"/>
  <c r="I59" i="109"/>
  <c r="H59" i="109"/>
  <c r="I55" i="109"/>
  <c r="H55" i="109"/>
  <c r="I52" i="109"/>
  <c r="H52" i="109"/>
  <c r="I50" i="109"/>
  <c r="H50" i="109"/>
  <c r="I49" i="109"/>
  <c r="H49" i="109"/>
  <c r="I47" i="109"/>
  <c r="H47" i="109"/>
  <c r="I43" i="109"/>
  <c r="H43" i="109"/>
  <c r="I42" i="109"/>
  <c r="H42" i="109"/>
  <c r="I39" i="109"/>
  <c r="H39" i="109"/>
  <c r="H26" i="109"/>
  <c r="I26" i="109"/>
  <c r="H25" i="109"/>
  <c r="I25" i="109"/>
  <c r="H24" i="109"/>
  <c r="I24" i="109"/>
  <c r="H15" i="109"/>
  <c r="I15" i="109"/>
  <c r="H13" i="109" l="1"/>
  <c r="I13" i="109"/>
  <c r="BC61" i="10"/>
  <c r="AZ61" i="10"/>
  <c r="AQ61" i="10"/>
  <c r="BH59" i="10"/>
  <c r="AV59" i="10"/>
  <c r="AS59" i="10"/>
  <c r="BH58" i="10"/>
  <c r="BE58" i="10"/>
  <c r="AV58" i="10"/>
  <c r="AS58" i="10"/>
  <c r="BH57" i="10"/>
  <c r="BE57" i="10"/>
  <c r="BB57" i="10"/>
  <c r="AY57" i="10"/>
  <c r="AW57" i="10"/>
  <c r="AV57" i="10"/>
  <c r="AS57" i="10"/>
  <c r="BH56" i="10"/>
  <c r="BE56" i="10"/>
  <c r="AV56" i="10"/>
  <c r="AS56" i="10"/>
  <c r="AV55" i="10"/>
  <c r="AS55" i="10"/>
  <c r="BE54" i="10"/>
  <c r="BB54" i="10"/>
  <c r="BH53" i="10"/>
  <c r="BE53" i="10"/>
  <c r="BB53" i="10"/>
  <c r="AY53" i="10"/>
  <c r="AW53" i="10"/>
  <c r="AV53" i="10"/>
  <c r="AS53" i="10"/>
  <c r="BH52" i="10"/>
  <c r="BH51" i="10"/>
  <c r="BE51" i="10"/>
  <c r="BB51" i="10"/>
  <c r="AY51" i="10"/>
  <c r="AW51" i="10"/>
  <c r="AV51" i="10"/>
  <c r="AS51" i="10"/>
  <c r="BH50" i="10"/>
  <c r="BE50" i="10"/>
  <c r="AV50" i="10"/>
  <c r="AS50" i="10"/>
  <c r="BH49" i="10"/>
  <c r="BE49" i="10"/>
  <c r="BB49" i="10"/>
  <c r="AY49" i="10"/>
  <c r="AW49" i="10"/>
  <c r="AV49" i="10"/>
  <c r="AS49" i="10"/>
  <c r="BH48" i="10"/>
  <c r="BE48" i="10"/>
  <c r="AV48" i="10"/>
  <c r="BH47" i="10"/>
  <c r="BE47" i="10"/>
  <c r="AV47" i="10"/>
  <c r="BH46" i="10"/>
  <c r="BE46" i="10"/>
  <c r="AY46" i="10"/>
  <c r="AV46" i="10"/>
  <c r="BH45" i="10"/>
  <c r="BE45" i="10"/>
  <c r="BB45" i="10"/>
  <c r="AY45" i="10"/>
  <c r="AW45" i="10"/>
  <c r="AV45" i="10"/>
  <c r="AS45" i="10"/>
  <c r="BH44" i="10"/>
  <c r="BE44" i="10"/>
  <c r="BB44" i="10"/>
  <c r="BH43" i="10"/>
  <c r="BE43" i="10"/>
  <c r="BB43" i="10"/>
  <c r="AY43" i="10"/>
  <c r="AW43" i="10"/>
  <c r="AV43" i="10"/>
  <c r="AS43" i="10"/>
  <c r="BH42" i="10"/>
  <c r="BE42" i="10"/>
  <c r="BB42" i="10"/>
  <c r="AV41" i="10"/>
  <c r="AS41" i="10"/>
  <c r="BH40" i="10"/>
  <c r="BE40" i="10"/>
  <c r="AV40" i="10"/>
  <c r="AS40" i="10"/>
  <c r="BH39" i="10"/>
  <c r="BE39" i="10"/>
  <c r="BB39" i="10"/>
  <c r="AY39" i="10"/>
  <c r="AV39" i="10"/>
  <c r="AS39" i="10"/>
  <c r="BH38" i="10"/>
  <c r="BE38" i="10"/>
  <c r="AY38" i="10"/>
  <c r="AV38" i="10"/>
  <c r="AS38" i="10"/>
  <c r="BH37" i="10"/>
  <c r="BE37" i="10"/>
  <c r="AY37" i="10"/>
  <c r="AW37" i="10"/>
  <c r="AS37" i="10"/>
  <c r="BH36" i="10"/>
  <c r="BE36" i="10"/>
  <c r="BB36" i="10"/>
  <c r="AY36" i="10"/>
  <c r="AW36" i="10"/>
  <c r="AV36" i="10"/>
  <c r="AS36" i="10"/>
  <c r="BH35" i="10"/>
  <c r="BE35" i="10"/>
  <c r="BB35" i="10"/>
  <c r="AY35" i="10"/>
  <c r="AW35" i="10"/>
  <c r="AV35" i="10"/>
  <c r="AS35" i="10"/>
  <c r="BH34" i="10"/>
  <c r="BE34" i="10"/>
  <c r="BB34" i="10"/>
  <c r="AY34" i="10"/>
  <c r="AW34" i="10"/>
  <c r="AV34" i="10"/>
  <c r="AS34" i="10"/>
  <c r="BH33" i="10"/>
  <c r="BE33" i="10"/>
  <c r="BB33" i="10"/>
  <c r="AY33" i="10"/>
  <c r="AW33" i="10"/>
  <c r="AV33" i="10"/>
  <c r="AS33" i="10"/>
  <c r="BH32" i="10"/>
  <c r="BE32" i="10"/>
  <c r="BB32" i="10"/>
  <c r="AY32" i="10"/>
  <c r="AW32" i="10"/>
  <c r="AV32" i="10"/>
  <c r="AS32" i="10"/>
  <c r="BH31" i="10"/>
  <c r="BE31" i="10"/>
  <c r="BB31" i="10"/>
  <c r="AY31" i="10"/>
  <c r="AW31" i="10"/>
  <c r="AV31" i="10"/>
  <c r="AS31" i="10"/>
  <c r="BH30" i="10"/>
  <c r="BE30" i="10"/>
  <c r="BB30" i="10"/>
  <c r="AY30" i="10"/>
  <c r="AW30" i="10"/>
  <c r="AV30" i="10"/>
  <c r="AS30" i="10"/>
  <c r="BH29" i="10"/>
  <c r="BE29" i="10"/>
  <c r="BB29" i="10"/>
  <c r="AY29" i="10"/>
  <c r="AW29" i="10"/>
  <c r="AV29" i="10"/>
  <c r="AS29" i="10"/>
  <c r="BH28" i="10"/>
  <c r="BE28" i="10"/>
  <c r="BB28" i="10"/>
  <c r="AY28" i="10"/>
  <c r="AW28" i="10"/>
  <c r="AV28" i="10"/>
  <c r="AS28" i="10"/>
  <c r="BH27" i="10"/>
  <c r="BE27" i="10"/>
  <c r="BB27" i="10"/>
  <c r="AY27" i="10"/>
  <c r="AS27" i="10"/>
  <c r="BH25" i="10"/>
  <c r="BF25" i="10"/>
  <c r="BF61" i="10" s="1"/>
  <c r="BE25" i="10"/>
  <c r="BB25" i="10"/>
  <c r="AY25" i="10"/>
  <c r="AW25" i="10"/>
  <c r="AV25" i="10"/>
  <c r="AS25" i="10"/>
  <c r="BH24" i="10"/>
  <c r="BE24" i="10"/>
  <c r="BB24" i="10"/>
  <c r="AY24" i="10"/>
  <c r="AW24" i="10"/>
  <c r="AV24" i="10"/>
  <c r="AS24" i="10"/>
  <c r="BH23" i="10"/>
  <c r="BE23" i="10"/>
  <c r="BB23" i="10"/>
  <c r="AY23" i="10"/>
  <c r="AW23" i="10"/>
  <c r="AV23" i="10"/>
  <c r="AS23" i="10"/>
  <c r="BH22" i="10"/>
  <c r="BE22" i="10"/>
  <c r="AV22" i="10"/>
  <c r="AS22" i="10"/>
  <c r="BH21" i="10"/>
  <c r="BE21" i="10"/>
  <c r="BB21" i="10"/>
  <c r="AY21" i="10"/>
  <c r="AV21" i="10"/>
  <c r="AS21" i="10"/>
  <c r="BH20" i="10"/>
  <c r="BE20" i="10"/>
  <c r="BB20" i="10"/>
  <c r="AY20" i="10"/>
  <c r="AW20" i="10"/>
  <c r="AV20" i="10"/>
  <c r="BE19" i="10"/>
  <c r="AY19" i="10"/>
  <c r="AW19" i="10"/>
  <c r="AV19" i="10"/>
  <c r="BH18" i="10"/>
  <c r="BE18" i="10"/>
  <c r="AV18" i="10"/>
  <c r="BH17" i="10"/>
  <c r="BE17" i="10"/>
  <c r="BB17" i="10"/>
  <c r="AY17" i="10"/>
  <c r="AW17" i="10"/>
  <c r="AV17" i="10"/>
  <c r="AS17" i="10"/>
  <c r="BH16" i="10"/>
  <c r="BE16" i="10"/>
  <c r="BB16" i="10"/>
  <c r="AY16" i="10"/>
  <c r="AW16" i="10"/>
  <c r="AV16" i="10"/>
  <c r="AT16" i="10"/>
  <c r="AS16" i="10"/>
  <c r="BH15" i="10"/>
  <c r="BE15" i="10"/>
  <c r="AY15" i="10"/>
  <c r="AV15" i="10"/>
  <c r="BH14" i="10"/>
  <c r="BE14" i="10"/>
  <c r="BB14" i="10"/>
  <c r="AY14" i="10"/>
  <c r="AW14" i="10"/>
  <c r="AV14" i="10"/>
  <c r="AS14" i="10"/>
  <c r="BH13" i="10"/>
  <c r="BE13" i="10"/>
  <c r="BB13" i="10"/>
  <c r="AY13" i="10"/>
  <c r="AW13" i="10"/>
  <c r="AV13" i="10"/>
  <c r="AS13" i="10"/>
  <c r="BH12" i="10"/>
  <c r="BE12" i="10"/>
  <c r="BB12" i="10"/>
  <c r="AY12" i="10"/>
  <c r="AW12" i="10"/>
  <c r="AV12" i="10"/>
  <c r="AT12" i="10"/>
  <c r="AS12" i="10"/>
  <c r="BH11" i="10"/>
  <c r="BE11" i="10"/>
  <c r="BB11" i="10"/>
  <c r="AY11" i="10"/>
  <c r="AW11" i="10"/>
  <c r="AV11" i="10"/>
  <c r="BH10" i="10"/>
  <c r="BE10" i="10"/>
  <c r="AY10" i="10"/>
  <c r="AW10" i="10"/>
  <c r="AV10" i="10"/>
  <c r="AT10" i="10"/>
  <c r="BH9" i="10"/>
  <c r="BE9" i="10"/>
  <c r="BB9" i="10"/>
  <c r="AY9" i="10"/>
  <c r="AW9" i="10"/>
  <c r="AV9" i="10"/>
  <c r="AS9" i="10"/>
  <c r="BH8" i="10"/>
  <c r="BE8" i="10"/>
  <c r="BB8" i="10"/>
  <c r="AY8" i="10"/>
  <c r="AW8" i="10"/>
  <c r="AV8" i="10"/>
  <c r="AS8" i="10"/>
  <c r="BH7" i="10"/>
  <c r="BE7" i="10"/>
  <c r="AV7" i="10"/>
  <c r="AS7" i="10"/>
  <c r="BH6" i="10"/>
  <c r="BE6" i="10"/>
  <c r="BB6" i="10"/>
  <c r="AY6" i="10"/>
  <c r="AW6" i="10"/>
  <c r="AV6" i="10"/>
  <c r="AS6" i="10"/>
  <c r="BH5" i="10"/>
  <c r="BE5" i="10"/>
  <c r="BB5" i="10"/>
  <c r="AY5" i="10"/>
  <c r="AW5" i="10"/>
  <c r="AV5" i="10"/>
  <c r="AS5" i="10"/>
  <c r="BH4" i="10"/>
  <c r="BH61" i="10" s="1"/>
  <c r="BE4" i="10"/>
  <c r="BE61" i="10" s="1"/>
  <c r="BB4" i="10"/>
  <c r="BB61" i="10" s="1"/>
  <c r="AY4" i="10"/>
  <c r="AY61" i="10" s="1"/>
  <c r="AW4" i="10"/>
  <c r="AW61" i="10" s="1"/>
  <c r="AV4" i="10"/>
  <c r="AV61" i="10" s="1"/>
  <c r="AT4" i="10"/>
  <c r="AT61" i="10" s="1"/>
  <c r="AS4" i="10"/>
  <c r="AS61" i="10" s="1"/>
  <c r="O58" i="10"/>
  <c r="Q58" i="10"/>
  <c r="O54" i="10"/>
  <c r="Q54" i="10"/>
  <c r="O51" i="10"/>
  <c r="Q51" i="10"/>
  <c r="O49" i="10"/>
  <c r="Q49" i="10"/>
  <c r="O48" i="10"/>
  <c r="Q48" i="10"/>
  <c r="O46" i="10"/>
  <c r="Q46" i="10"/>
  <c r="O42" i="10"/>
  <c r="Q42" i="10"/>
  <c r="Q41" i="10"/>
  <c r="O41" i="10"/>
  <c r="O38" i="10"/>
  <c r="Q38" i="10"/>
  <c r="AB25" i="10"/>
  <c r="AD25" i="10"/>
  <c r="O25" i="10"/>
  <c r="Q25" i="10"/>
  <c r="H25" i="10"/>
  <c r="J25" i="10"/>
  <c r="O24" i="10"/>
  <c r="Q24" i="10"/>
  <c r="O23" i="10"/>
  <c r="Q23" i="10"/>
  <c r="O14" i="10" l="1"/>
  <c r="Q14" i="10"/>
  <c r="O12" i="10"/>
  <c r="Q12" i="10"/>
  <c r="AN61" i="10" l="1"/>
  <c r="AP5" i="10"/>
  <c r="AP6" i="10"/>
  <c r="AP7" i="10"/>
  <c r="AP8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29" i="10"/>
  <c r="AP30" i="10"/>
  <c r="AP31" i="10"/>
  <c r="AP32" i="10"/>
  <c r="AP33" i="10"/>
  <c r="AP34" i="10"/>
  <c r="AP35" i="10"/>
  <c r="AP36" i="10"/>
  <c r="AP37" i="10"/>
  <c r="AP38" i="10"/>
  <c r="AP39" i="10"/>
  <c r="AP40" i="10"/>
  <c r="AP41" i="10"/>
  <c r="AP42" i="10"/>
  <c r="AP43" i="10"/>
  <c r="AP44" i="10"/>
  <c r="AP45" i="10"/>
  <c r="AP46" i="10"/>
  <c r="AP47" i="10"/>
  <c r="AP48" i="10"/>
  <c r="AP49" i="10"/>
  <c r="AP50" i="10"/>
  <c r="AP51" i="10"/>
  <c r="AP52" i="10"/>
  <c r="AP53" i="10"/>
  <c r="AP54" i="10"/>
  <c r="AP55" i="10"/>
  <c r="AP56" i="10"/>
  <c r="AP57" i="10"/>
  <c r="AP58" i="10"/>
  <c r="AP59" i="10"/>
  <c r="AP60" i="10"/>
  <c r="AP4" i="10"/>
  <c r="AP61" i="10" l="1"/>
  <c r="AJ61" i="10"/>
  <c r="AH61" i="10"/>
  <c r="AD61" i="10"/>
  <c r="AB61" i="10"/>
  <c r="X61" i="10"/>
  <c r="V61" i="10"/>
  <c r="Q61" i="10"/>
  <c r="O61" i="10"/>
  <c r="J61" i="10"/>
  <c r="H61" i="10"/>
  <c r="M4" i="10" l="1"/>
  <c r="T4" i="10"/>
  <c r="AA4" i="10"/>
  <c r="AM4" i="10"/>
  <c r="F5" i="10"/>
  <c r="M5" i="10"/>
  <c r="T5" i="10"/>
  <c r="AA5" i="10"/>
  <c r="AG5" i="10"/>
  <c r="AM5" i="10"/>
  <c r="F6" i="10"/>
  <c r="M6" i="10"/>
  <c r="T6" i="10"/>
  <c r="AA6" i="10"/>
  <c r="AG6" i="10"/>
  <c r="AM6" i="10"/>
  <c r="F7" i="10"/>
  <c r="AA7" i="10"/>
  <c r="AM7" i="10"/>
  <c r="AA8" i="10"/>
  <c r="AM8" i="10"/>
  <c r="F9" i="10"/>
  <c r="T9" i="10"/>
  <c r="AA9" i="10"/>
  <c r="AG9" i="10"/>
  <c r="AM9" i="10"/>
  <c r="F10" i="10"/>
  <c r="AA10" i="10"/>
  <c r="AM11" i="10"/>
  <c r="M12" i="10"/>
  <c r="AG12" i="10"/>
  <c r="AM12" i="10"/>
  <c r="T13" i="10"/>
  <c r="AA13" i="10"/>
  <c r="AM13" i="10"/>
  <c r="F14" i="10"/>
  <c r="M14" i="10"/>
  <c r="T14" i="10"/>
  <c r="AA14" i="10"/>
  <c r="AG14" i="10"/>
  <c r="AM14" i="10"/>
  <c r="F15" i="10"/>
  <c r="T15" i="10"/>
  <c r="AM15" i="10"/>
  <c r="F16" i="10"/>
  <c r="M16" i="10"/>
  <c r="T16" i="10"/>
  <c r="AA16" i="10"/>
  <c r="AG16" i="10"/>
  <c r="AM16" i="10"/>
  <c r="F17" i="10"/>
  <c r="M17" i="10"/>
  <c r="T17" i="10"/>
  <c r="AA17" i="10"/>
  <c r="AG17" i="10"/>
  <c r="AM17" i="10"/>
  <c r="F18" i="10"/>
  <c r="M18" i="10"/>
  <c r="AA18" i="10"/>
  <c r="F19" i="10"/>
  <c r="M20" i="10"/>
  <c r="T20" i="10"/>
  <c r="AA20" i="10"/>
  <c r="AG20" i="10"/>
  <c r="AM20" i="10"/>
  <c r="T21" i="10"/>
  <c r="AG21" i="10"/>
  <c r="AM21" i="10"/>
  <c r="F22" i="10"/>
  <c r="M22" i="10"/>
  <c r="AA22" i="10"/>
  <c r="AG22" i="10"/>
  <c r="AM22" i="10"/>
  <c r="F23" i="10"/>
  <c r="T23" i="10"/>
  <c r="AA23" i="10"/>
  <c r="AM23" i="10"/>
  <c r="F24" i="10"/>
  <c r="M24" i="10"/>
  <c r="T24" i="10"/>
  <c r="AA24" i="10"/>
  <c r="AG24" i="10"/>
  <c r="AM24" i="10"/>
  <c r="F25" i="10"/>
  <c r="M25" i="10"/>
  <c r="T25" i="10"/>
  <c r="AA25" i="10"/>
  <c r="AM25" i="10"/>
  <c r="F27" i="10"/>
  <c r="AA27" i="10"/>
  <c r="F28" i="10"/>
  <c r="T28" i="10"/>
  <c r="AA28" i="10"/>
  <c r="AG28" i="10"/>
  <c r="AM28" i="10"/>
  <c r="F29" i="10"/>
  <c r="M29" i="10"/>
  <c r="T29" i="10"/>
  <c r="AA29" i="10"/>
  <c r="AG29" i="10"/>
  <c r="AM29" i="10"/>
  <c r="F30" i="10"/>
  <c r="M30" i="10"/>
  <c r="T30" i="10"/>
  <c r="AA30" i="10"/>
  <c r="AG30" i="10"/>
  <c r="AM30" i="10"/>
  <c r="F31" i="10"/>
  <c r="M31" i="10"/>
  <c r="T31" i="10"/>
  <c r="AA31" i="10"/>
  <c r="AG31" i="10"/>
  <c r="AM31" i="10"/>
  <c r="F32" i="10"/>
  <c r="M32" i="10"/>
  <c r="T32" i="10"/>
  <c r="AA32" i="10"/>
  <c r="AG32" i="10"/>
  <c r="AM32" i="10"/>
  <c r="F33" i="10"/>
  <c r="M33" i="10"/>
  <c r="T33" i="10"/>
  <c r="AA33" i="10"/>
  <c r="AG33" i="10"/>
  <c r="AM33" i="10"/>
  <c r="F34" i="10"/>
  <c r="M34" i="10"/>
  <c r="T34" i="10"/>
  <c r="AA34" i="10"/>
  <c r="AG34" i="10"/>
  <c r="AM34" i="10"/>
  <c r="F35" i="10"/>
  <c r="M35" i="10"/>
  <c r="T35" i="10"/>
  <c r="AA35" i="10"/>
  <c r="AG35" i="10"/>
  <c r="AM35" i="10"/>
  <c r="F36" i="10"/>
  <c r="T36" i="10"/>
  <c r="AA36" i="10"/>
  <c r="AG36" i="10"/>
  <c r="AM36" i="10"/>
  <c r="F37" i="10"/>
  <c r="AA37" i="10"/>
  <c r="AG37" i="10"/>
  <c r="AM38" i="10"/>
  <c r="F39" i="10"/>
  <c r="M39" i="10"/>
  <c r="R39" i="10"/>
  <c r="T39" i="10" s="1"/>
  <c r="AA39" i="10"/>
  <c r="AG39" i="10"/>
  <c r="AM39" i="10"/>
  <c r="AM40" i="10"/>
  <c r="M41" i="10"/>
  <c r="R41" i="10"/>
  <c r="T41" i="10" s="1"/>
  <c r="AM41" i="10"/>
  <c r="F42" i="10"/>
  <c r="M42" i="10"/>
  <c r="T42" i="10"/>
  <c r="F43" i="10"/>
  <c r="M43" i="10"/>
  <c r="T43" i="10"/>
  <c r="AG43" i="10"/>
  <c r="AM43" i="10"/>
  <c r="F44" i="10"/>
  <c r="M44" i="10"/>
  <c r="T44" i="10"/>
  <c r="AA44" i="10"/>
  <c r="AG44" i="10"/>
  <c r="M45" i="10"/>
  <c r="T45" i="10"/>
  <c r="AA45" i="10"/>
  <c r="AG45" i="10"/>
  <c r="AM45" i="10"/>
  <c r="F46" i="10"/>
  <c r="M46" i="10"/>
  <c r="T46" i="10"/>
  <c r="AG46" i="10"/>
  <c r="AM46" i="10"/>
  <c r="F47" i="10"/>
  <c r="M47" i="10"/>
  <c r="T47" i="10"/>
  <c r="AG47" i="10"/>
  <c r="AM47" i="10"/>
  <c r="F48" i="10"/>
  <c r="M48" i="10"/>
  <c r="T48" i="10"/>
  <c r="AM48" i="10"/>
  <c r="F49" i="10"/>
  <c r="M49" i="10"/>
  <c r="T49" i="10"/>
  <c r="AA49" i="10"/>
  <c r="AG49" i="10"/>
  <c r="AM49" i="10"/>
  <c r="F50" i="10"/>
  <c r="AA50" i="10"/>
  <c r="AG50" i="10"/>
  <c r="AM50" i="10"/>
  <c r="F51" i="10"/>
  <c r="M51" i="10"/>
  <c r="T51" i="10"/>
  <c r="AA51" i="10"/>
  <c r="AG51" i="10"/>
  <c r="AM51" i="10"/>
  <c r="AM52" i="10"/>
  <c r="F53" i="10"/>
  <c r="M53" i="10"/>
  <c r="T53" i="10"/>
  <c r="AA53" i="10"/>
  <c r="AG53" i="10"/>
  <c r="AM53" i="10"/>
  <c r="M54" i="10"/>
  <c r="T54" i="10"/>
  <c r="AA54" i="10"/>
  <c r="AG54" i="10"/>
  <c r="AM54" i="10"/>
  <c r="F55" i="10"/>
  <c r="AA55" i="10"/>
  <c r="AG55" i="10"/>
  <c r="AM55" i="10"/>
  <c r="F56" i="10"/>
  <c r="AA56" i="10"/>
  <c r="F57" i="10"/>
  <c r="M57" i="10"/>
  <c r="T57" i="10"/>
  <c r="AA57" i="10"/>
  <c r="AG57" i="10"/>
  <c r="AM57" i="10"/>
  <c r="AA58" i="10"/>
  <c r="AG58" i="10"/>
  <c r="AM58" i="10"/>
  <c r="AM59" i="10"/>
  <c r="D61" i="10"/>
  <c r="K61" i="10"/>
  <c r="Y61" i="10"/>
  <c r="AE61" i="10"/>
  <c r="AK61" i="10"/>
  <c r="R61" i="10" l="1"/>
  <c r="AA61" i="10"/>
  <c r="AM61" i="10"/>
  <c r="M61" i="10"/>
  <c r="T61" i="10"/>
  <c r="AG61" i="10"/>
  <c r="F61" i="10"/>
</calcChain>
</file>

<file path=xl/sharedStrings.xml><?xml version="1.0" encoding="utf-8"?>
<sst xmlns="http://schemas.openxmlformats.org/spreadsheetml/2006/main" count="362" uniqueCount="180">
  <si>
    <t>Remark</t>
  </si>
  <si>
    <t>Description</t>
  </si>
  <si>
    <t>Qty</t>
  </si>
  <si>
    <t>Amount</t>
  </si>
  <si>
    <t>No</t>
  </si>
  <si>
    <t>6.00-14 (8PR) With Tube (Lug)</t>
  </si>
  <si>
    <t>Sale Price</t>
  </si>
  <si>
    <t/>
  </si>
  <si>
    <t>7.00-16 (14PR) With Tube &amp; Flap (Rib)</t>
  </si>
  <si>
    <t>7.00-16 (14PR) With Tube &amp; Flap (Lug)</t>
  </si>
  <si>
    <t>7.50-16 (16PR) With Tube &amp; Flap (Rib)</t>
  </si>
  <si>
    <t>6.50-16 (12PR) With Tube &amp; Flap (Lug)</t>
  </si>
  <si>
    <t>5.50-13 (12PR) With Tube (Lug)</t>
  </si>
  <si>
    <t>6.00-15 (10PR) With Tube (Rib)</t>
  </si>
  <si>
    <t>7.00-15 (14PR) With Tube &amp; Flap (Rib)</t>
  </si>
  <si>
    <t>7.50-15 (16PR) With Tube &amp; Flap (Rib)</t>
  </si>
  <si>
    <t>6.00-15 (10PR) With Tube (Lug)</t>
  </si>
  <si>
    <t>7.00-15 (10PR) With Tube (Grip)</t>
  </si>
  <si>
    <t>6.00-13 (10PR) With Tube (Lug)</t>
  </si>
  <si>
    <t>6.00-13 (10PR) With Tube (Rib)</t>
  </si>
  <si>
    <t>6.50-16 (12PR) With Tube &amp; Flap (Rib)</t>
  </si>
  <si>
    <t>5.00-12 (8PR) With Tube (Rib)</t>
  </si>
  <si>
    <t>5.50-13 (8PR) With Tube (Rib)</t>
  </si>
  <si>
    <t>6.00-14 (8PR) With Tube (Rib)</t>
  </si>
  <si>
    <t>6.50-14 (10PR) With Tube (Rib)</t>
  </si>
  <si>
    <t>8.25-20 (16PR) With Tube &amp; Flap (Rib)</t>
  </si>
  <si>
    <t>6.00-13 (8PR) With Tube (Rib) H.W</t>
  </si>
  <si>
    <t>9.00-20 (16PR) With Tube &amp; Flap (Rib)</t>
  </si>
  <si>
    <t>Code</t>
  </si>
  <si>
    <t>001</t>
  </si>
  <si>
    <t>003</t>
  </si>
  <si>
    <t>006</t>
  </si>
  <si>
    <t>007</t>
  </si>
  <si>
    <t>011</t>
  </si>
  <si>
    <t>013</t>
  </si>
  <si>
    <t>014</t>
  </si>
  <si>
    <t>019</t>
  </si>
  <si>
    <t>015</t>
  </si>
  <si>
    <t>016</t>
  </si>
  <si>
    <t>020</t>
  </si>
  <si>
    <t>021</t>
  </si>
  <si>
    <t>022</t>
  </si>
  <si>
    <t>025</t>
  </si>
  <si>
    <t>026</t>
  </si>
  <si>
    <t>027</t>
  </si>
  <si>
    <t>028</t>
  </si>
  <si>
    <t>029</t>
  </si>
  <si>
    <t>031</t>
  </si>
  <si>
    <t>032</t>
  </si>
  <si>
    <t>036</t>
  </si>
  <si>
    <t>040</t>
  </si>
  <si>
    <t>043</t>
  </si>
  <si>
    <t>045</t>
  </si>
  <si>
    <t>046</t>
  </si>
  <si>
    <t>047</t>
  </si>
  <si>
    <t>049</t>
  </si>
  <si>
    <t>050</t>
  </si>
  <si>
    <t>051</t>
  </si>
  <si>
    <t>055</t>
  </si>
  <si>
    <t>002</t>
  </si>
  <si>
    <t>005</t>
  </si>
  <si>
    <t>009</t>
  </si>
  <si>
    <t>008</t>
  </si>
  <si>
    <t>010</t>
  </si>
  <si>
    <t>004</t>
  </si>
  <si>
    <t>012</t>
  </si>
  <si>
    <t>034</t>
  </si>
  <si>
    <t>017</t>
  </si>
  <si>
    <t>018</t>
  </si>
  <si>
    <t>042</t>
  </si>
  <si>
    <t>056</t>
  </si>
  <si>
    <t>030</t>
  </si>
  <si>
    <t>033</t>
  </si>
  <si>
    <t>035</t>
  </si>
  <si>
    <t>037</t>
  </si>
  <si>
    <t>039</t>
  </si>
  <si>
    <t>038</t>
  </si>
  <si>
    <t>041</t>
  </si>
  <si>
    <t>044</t>
  </si>
  <si>
    <t>048</t>
  </si>
  <si>
    <t>052</t>
  </si>
  <si>
    <t>054</t>
  </si>
  <si>
    <t>023</t>
  </si>
  <si>
    <t>024</t>
  </si>
  <si>
    <t>053</t>
  </si>
  <si>
    <t>057</t>
  </si>
  <si>
    <t>5.00-12 (10PR) With Tube (R/L)</t>
  </si>
  <si>
    <t>7.00-16 (12PR) With Tube &amp; Flap (Rib) H.W</t>
  </si>
  <si>
    <t>9.00-20 (18PR) With Tube &amp; Flap (Lug) 747</t>
  </si>
  <si>
    <t>5.00-12 (12PR) With Tube (Lug) 747</t>
  </si>
  <si>
    <t xml:space="preserve"> January - 2021 </t>
  </si>
  <si>
    <t>7.00-16 (12PR) With Tube (Grip)</t>
  </si>
  <si>
    <t>8.25-16 (14PR) With Tube &amp; Flap (Rib) H.W</t>
  </si>
  <si>
    <t xml:space="preserve"> Total</t>
  </si>
  <si>
    <t xml:space="preserve"> February - 2021 </t>
  </si>
  <si>
    <t>6.00-12 (8PR) With Tube (AG) 555</t>
  </si>
  <si>
    <t>6.00-16 (10PR) With Tube (AG) 555</t>
  </si>
  <si>
    <t>6.50-15 (12PR) With Tube (Rib)</t>
  </si>
  <si>
    <t>6.50-15 (12PR) With Tube (Lug)</t>
  </si>
  <si>
    <t>7.00-16 (12PR) With Tube &amp; Flap (Rib) 727</t>
  </si>
  <si>
    <t>7.50-16 (16PR) With Tube &amp; Flap (Lug) 713</t>
  </si>
  <si>
    <t>7.50-16 (16PR) With Tube &amp; Flap (Lug) 747</t>
  </si>
  <si>
    <t>8.25-16 (18PR) With Tube &amp; Flap (Lug) 713</t>
  </si>
  <si>
    <t>8.25-16 (18PR) With Tube &amp; Flap (Lug) 747</t>
  </si>
  <si>
    <t>8.25-16 (18PR) With Tube &amp; Flap (Lug) 737</t>
  </si>
  <si>
    <t>6.50-20 (8PR) With Tube (AG) 575</t>
  </si>
  <si>
    <t>8.25-20 (18PR) With Tube &amp; Flap (Lug) 747</t>
  </si>
  <si>
    <t>8.25-20 (18PR) With Tube &amp; Flap (Lug) 737</t>
  </si>
  <si>
    <t>9.00-20 (16PR) With Tube &amp; Flap (Lug) 746</t>
  </si>
  <si>
    <t>9.00-20 (18PR) With Tube &amp; Flap (Lug) 737</t>
  </si>
  <si>
    <t>7.50-16 (10PR) With Tube (AG) 555</t>
  </si>
  <si>
    <t>11.00-20 (18PR) With Tube &amp; Flap (Lug) 747</t>
  </si>
  <si>
    <t>10.00-20 (18PR) With Tube &amp; Flap (Lug) 747</t>
  </si>
  <si>
    <t>9.5-24 (8PR) With Tube (AG) 357</t>
  </si>
  <si>
    <t>4.00-8 (6PR) With Tube (Lug) (713)</t>
  </si>
  <si>
    <t>12.4-24 (8PR) With Tube (AG) 357</t>
  </si>
  <si>
    <t>12.4-24 (12PR) With Tube (AG) 357</t>
  </si>
  <si>
    <t>10.00-20 (18PR) With Tube &amp; Flap (Lug) 737</t>
  </si>
  <si>
    <t>4.00-8 (6PR) With Tube (Rib) (748)</t>
  </si>
  <si>
    <t>8.3-24 (8PR) With Tube (AG) 357</t>
  </si>
  <si>
    <t>8.00-18 (8PR) With Tube (AG) 555</t>
  </si>
  <si>
    <t>9.5-24 (12PR) With Tube (AG) 357</t>
  </si>
  <si>
    <t>7.50-16 (14PR) With Tube (Grip) (YT-723)</t>
  </si>
  <si>
    <t>11.2-24 (8PR) With Tube (AG) 135</t>
  </si>
  <si>
    <t>11.2-24 (12PR) With Tube (AG) 135</t>
  </si>
  <si>
    <t>Sale (H1-2021)
Total</t>
  </si>
  <si>
    <t>Sale (H1-2022)
Total</t>
  </si>
  <si>
    <t>Date-11-7-2022</t>
  </si>
  <si>
    <t>(H2-2021)
Sale Total</t>
  </si>
  <si>
    <t>40200
45000</t>
  </si>
  <si>
    <t>45000
47000</t>
  </si>
  <si>
    <t>45000
47500</t>
  </si>
  <si>
    <t>52000
54500</t>
  </si>
  <si>
    <t>53000
55500</t>
  </si>
  <si>
    <t>53500
56000</t>
  </si>
  <si>
    <t>53900
59500</t>
  </si>
  <si>
    <t>59500
62500</t>
  </si>
  <si>
    <t>63000
66000</t>
  </si>
  <si>
    <t>60000
66000</t>
  </si>
  <si>
    <t>66000
69500</t>
  </si>
  <si>
    <t>65000
68500</t>
  </si>
  <si>
    <t>65500
69000</t>
  </si>
  <si>
    <t>65500
72000</t>
  </si>
  <si>
    <t>72000
75500</t>
  </si>
  <si>
    <t>76000
80000</t>
  </si>
  <si>
    <t>81000
85000</t>
  </si>
  <si>
    <t>111000
116500</t>
  </si>
  <si>
    <t>95000
100000</t>
  </si>
  <si>
    <t>96000
101000</t>
  </si>
  <si>
    <t>106000
111500</t>
  </si>
  <si>
    <t>126500
128000</t>
  </si>
  <si>
    <t>114000
120000</t>
  </si>
  <si>
    <t>118000
124000</t>
  </si>
  <si>
    <t>139000
146000</t>
  </si>
  <si>
    <t>148000
155500</t>
  </si>
  <si>
    <t>157500
165500</t>
  </si>
  <si>
    <t>175000
184000</t>
  </si>
  <si>
    <t>185000
194000</t>
  </si>
  <si>
    <t>194000
204000</t>
  </si>
  <si>
    <t>102000
107000</t>
  </si>
  <si>
    <t>233500
245000</t>
  </si>
  <si>
    <t>101000
106000</t>
  </si>
  <si>
    <t>17000
18000</t>
  </si>
  <si>
    <t>288000
302500</t>
  </si>
  <si>
    <t>47000
49500</t>
  </si>
  <si>
    <t>51000
76500</t>
  </si>
  <si>
    <t>54000
79500</t>
  </si>
  <si>
    <t>78000
118000</t>
  </si>
  <si>
    <t>79000
119000</t>
  </si>
  <si>
    <t>177000
247000</t>
  </si>
  <si>
    <t>194500
279000</t>
  </si>
  <si>
    <t>186000
259500</t>
  </si>
  <si>
    <t>255000
363500</t>
  </si>
  <si>
    <t>166500
222000</t>
  </si>
  <si>
    <t>14000
20000</t>
  </si>
  <si>
    <t>248000
339000</t>
  </si>
  <si>
    <t>130000
176500</t>
  </si>
  <si>
    <t>105000
139500</t>
  </si>
  <si>
    <r>
      <t xml:space="preserve">Yangon Tyre (Nylon) Sale U Eisat </t>
    </r>
    <r>
      <rPr>
        <b/>
        <sz val="11"/>
        <color rgb="FF00B050"/>
        <rFont val="Pyidaungsu"/>
        <family val="2"/>
      </rPr>
      <t>{ (2021) &amp; (H1-2022) } Compare</t>
    </r>
  </si>
  <si>
    <t>Yangon Tyre (Nylon) Sale U Eisat { (2021) &amp; (H1-2022) }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</si>
</sst>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&quot;$&quot;* #,##0.0_);_(&quot;$&quot;* \(#,##0.0\);_(&quot;$&quot;* &quot;-&quot;?_);_(@_)"/>
    <numFmt numFmtId="167" formatCode="m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Pyidaungsu"/>
      <family val="2"/>
    </font>
    <font>
      <sz val="11"/>
      <color rgb="FF1A10DE"/>
      <name val="Pyidaungsu"/>
      <family val="2"/>
    </font>
    <font>
      <b/>
      <sz val="11"/>
      <color rgb="FF1A10DE"/>
      <name val="Pyidaungsu"/>
      <family val="2"/>
    </font>
    <font>
      <b/>
      <sz val="11"/>
      <color rgb="FFFF0000"/>
      <name val="Pyidaungsu"/>
      <family val="2"/>
    </font>
    <font>
      <b/>
      <sz val="11"/>
      <color rgb="FF310FC1"/>
      <name val="Pyidaungsu"/>
      <family val="2"/>
    </font>
    <font>
      <sz val="11"/>
      <color rgb="FF310FC1"/>
      <name val="Pyidaungsu"/>
      <family val="2"/>
    </font>
    <font>
      <b/>
      <sz val="11"/>
      <color rgb="FF00B050"/>
      <name val="Pyidaungsu"/>
      <family val="2"/>
    </font>
    <font>
      <b/>
      <sz val="11"/>
      <color rgb="FF0000FF"/>
      <name val="Pyidaungsu"/>
      <family val="2"/>
    </font>
    <font>
      <sz val="11"/>
      <color rgb="FF0000FF"/>
      <name val="Pyidaungsu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vertical="center"/>
    </xf>
    <xf numFmtId="9" fontId="4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164" fontId="5" fillId="0" borderId="2" xfId="1" applyNumberFormat="1" applyFont="1" applyFill="1" applyBorder="1" applyAlignment="1">
      <alignment horizontal="center" vertical="center" wrapText="1" readingOrder="1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wrapText="1" readingOrder="1"/>
    </xf>
    <xf numFmtId="3" fontId="4" fillId="0" borderId="2" xfId="0" applyNumberFormat="1" applyFont="1" applyFill="1" applyBorder="1" applyAlignment="1">
      <alignment horizontal="right" vertical="center" wrapText="1" readingOrder="1"/>
    </xf>
    <xf numFmtId="164" fontId="6" fillId="0" borderId="0" xfId="1" applyNumberFormat="1" applyFont="1" applyFill="1" applyBorder="1" applyAlignment="1">
      <alignment horizontal="right" vertical="center" wrapText="1" readingOrder="1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37" fontId="6" fillId="0" borderId="2" xfId="0" applyNumberFormat="1" applyFont="1" applyFill="1" applyBorder="1" applyAlignment="1">
      <alignment horizontal="center" vertical="center" wrapText="1" readingOrder="1"/>
    </xf>
    <xf numFmtId="49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 readingOrder="1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vertical="top" wrapText="1" readingOrder="1"/>
    </xf>
    <xf numFmtId="0" fontId="4" fillId="0" borderId="0" xfId="0" applyFont="1" applyFill="1"/>
    <xf numFmtId="49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vertical="center" wrapText="1" readingOrder="1"/>
    </xf>
    <xf numFmtId="0" fontId="5" fillId="0" borderId="6" xfId="0" applyNumberFormat="1" applyFont="1" applyFill="1" applyBorder="1" applyAlignment="1">
      <alignment horizontal="center" vertical="center" wrapText="1" readingOrder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37" fontId="6" fillId="0" borderId="7" xfId="0" applyNumberFormat="1" applyFont="1" applyFill="1" applyBorder="1" applyAlignment="1">
      <alignment horizontal="center" vertical="center" wrapText="1"/>
    </xf>
    <xf numFmtId="37" fontId="6" fillId="0" borderId="2" xfId="0" applyNumberFormat="1" applyFont="1" applyFill="1" applyBorder="1" applyAlignment="1">
      <alignment horizontal="center" vertical="center" wrapText="1"/>
    </xf>
    <xf numFmtId="37" fontId="3" fillId="0" borderId="2" xfId="0" applyNumberFormat="1" applyFont="1" applyFill="1" applyBorder="1" applyAlignment="1">
      <alignment horizontal="center" vertical="center" wrapText="1"/>
    </xf>
    <xf numFmtId="37" fontId="3" fillId="0" borderId="2" xfId="0" applyNumberFormat="1" applyFont="1" applyFill="1" applyBorder="1" applyAlignment="1">
      <alignment horizontal="center" vertical="center"/>
    </xf>
    <xf numFmtId="37" fontId="3" fillId="0" borderId="0" xfId="0" applyNumberFormat="1" applyFont="1" applyFill="1" applyAlignment="1">
      <alignment horizontal="center"/>
    </xf>
    <xf numFmtId="0" fontId="3" fillId="0" borderId="2" xfId="0" applyFont="1" applyFill="1" applyBorder="1" applyAlignment="1">
      <alignment vertical="center"/>
    </xf>
    <xf numFmtId="164" fontId="3" fillId="0" borderId="2" xfId="0" applyNumberFormat="1" applyFont="1" applyFill="1" applyBorder="1" applyAlignment="1">
      <alignment vertical="center"/>
    </xf>
    <xf numFmtId="0" fontId="3" fillId="0" borderId="0" xfId="0" applyFont="1" applyFill="1"/>
    <xf numFmtId="37" fontId="3" fillId="2" borderId="2" xfId="0" applyNumberFormat="1" applyFont="1" applyFill="1" applyBorder="1" applyAlignment="1">
      <alignment horizontal="center" vertical="center" wrapText="1"/>
    </xf>
    <xf numFmtId="37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3" fontId="8" fillId="0" borderId="0" xfId="0" applyNumberFormat="1" applyFont="1" applyFill="1" applyBorder="1" applyAlignment="1">
      <alignment horizontal="right" vertical="center" wrapText="1" readingOrder="1"/>
    </xf>
    <xf numFmtId="0" fontId="7" fillId="0" borderId="2" xfId="1" applyNumberFormat="1" applyFont="1" applyFill="1" applyBorder="1" applyAlignment="1">
      <alignment horizontal="center" vertical="center" wrapText="1" readingOrder="1"/>
    </xf>
    <xf numFmtId="164" fontId="7" fillId="0" borderId="2" xfId="1" applyNumberFormat="1" applyFont="1" applyFill="1" applyBorder="1" applyAlignment="1">
      <alignment horizontal="right" vertical="center" wrapText="1" readingOrder="1"/>
    </xf>
    <xf numFmtId="164" fontId="7" fillId="0" borderId="0" xfId="1" applyNumberFormat="1" applyFont="1" applyFill="1" applyBorder="1" applyAlignment="1">
      <alignment horizontal="right" vertical="center" wrapText="1" readingOrder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 wrapText="1" readingOrder="1"/>
    </xf>
    <xf numFmtId="0" fontId="8" fillId="3" borderId="2" xfId="0" applyNumberFormat="1" applyFont="1" applyFill="1" applyBorder="1" applyAlignment="1">
      <alignment horizontal="center" vertical="center" wrapText="1" readingOrder="1"/>
    </xf>
    <xf numFmtId="3" fontId="8" fillId="3" borderId="2" xfId="0" applyNumberFormat="1" applyFont="1" applyFill="1" applyBorder="1" applyAlignment="1">
      <alignment horizontal="right" vertical="center" wrapText="1" readingOrder="1"/>
    </xf>
    <xf numFmtId="3" fontId="8" fillId="3" borderId="2" xfId="0" applyNumberFormat="1" applyFont="1" applyFill="1" applyBorder="1" applyAlignment="1">
      <alignment vertical="center"/>
    </xf>
    <xf numFmtId="37" fontId="3" fillId="0" borderId="0" xfId="0" applyNumberFormat="1" applyFont="1" applyAlignment="1">
      <alignment horizontal="center" vertical="center"/>
    </xf>
    <xf numFmtId="37" fontId="3" fillId="0" borderId="2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Font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 wrapText="1" readingOrder="1"/>
    </xf>
    <xf numFmtId="164" fontId="7" fillId="0" borderId="0" xfId="1" applyNumberFormat="1" applyFont="1" applyFill="1" applyBorder="1" applyAlignment="1">
      <alignment horizontal="center" vertical="center" wrapText="1" readingOrder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4" fillId="0" borderId="2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vertical="center"/>
    </xf>
    <xf numFmtId="0" fontId="7" fillId="4" borderId="2" xfId="0" applyNumberFormat="1" applyFont="1" applyFill="1" applyBorder="1" applyAlignment="1">
      <alignment horizontal="center" vertical="center" wrapText="1" readingOrder="1"/>
    </xf>
    <xf numFmtId="0" fontId="8" fillId="4" borderId="2" xfId="0" applyNumberFormat="1" applyFont="1" applyFill="1" applyBorder="1" applyAlignment="1">
      <alignment horizontal="center" vertical="center" wrapText="1" readingOrder="1"/>
    </xf>
    <xf numFmtId="0" fontId="8" fillId="4" borderId="2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vertical="center"/>
    </xf>
    <xf numFmtId="164" fontId="8" fillId="4" borderId="2" xfId="1" applyNumberFormat="1" applyFont="1" applyFill="1" applyBorder="1" applyAlignment="1">
      <alignment horizontal="right" vertical="center" wrapText="1" readingOrder="1"/>
    </xf>
    <xf numFmtId="0" fontId="6" fillId="4" borderId="2" xfId="0" applyNumberFormat="1" applyFont="1" applyFill="1" applyBorder="1" applyAlignment="1">
      <alignment horizontal="center" vertical="center" wrapText="1" readingOrder="1"/>
    </xf>
    <xf numFmtId="0" fontId="3" fillId="4" borderId="2" xfId="0" applyNumberFormat="1" applyFont="1" applyFill="1" applyBorder="1" applyAlignment="1">
      <alignment horizontal="center" vertical="center" wrapText="1" readingOrder="1"/>
    </xf>
    <xf numFmtId="0" fontId="6" fillId="0" borderId="0" xfId="0" applyNumberFormat="1" applyFont="1" applyFill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NumberFormat="1" applyFont="1" applyFill="1" applyBorder="1" applyAlignment="1">
      <alignment horizontal="center" vertical="center" wrapText="1" readingOrder="1"/>
    </xf>
    <xf numFmtId="0" fontId="4" fillId="0" borderId="6" xfId="0" applyNumberFormat="1" applyFont="1" applyFill="1" applyBorder="1" applyAlignment="1">
      <alignment horizontal="left" vertical="center" wrapText="1" readingOrder="1"/>
    </xf>
    <xf numFmtId="0" fontId="4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2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11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Fill="1" applyBorder="1" applyAlignment="1">
      <alignment horizontal="right" vertical="center" wrapText="1" readingOrder="1"/>
    </xf>
    <xf numFmtId="0" fontId="11" fillId="0" borderId="2" xfId="0" applyFont="1" applyFill="1" applyBorder="1" applyAlignment="1">
      <alignment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3" fontId="10" fillId="0" borderId="2" xfId="0" applyNumberFormat="1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1" fillId="0" borderId="0" xfId="0" applyNumberFormat="1" applyFont="1" applyFill="1" applyAlignment="1">
      <alignment horizontal="center" vertical="center"/>
    </xf>
    <xf numFmtId="37" fontId="6" fillId="3" borderId="2" xfId="0" applyNumberFormat="1" applyFont="1" applyFill="1" applyBorder="1" applyAlignment="1">
      <alignment horizontal="center" vertical="center" wrapText="1" readingOrder="1"/>
    </xf>
    <xf numFmtId="37" fontId="3" fillId="3" borderId="2" xfId="0" applyNumberFormat="1" applyFont="1" applyFill="1" applyBorder="1" applyAlignment="1">
      <alignment horizontal="center" vertical="center" wrapText="1" readingOrder="1"/>
    </xf>
    <xf numFmtId="0" fontId="7" fillId="3" borderId="2" xfId="1" applyNumberFormat="1" applyFont="1" applyFill="1" applyBorder="1" applyAlignment="1">
      <alignment horizontal="center" vertical="center" wrapText="1" readingOrder="1"/>
    </xf>
    <xf numFmtId="164" fontId="7" fillId="3" borderId="2" xfId="1" applyNumberFormat="1" applyFont="1" applyFill="1" applyBorder="1" applyAlignment="1">
      <alignment horizontal="right" vertical="center" wrapText="1" readingOrder="1"/>
    </xf>
    <xf numFmtId="37" fontId="3" fillId="3" borderId="2" xfId="0" applyNumberFormat="1" applyFont="1" applyFill="1" applyBorder="1" applyAlignment="1">
      <alignment vertical="center" wrapText="1" readingOrder="1"/>
    </xf>
    <xf numFmtId="3" fontId="8" fillId="3" borderId="2" xfId="0" applyNumberFormat="1" applyFont="1" applyFill="1" applyBorder="1" applyAlignment="1">
      <alignment vertical="center" wrapText="1" readingOrder="1"/>
    </xf>
    <xf numFmtId="0" fontId="3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37" fontId="3" fillId="3" borderId="2" xfId="0" applyNumberFormat="1" applyFont="1" applyFill="1" applyBorder="1" applyAlignment="1">
      <alignment vertical="center"/>
    </xf>
    <xf numFmtId="164" fontId="8" fillId="3" borderId="2" xfId="1" applyNumberFormat="1" applyFont="1" applyFill="1" applyBorder="1" applyAlignment="1">
      <alignment vertical="center"/>
    </xf>
    <xf numFmtId="164" fontId="5" fillId="0" borderId="0" xfId="1" applyNumberFormat="1" applyFont="1" applyFill="1" applyAlignment="1">
      <alignment vertical="center"/>
    </xf>
    <xf numFmtId="3" fontId="5" fillId="0" borderId="2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 readingOrder="1"/>
    </xf>
    <xf numFmtId="0" fontId="5" fillId="0" borderId="5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 wrapText="1" readingOrder="1"/>
    </xf>
    <xf numFmtId="0" fontId="5" fillId="0" borderId="7" xfId="0" applyNumberFormat="1" applyFont="1" applyFill="1" applyBorder="1" applyAlignment="1">
      <alignment horizontal="center" vertical="center" wrapText="1" readingOrder="1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17" fontId="5" fillId="0" borderId="3" xfId="0" applyNumberFormat="1" applyFont="1" applyFill="1" applyBorder="1" applyAlignment="1">
      <alignment horizontal="center" vertical="center"/>
    </xf>
    <xf numFmtId="17" fontId="5" fillId="0" borderId="5" xfId="0" applyNumberFormat="1" applyFont="1" applyFill="1" applyBorder="1" applyAlignment="1">
      <alignment horizontal="center" vertical="center"/>
    </xf>
    <xf numFmtId="17" fontId="5" fillId="0" borderId="4" xfId="0" applyNumberFormat="1" applyFont="1" applyFill="1" applyBorder="1" applyAlignment="1">
      <alignment horizontal="center" vertical="center"/>
    </xf>
    <xf numFmtId="167" fontId="5" fillId="0" borderId="3" xfId="0" applyNumberFormat="1" applyFont="1" applyFill="1" applyBorder="1" applyAlignment="1">
      <alignment horizontal="center" vertical="center"/>
    </xf>
    <xf numFmtId="167" fontId="5" fillId="0" borderId="5" xfId="0" applyNumberFormat="1" applyFont="1" applyFill="1" applyBorder="1" applyAlignment="1">
      <alignment horizontal="center" vertical="center"/>
    </xf>
    <xf numFmtId="167" fontId="5" fillId="0" borderId="4" xfId="0" applyNumberFormat="1" applyFont="1" applyFill="1" applyBorder="1" applyAlignment="1">
      <alignment horizontal="center" vertical="center"/>
    </xf>
    <xf numFmtId="167" fontId="7" fillId="3" borderId="2" xfId="0" applyNumberFormat="1" applyFon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167" fontId="10" fillId="0" borderId="2" xfId="0" applyNumberFormat="1" applyFont="1" applyFill="1" applyBorder="1" applyAlignment="1">
      <alignment horizontal="center" vertical="center"/>
    </xf>
    <xf numFmtId="167" fontId="5" fillId="0" borderId="2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67" fontId="5" fillId="0" borderId="3" xfId="0" applyNumberFormat="1" applyFont="1" applyFill="1" applyBorder="1" applyAlignment="1">
      <alignment horizontal="center" vertical="center" wrapText="1"/>
    </xf>
    <xf numFmtId="167" fontId="5" fillId="0" borderId="4" xfId="0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2"/>
    <cellStyle name="Comma 2 2" xfId="4"/>
    <cellStyle name="Comma 2 3" xfId="5"/>
    <cellStyle name="Normal" xfId="0" builtinId="0"/>
    <cellStyle name="Style 1" xfId="3"/>
  </cellStyles>
  <dxfs count="0"/>
  <tableStyles count="0" defaultTableStyle="TableStyleMedium2" defaultPivotStyle="PivotStyleLight16"/>
  <colors>
    <mruColors>
      <color rgb="FF1A10DE"/>
      <color rgb="FF009900"/>
      <color rgb="FF006600"/>
      <color rgb="FF3F0FEF"/>
      <color rgb="FF99FF33"/>
      <color rgb="FFFFFF99"/>
      <color rgb="FFCCFFCC"/>
      <color rgb="FFFFFFCC"/>
      <color rgb="FFFFFFFF"/>
      <color rgb="FF749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BH91"/>
  <sheetViews>
    <sheetView tabSelected="1" zoomScale="90" zoomScaleNormal="90" workbookViewId="0">
      <selection activeCell="D12" sqref="D12"/>
    </sheetView>
  </sheetViews>
  <sheetFormatPr defaultColWidth="9.140625" defaultRowHeight="31.5" customHeight="1" x14ac:dyDescent="0.5"/>
  <cols>
    <col min="1" max="1" width="4.5703125" style="4" customWidth="1"/>
    <col min="2" max="2" width="7.5703125" style="18" customWidth="1"/>
    <col min="3" max="3" width="43" style="1" customWidth="1"/>
    <col min="4" max="4" width="8" style="4" customWidth="1"/>
    <col min="5" max="5" width="8.42578125" style="44" customWidth="1"/>
    <col min="6" max="6" width="13.42578125" style="31" customWidth="1"/>
    <col min="7" max="7" width="7.42578125" style="31" customWidth="1"/>
    <col min="8" max="8" width="7.5703125" style="59" customWidth="1"/>
    <col min="9" max="9" width="8.7109375" style="64" customWidth="1"/>
    <col min="10" max="10" width="13.5703125" style="58" customWidth="1"/>
    <col min="11" max="11" width="8" style="31" customWidth="1"/>
    <col min="12" max="12" width="8.42578125" style="47" customWidth="1"/>
    <col min="13" max="13" width="13.42578125" style="31" customWidth="1"/>
    <col min="14" max="14" width="7.42578125" style="31" customWidth="1"/>
    <col min="15" max="15" width="7.5703125" style="59" customWidth="1"/>
    <col min="16" max="16" width="8.7109375" style="67" customWidth="1"/>
    <col min="17" max="17" width="13.5703125" style="58" customWidth="1"/>
    <col min="18" max="18" width="8" style="31" customWidth="1"/>
    <col min="19" max="19" width="8.42578125" style="47" customWidth="1"/>
    <col min="20" max="20" width="13.42578125" style="31" customWidth="1"/>
    <col min="21" max="21" width="9.140625" style="31" customWidth="1"/>
    <col min="22" max="22" width="7.5703125" style="59" customWidth="1"/>
    <col min="23" max="23" width="8.7109375" style="67" customWidth="1"/>
    <col min="24" max="24" width="14.140625" style="58" customWidth="1"/>
    <col min="25" max="25" width="8" style="31" customWidth="1"/>
    <col min="26" max="26" width="8.42578125" style="47" customWidth="1"/>
    <col min="27" max="27" width="13.42578125" style="31" customWidth="1"/>
    <col min="28" max="28" width="7.5703125" style="59" customWidth="1"/>
    <col min="29" max="29" width="8.7109375" style="67" customWidth="1"/>
    <col min="30" max="30" width="13.5703125" style="58" customWidth="1"/>
    <col min="31" max="31" width="9.140625" style="31" customWidth="1"/>
    <col min="32" max="32" width="8.42578125" style="47" customWidth="1"/>
    <col min="33" max="33" width="14.28515625" style="31" customWidth="1"/>
    <col min="34" max="34" width="7.5703125" style="59" customWidth="1"/>
    <col min="35" max="35" width="8.7109375" style="67" customWidth="1"/>
    <col min="36" max="36" width="13.5703125" style="58" customWidth="1"/>
    <col min="37" max="37" width="8" style="31" customWidth="1"/>
    <col min="38" max="38" width="8.42578125" style="47" customWidth="1"/>
    <col min="39" max="39" width="13.42578125" style="31" customWidth="1"/>
    <col min="40" max="40" width="7.5703125" style="59" customWidth="1"/>
    <col min="41" max="41" width="8.85546875" style="89" customWidth="1"/>
    <col min="42" max="42" width="13.5703125" style="58" customWidth="1"/>
    <col min="43" max="43" width="6.28515625" style="111" customWidth="1"/>
    <col min="44" max="44" width="7.140625" style="88" customWidth="1"/>
    <col min="45" max="45" width="11.85546875" style="99" customWidth="1"/>
    <col min="46" max="46" width="6.28515625" style="99" customWidth="1"/>
    <col min="47" max="47" width="7.140625" style="10" customWidth="1"/>
    <col min="48" max="48" width="11.85546875" style="99" customWidth="1"/>
    <col min="49" max="49" width="6.28515625" style="99" customWidth="1"/>
    <col min="50" max="50" width="7.140625" style="10" customWidth="1"/>
    <col min="51" max="51" width="11.85546875" style="99" customWidth="1"/>
    <col min="52" max="52" width="6.28515625" style="99" customWidth="1"/>
    <col min="53" max="53" width="7.140625" style="10" customWidth="1"/>
    <col min="54" max="54" width="11.85546875" style="99" customWidth="1"/>
    <col min="55" max="55" width="6.28515625" style="99" customWidth="1"/>
    <col min="56" max="56" width="7.140625" style="10" customWidth="1"/>
    <col min="57" max="57" width="11.85546875" style="99" customWidth="1"/>
    <col min="58" max="58" width="6.28515625" style="99" customWidth="1"/>
    <col min="59" max="59" width="7.140625" style="10" customWidth="1"/>
    <col min="60" max="60" width="11.85546875" style="99" customWidth="1"/>
    <col min="61" max="16384" width="9.140625" style="31"/>
  </cols>
  <sheetData>
    <row r="1" spans="1:60" s="3" customFormat="1" ht="27" customHeight="1" x14ac:dyDescent="0.25">
      <c r="A1" s="132" t="s">
        <v>178</v>
      </c>
      <c r="B1" s="132"/>
      <c r="C1" s="132"/>
      <c r="D1" s="132"/>
      <c r="E1" s="132"/>
      <c r="F1" s="132"/>
      <c r="G1" s="132"/>
      <c r="H1" s="14"/>
      <c r="I1" s="14"/>
      <c r="J1" s="14"/>
      <c r="L1" s="11"/>
      <c r="M1" s="1"/>
      <c r="N1" s="1"/>
      <c r="O1" s="50"/>
      <c r="P1" s="13"/>
      <c r="Q1" s="50"/>
      <c r="S1" s="11"/>
      <c r="V1" s="71"/>
      <c r="W1" s="11"/>
      <c r="X1" s="51"/>
      <c r="Z1" s="11"/>
      <c r="AB1" s="71"/>
      <c r="AC1" s="11"/>
      <c r="AD1" s="51"/>
      <c r="AF1" s="11"/>
      <c r="AH1" s="71"/>
      <c r="AI1" s="11"/>
      <c r="AJ1" s="51"/>
      <c r="AL1" s="11"/>
      <c r="AN1" s="71"/>
      <c r="AO1" s="85"/>
      <c r="AP1" s="51"/>
      <c r="AQ1" s="51"/>
      <c r="AR1" s="51"/>
      <c r="AS1" s="51"/>
      <c r="AT1" s="98"/>
      <c r="AU1" s="11"/>
      <c r="AV1" s="98"/>
      <c r="AW1" s="98"/>
      <c r="AX1" s="11"/>
      <c r="AY1" s="98"/>
      <c r="AZ1" s="98"/>
      <c r="BA1" s="11"/>
      <c r="BB1" s="98"/>
      <c r="BC1" s="98"/>
      <c r="BD1" s="11"/>
      <c r="BE1" s="98"/>
      <c r="BF1" s="98"/>
      <c r="BG1" s="11"/>
      <c r="BH1" s="98"/>
    </row>
    <row r="2" spans="1:60" s="3" customFormat="1" ht="39.75" customHeight="1" x14ac:dyDescent="0.25">
      <c r="A2" s="133" t="s">
        <v>4</v>
      </c>
      <c r="B2" s="135" t="s">
        <v>28</v>
      </c>
      <c r="C2" s="133" t="s">
        <v>1</v>
      </c>
      <c r="D2" s="137" t="s">
        <v>90</v>
      </c>
      <c r="E2" s="138"/>
      <c r="F2" s="138"/>
      <c r="G2" s="139"/>
      <c r="H2" s="143">
        <v>44562</v>
      </c>
      <c r="I2" s="143"/>
      <c r="J2" s="143"/>
      <c r="K2" s="137" t="s">
        <v>94</v>
      </c>
      <c r="L2" s="138"/>
      <c r="M2" s="138"/>
      <c r="N2" s="139"/>
      <c r="O2" s="143">
        <v>44593</v>
      </c>
      <c r="P2" s="143"/>
      <c r="Q2" s="143"/>
      <c r="R2" s="140">
        <v>44256</v>
      </c>
      <c r="S2" s="141"/>
      <c r="T2" s="141"/>
      <c r="U2" s="142"/>
      <c r="V2" s="143">
        <v>44621</v>
      </c>
      <c r="W2" s="143"/>
      <c r="X2" s="143"/>
      <c r="Y2" s="140">
        <v>44287</v>
      </c>
      <c r="Z2" s="141"/>
      <c r="AA2" s="142"/>
      <c r="AB2" s="143">
        <v>44652</v>
      </c>
      <c r="AC2" s="143"/>
      <c r="AD2" s="143"/>
      <c r="AE2" s="140">
        <v>44317</v>
      </c>
      <c r="AF2" s="141"/>
      <c r="AG2" s="142"/>
      <c r="AH2" s="143">
        <v>44682</v>
      </c>
      <c r="AI2" s="143"/>
      <c r="AJ2" s="143"/>
      <c r="AK2" s="140">
        <v>44348</v>
      </c>
      <c r="AL2" s="141"/>
      <c r="AM2" s="142"/>
      <c r="AN2" s="144">
        <v>44713</v>
      </c>
      <c r="AO2" s="144"/>
      <c r="AP2" s="144"/>
      <c r="AQ2" s="145">
        <v>44378</v>
      </c>
      <c r="AR2" s="145"/>
      <c r="AS2" s="145"/>
      <c r="AT2" s="145">
        <v>44409</v>
      </c>
      <c r="AU2" s="145"/>
      <c r="AV2" s="145"/>
      <c r="AW2" s="145">
        <v>44440</v>
      </c>
      <c r="AX2" s="145"/>
      <c r="AY2" s="145"/>
      <c r="AZ2" s="145">
        <v>44470</v>
      </c>
      <c r="BA2" s="145"/>
      <c r="BB2" s="145"/>
      <c r="BC2" s="145">
        <v>44501</v>
      </c>
      <c r="BD2" s="145"/>
      <c r="BE2" s="145"/>
      <c r="BF2" s="145">
        <v>44531</v>
      </c>
      <c r="BG2" s="145"/>
      <c r="BH2" s="145"/>
    </row>
    <row r="3" spans="1:60" s="3" customFormat="1" ht="39.75" customHeight="1" x14ac:dyDescent="0.25">
      <c r="A3" s="134"/>
      <c r="B3" s="136"/>
      <c r="C3" s="134"/>
      <c r="D3" s="36" t="s">
        <v>2</v>
      </c>
      <c r="E3" s="40" t="s">
        <v>6</v>
      </c>
      <c r="F3" s="37" t="s">
        <v>3</v>
      </c>
      <c r="G3" s="8" t="s">
        <v>0</v>
      </c>
      <c r="H3" s="60" t="s">
        <v>2</v>
      </c>
      <c r="I3" s="112" t="s">
        <v>6</v>
      </c>
      <c r="J3" s="60" t="s">
        <v>3</v>
      </c>
      <c r="K3" s="24" t="s">
        <v>2</v>
      </c>
      <c r="L3" s="41" t="s">
        <v>6</v>
      </c>
      <c r="M3" s="25" t="s">
        <v>3</v>
      </c>
      <c r="N3" s="34" t="s">
        <v>0</v>
      </c>
      <c r="O3" s="60" t="s">
        <v>2</v>
      </c>
      <c r="P3" s="112" t="s">
        <v>6</v>
      </c>
      <c r="Q3" s="60" t="s">
        <v>3</v>
      </c>
      <c r="R3" s="28" t="s">
        <v>2</v>
      </c>
      <c r="S3" s="41" t="s">
        <v>6</v>
      </c>
      <c r="T3" s="8" t="s">
        <v>3</v>
      </c>
      <c r="U3" s="35" t="s">
        <v>0</v>
      </c>
      <c r="V3" s="60" t="s">
        <v>2</v>
      </c>
      <c r="W3" s="112" t="s">
        <v>6</v>
      </c>
      <c r="X3" s="60" t="s">
        <v>3</v>
      </c>
      <c r="Y3" s="28" t="s">
        <v>2</v>
      </c>
      <c r="Z3" s="41" t="s">
        <v>6</v>
      </c>
      <c r="AA3" s="8" t="s">
        <v>3</v>
      </c>
      <c r="AB3" s="60" t="s">
        <v>2</v>
      </c>
      <c r="AC3" s="112" t="s">
        <v>6</v>
      </c>
      <c r="AD3" s="60" t="s">
        <v>3</v>
      </c>
      <c r="AE3" s="28" t="s">
        <v>2</v>
      </c>
      <c r="AF3" s="41" t="s">
        <v>6</v>
      </c>
      <c r="AG3" s="8" t="s">
        <v>3</v>
      </c>
      <c r="AH3" s="60" t="s">
        <v>2</v>
      </c>
      <c r="AI3" s="112" t="s">
        <v>6</v>
      </c>
      <c r="AJ3" s="60" t="s">
        <v>3</v>
      </c>
      <c r="AK3" s="28" t="s">
        <v>2</v>
      </c>
      <c r="AL3" s="41" t="s">
        <v>6</v>
      </c>
      <c r="AM3" s="8" t="s">
        <v>3</v>
      </c>
      <c r="AN3" s="78" t="s">
        <v>2</v>
      </c>
      <c r="AO3" s="83" t="s">
        <v>6</v>
      </c>
      <c r="AP3" s="78" t="s">
        <v>3</v>
      </c>
      <c r="AQ3" s="100" t="s">
        <v>2</v>
      </c>
      <c r="AR3" s="101" t="s">
        <v>6</v>
      </c>
      <c r="AS3" s="100" t="s">
        <v>3</v>
      </c>
      <c r="AT3" s="100" t="s">
        <v>2</v>
      </c>
      <c r="AU3" s="101" t="s">
        <v>6</v>
      </c>
      <c r="AV3" s="100" t="s">
        <v>3</v>
      </c>
      <c r="AW3" s="100" t="s">
        <v>2</v>
      </c>
      <c r="AX3" s="101" t="s">
        <v>6</v>
      </c>
      <c r="AY3" s="100" t="s">
        <v>3</v>
      </c>
      <c r="AZ3" s="100" t="s">
        <v>2</v>
      </c>
      <c r="BA3" s="101" t="s">
        <v>6</v>
      </c>
      <c r="BB3" s="100" t="s">
        <v>3</v>
      </c>
      <c r="BC3" s="100" t="s">
        <v>2</v>
      </c>
      <c r="BD3" s="101" t="s">
        <v>6</v>
      </c>
      <c r="BE3" s="100" t="s">
        <v>3</v>
      </c>
      <c r="BF3" s="100" t="s">
        <v>2</v>
      </c>
      <c r="BG3" s="101" t="s">
        <v>6</v>
      </c>
      <c r="BH3" s="100" t="s">
        <v>3</v>
      </c>
    </row>
    <row r="4" spans="1:60" s="3" customFormat="1" ht="27" customHeight="1" x14ac:dyDescent="0.25">
      <c r="A4" s="5">
        <v>1</v>
      </c>
      <c r="B4" s="21" t="s">
        <v>29</v>
      </c>
      <c r="C4" s="15" t="s">
        <v>21</v>
      </c>
      <c r="D4" s="28"/>
      <c r="E4" s="41"/>
      <c r="F4" s="8"/>
      <c r="G4" s="37"/>
      <c r="H4" s="61">
        <v>148</v>
      </c>
      <c r="I4" s="113">
        <v>52500</v>
      </c>
      <c r="J4" s="62">
        <v>7770000</v>
      </c>
      <c r="K4" s="22">
        <v>299</v>
      </c>
      <c r="L4" s="42">
        <v>36500</v>
      </c>
      <c r="M4" s="16">
        <f>K4*L4*98%</f>
        <v>10695230</v>
      </c>
      <c r="N4" s="7">
        <v>0.02</v>
      </c>
      <c r="O4" s="61">
        <v>94</v>
      </c>
      <c r="P4" s="113">
        <v>52500</v>
      </c>
      <c r="Q4" s="62">
        <v>4935000</v>
      </c>
      <c r="R4" s="27">
        <v>276</v>
      </c>
      <c r="S4" s="42">
        <v>36500</v>
      </c>
      <c r="T4" s="26">
        <f>R4*S4*98%</f>
        <v>9872520</v>
      </c>
      <c r="U4" s="7">
        <v>0.02</v>
      </c>
      <c r="V4" s="60"/>
      <c r="W4" s="112"/>
      <c r="X4" s="60"/>
      <c r="Y4" s="27">
        <v>218</v>
      </c>
      <c r="Z4" s="42">
        <v>36500</v>
      </c>
      <c r="AA4" s="26">
        <f t="shared" ref="AA4:AA10" si="0">Y4*Z4</f>
        <v>7957000</v>
      </c>
      <c r="AB4" s="61">
        <v>158</v>
      </c>
      <c r="AC4" s="113">
        <v>52500</v>
      </c>
      <c r="AD4" s="62">
        <v>8295000</v>
      </c>
      <c r="AE4" s="28"/>
      <c r="AF4" s="41"/>
      <c r="AG4" s="8"/>
      <c r="AH4" s="61">
        <v>200</v>
      </c>
      <c r="AI4" s="113">
        <v>52500</v>
      </c>
      <c r="AJ4" s="62">
        <v>10500000</v>
      </c>
      <c r="AK4" s="22">
        <v>50</v>
      </c>
      <c r="AL4" s="42">
        <v>40200</v>
      </c>
      <c r="AM4" s="16">
        <f t="shared" ref="AM4:AM9" si="1">AK4*AL4</f>
        <v>2010000</v>
      </c>
      <c r="AN4" s="79">
        <v>100</v>
      </c>
      <c r="AO4" s="84">
        <v>52500</v>
      </c>
      <c r="AP4" s="82">
        <f>AN4*AO4</f>
        <v>5250000</v>
      </c>
      <c r="AQ4" s="102">
        <v>185</v>
      </c>
      <c r="AR4" s="103">
        <v>40200</v>
      </c>
      <c r="AS4" s="104">
        <f t="shared" ref="AS4:AS9" si="2">AQ4*AR4</f>
        <v>7437000</v>
      </c>
      <c r="AT4" s="102">
        <f>97+100</f>
        <v>197</v>
      </c>
      <c r="AU4" s="103" t="s">
        <v>129</v>
      </c>
      <c r="AV4" s="104">
        <f>3899400+4500000</f>
        <v>8399400</v>
      </c>
      <c r="AW4" s="102">
        <f>230+120</f>
        <v>350</v>
      </c>
      <c r="AX4" s="103" t="s">
        <v>130</v>
      </c>
      <c r="AY4" s="104">
        <f>10350000+5640000</f>
        <v>15990000</v>
      </c>
      <c r="AZ4" s="102">
        <v>100</v>
      </c>
      <c r="BA4" s="103">
        <v>52500</v>
      </c>
      <c r="BB4" s="104">
        <f t="shared" ref="BB4:BB57" si="3">AZ4*BA4</f>
        <v>5250000</v>
      </c>
      <c r="BC4" s="102">
        <v>300</v>
      </c>
      <c r="BD4" s="103">
        <v>52500</v>
      </c>
      <c r="BE4" s="104">
        <f t="shared" ref="BE4:BE58" si="4">BC4*BD4</f>
        <v>15750000</v>
      </c>
      <c r="BF4" s="102">
        <v>500</v>
      </c>
      <c r="BG4" s="103">
        <v>52500</v>
      </c>
      <c r="BH4" s="104">
        <f t="shared" ref="BH4:BH59" si="5">BF4*BG4</f>
        <v>26250000</v>
      </c>
    </row>
    <row r="5" spans="1:60" s="6" customFormat="1" ht="27" customHeight="1" x14ac:dyDescent="0.25">
      <c r="A5" s="5">
        <v>2</v>
      </c>
      <c r="B5" s="21" t="s">
        <v>59</v>
      </c>
      <c r="C5" s="15" t="s">
        <v>86</v>
      </c>
      <c r="D5" s="22">
        <v>1969</v>
      </c>
      <c r="E5" s="42">
        <v>37000</v>
      </c>
      <c r="F5" s="16">
        <f>D5*E5*98%</f>
        <v>71395940</v>
      </c>
      <c r="G5" s="7">
        <v>0.02</v>
      </c>
      <c r="H5" s="61">
        <v>1169</v>
      </c>
      <c r="I5" s="113">
        <v>53000</v>
      </c>
      <c r="J5" s="62">
        <v>61957000</v>
      </c>
      <c r="K5" s="22">
        <v>1200</v>
      </c>
      <c r="L5" s="42">
        <v>37000</v>
      </c>
      <c r="M5" s="16">
        <f>K5*L5*98%</f>
        <v>43512000</v>
      </c>
      <c r="N5" s="7">
        <v>0.02</v>
      </c>
      <c r="O5" s="61">
        <v>1478</v>
      </c>
      <c r="P5" s="113">
        <v>53000</v>
      </c>
      <c r="Q5" s="62">
        <v>78334000</v>
      </c>
      <c r="R5" s="27">
        <v>915</v>
      </c>
      <c r="S5" s="42">
        <v>37000</v>
      </c>
      <c r="T5" s="26">
        <f>R5*S5*98%</f>
        <v>33177900</v>
      </c>
      <c r="U5" s="7">
        <v>0.02</v>
      </c>
      <c r="V5" s="61">
        <v>1206</v>
      </c>
      <c r="W5" s="113">
        <v>53000</v>
      </c>
      <c r="X5" s="62">
        <v>63918000</v>
      </c>
      <c r="Y5" s="27">
        <v>319</v>
      </c>
      <c r="Z5" s="42">
        <v>37000</v>
      </c>
      <c r="AA5" s="26">
        <f t="shared" si="0"/>
        <v>11803000</v>
      </c>
      <c r="AB5" s="61">
        <v>1293</v>
      </c>
      <c r="AC5" s="113">
        <v>53000</v>
      </c>
      <c r="AD5" s="62">
        <v>68529000</v>
      </c>
      <c r="AE5" s="27">
        <v>885</v>
      </c>
      <c r="AF5" s="42">
        <v>40700</v>
      </c>
      <c r="AG5" s="26">
        <f>AE5*AF5</f>
        <v>36019500</v>
      </c>
      <c r="AH5" s="61">
        <v>1183</v>
      </c>
      <c r="AI5" s="113">
        <v>53000</v>
      </c>
      <c r="AJ5" s="62">
        <v>62699000</v>
      </c>
      <c r="AK5" s="22">
        <v>1007</v>
      </c>
      <c r="AL5" s="42">
        <v>40700</v>
      </c>
      <c r="AM5" s="16">
        <f t="shared" si="1"/>
        <v>40984900</v>
      </c>
      <c r="AN5" s="79">
        <v>1328</v>
      </c>
      <c r="AO5" s="84">
        <v>53000</v>
      </c>
      <c r="AP5" s="82">
        <f t="shared" ref="AP5:AP55" si="6">AN5*AO5</f>
        <v>70384000</v>
      </c>
      <c r="AQ5" s="102">
        <v>1240</v>
      </c>
      <c r="AR5" s="103">
        <v>40700</v>
      </c>
      <c r="AS5" s="104">
        <f t="shared" si="2"/>
        <v>50468000</v>
      </c>
      <c r="AT5" s="102">
        <v>810</v>
      </c>
      <c r="AU5" s="103">
        <v>40700</v>
      </c>
      <c r="AV5" s="104">
        <f t="shared" ref="AV5:AV25" si="7">AT5*AU5</f>
        <v>32967000</v>
      </c>
      <c r="AW5" s="102">
        <f>740+540</f>
        <v>1280</v>
      </c>
      <c r="AX5" s="103" t="s">
        <v>131</v>
      </c>
      <c r="AY5" s="104">
        <f>33300000+25650000</f>
        <v>58950000</v>
      </c>
      <c r="AZ5" s="102">
        <v>700</v>
      </c>
      <c r="BA5" s="103">
        <v>53000</v>
      </c>
      <c r="BB5" s="104">
        <f t="shared" si="3"/>
        <v>37100000</v>
      </c>
      <c r="BC5" s="102">
        <v>1300</v>
      </c>
      <c r="BD5" s="103">
        <v>53000</v>
      </c>
      <c r="BE5" s="104">
        <f t="shared" si="4"/>
        <v>68900000</v>
      </c>
      <c r="BF5" s="102">
        <v>1371</v>
      </c>
      <c r="BG5" s="103">
        <v>53000</v>
      </c>
      <c r="BH5" s="104">
        <f t="shared" si="5"/>
        <v>72663000</v>
      </c>
    </row>
    <row r="6" spans="1:60" s="6" customFormat="1" ht="24" customHeight="1" x14ac:dyDescent="0.25">
      <c r="A6" s="5">
        <v>3</v>
      </c>
      <c r="B6" s="21" t="s">
        <v>30</v>
      </c>
      <c r="C6" s="15" t="s">
        <v>95</v>
      </c>
      <c r="D6" s="22">
        <v>1285</v>
      </c>
      <c r="E6" s="42">
        <v>42500</v>
      </c>
      <c r="F6" s="16">
        <f>D6*E6*98%</f>
        <v>53520250</v>
      </c>
      <c r="G6" s="7">
        <v>0.02</v>
      </c>
      <c r="H6" s="61">
        <v>1192</v>
      </c>
      <c r="I6" s="113">
        <v>62500</v>
      </c>
      <c r="J6" s="62">
        <v>74500000</v>
      </c>
      <c r="K6" s="22">
        <v>689</v>
      </c>
      <c r="L6" s="42">
        <v>42500</v>
      </c>
      <c r="M6" s="16">
        <f>K6*L6*98%</f>
        <v>28696850</v>
      </c>
      <c r="N6" s="7">
        <v>0.02</v>
      </c>
      <c r="O6" s="61">
        <v>511</v>
      </c>
      <c r="P6" s="113">
        <v>62500</v>
      </c>
      <c r="Q6" s="62">
        <v>31937500</v>
      </c>
      <c r="R6" s="27">
        <v>296</v>
      </c>
      <c r="S6" s="42">
        <v>42500</v>
      </c>
      <c r="T6" s="26">
        <f>R6*S6*98%</f>
        <v>12328400</v>
      </c>
      <c r="U6" s="7">
        <v>0.02</v>
      </c>
      <c r="V6" s="61">
        <v>1139</v>
      </c>
      <c r="W6" s="113">
        <v>62500</v>
      </c>
      <c r="X6" s="62">
        <v>71187500</v>
      </c>
      <c r="Y6" s="27">
        <v>333</v>
      </c>
      <c r="Z6" s="42">
        <v>42500</v>
      </c>
      <c r="AA6" s="26">
        <f t="shared" si="0"/>
        <v>14152500</v>
      </c>
      <c r="AB6" s="61">
        <v>760</v>
      </c>
      <c r="AC6" s="113">
        <v>62500</v>
      </c>
      <c r="AD6" s="62">
        <v>47500000</v>
      </c>
      <c r="AE6" s="27">
        <v>735</v>
      </c>
      <c r="AF6" s="42">
        <v>46800</v>
      </c>
      <c r="AG6" s="26">
        <f>AE6*AF6</f>
        <v>34398000</v>
      </c>
      <c r="AH6" s="61">
        <v>1190</v>
      </c>
      <c r="AI6" s="113">
        <v>62500</v>
      </c>
      <c r="AJ6" s="62">
        <v>74375000</v>
      </c>
      <c r="AK6" s="22">
        <v>880</v>
      </c>
      <c r="AL6" s="42">
        <v>46800</v>
      </c>
      <c r="AM6" s="16">
        <f t="shared" si="1"/>
        <v>41184000</v>
      </c>
      <c r="AN6" s="79">
        <v>510</v>
      </c>
      <c r="AO6" s="84">
        <v>62500</v>
      </c>
      <c r="AP6" s="82">
        <f t="shared" si="6"/>
        <v>31875000</v>
      </c>
      <c r="AQ6" s="102">
        <v>342</v>
      </c>
      <c r="AR6" s="103">
        <v>46800</v>
      </c>
      <c r="AS6" s="104">
        <f t="shared" si="2"/>
        <v>16005600</v>
      </c>
      <c r="AT6" s="102">
        <v>190</v>
      </c>
      <c r="AU6" s="103">
        <v>46800</v>
      </c>
      <c r="AV6" s="104">
        <f t="shared" si="7"/>
        <v>8892000</v>
      </c>
      <c r="AW6" s="102">
        <f>330+250</f>
        <v>580</v>
      </c>
      <c r="AX6" s="103" t="s">
        <v>132</v>
      </c>
      <c r="AY6" s="104">
        <f>17160000+13625000</f>
        <v>30785000</v>
      </c>
      <c r="AZ6" s="102">
        <v>500</v>
      </c>
      <c r="BA6" s="103">
        <v>62500</v>
      </c>
      <c r="BB6" s="104">
        <f t="shared" si="3"/>
        <v>31250000</v>
      </c>
      <c r="BC6" s="102">
        <v>1290</v>
      </c>
      <c r="BD6" s="103">
        <v>62500</v>
      </c>
      <c r="BE6" s="104">
        <f t="shared" si="4"/>
        <v>80625000</v>
      </c>
      <c r="BF6" s="102">
        <v>1508</v>
      </c>
      <c r="BG6" s="103">
        <v>62500</v>
      </c>
      <c r="BH6" s="104">
        <f t="shared" si="5"/>
        <v>94250000</v>
      </c>
    </row>
    <row r="7" spans="1:60" s="6" customFormat="1" ht="27" customHeight="1" x14ac:dyDescent="0.25">
      <c r="A7" s="5">
        <v>4</v>
      </c>
      <c r="B7" s="21" t="s">
        <v>64</v>
      </c>
      <c r="C7" s="15" t="s">
        <v>96</v>
      </c>
      <c r="D7" s="22">
        <v>170</v>
      </c>
      <c r="E7" s="42">
        <v>52000</v>
      </c>
      <c r="F7" s="16">
        <f>D7*E7*98%</f>
        <v>8663200</v>
      </c>
      <c r="G7" s="7">
        <v>0.02</v>
      </c>
      <c r="H7" s="61">
        <v>100</v>
      </c>
      <c r="I7" s="113">
        <v>90500</v>
      </c>
      <c r="J7" s="62">
        <v>9050000</v>
      </c>
      <c r="K7" s="22"/>
      <c r="L7" s="42"/>
      <c r="M7" s="16"/>
      <c r="N7" s="7"/>
      <c r="O7" s="61"/>
      <c r="P7" s="113"/>
      <c r="Q7" s="62"/>
      <c r="R7" s="27"/>
      <c r="S7" s="42"/>
      <c r="T7" s="26"/>
      <c r="U7" s="7"/>
      <c r="V7" s="61">
        <v>100</v>
      </c>
      <c r="W7" s="113">
        <v>90500</v>
      </c>
      <c r="X7" s="62">
        <v>9050000</v>
      </c>
      <c r="Y7" s="27">
        <v>1</v>
      </c>
      <c r="Z7" s="42">
        <v>52000</v>
      </c>
      <c r="AA7" s="26">
        <f t="shared" si="0"/>
        <v>52000</v>
      </c>
      <c r="AB7" s="61">
        <v>56</v>
      </c>
      <c r="AC7" s="113">
        <v>90500</v>
      </c>
      <c r="AD7" s="62">
        <v>5068000</v>
      </c>
      <c r="AE7" s="27"/>
      <c r="AF7" s="42"/>
      <c r="AG7" s="26"/>
      <c r="AH7" s="61">
        <v>54</v>
      </c>
      <c r="AI7" s="113">
        <v>90500</v>
      </c>
      <c r="AJ7" s="62">
        <v>4887000</v>
      </c>
      <c r="AK7" s="22">
        <v>91</v>
      </c>
      <c r="AL7" s="42">
        <v>62400</v>
      </c>
      <c r="AM7" s="16">
        <f t="shared" si="1"/>
        <v>5678400</v>
      </c>
      <c r="AN7" s="79">
        <v>100</v>
      </c>
      <c r="AO7" s="84">
        <v>90500</v>
      </c>
      <c r="AP7" s="82">
        <f t="shared" si="6"/>
        <v>9050000</v>
      </c>
      <c r="AQ7" s="102">
        <v>60</v>
      </c>
      <c r="AR7" s="103">
        <v>62400</v>
      </c>
      <c r="AS7" s="104">
        <f t="shared" si="2"/>
        <v>3744000</v>
      </c>
      <c r="AT7" s="102">
        <v>45</v>
      </c>
      <c r="AU7" s="103">
        <v>62400</v>
      </c>
      <c r="AV7" s="104">
        <f t="shared" si="7"/>
        <v>2808000</v>
      </c>
      <c r="AW7" s="102"/>
      <c r="AX7" s="103"/>
      <c r="AY7" s="104"/>
      <c r="AZ7" s="102"/>
      <c r="BA7" s="103"/>
      <c r="BB7" s="104"/>
      <c r="BC7" s="102">
        <v>50</v>
      </c>
      <c r="BD7" s="103">
        <v>90500</v>
      </c>
      <c r="BE7" s="104">
        <f t="shared" si="4"/>
        <v>4525000</v>
      </c>
      <c r="BF7" s="102">
        <v>50</v>
      </c>
      <c r="BG7" s="103">
        <v>90500</v>
      </c>
      <c r="BH7" s="104">
        <f t="shared" si="5"/>
        <v>4525000</v>
      </c>
    </row>
    <row r="8" spans="1:60" s="6" customFormat="1" ht="27" customHeight="1" x14ac:dyDescent="0.25">
      <c r="A8" s="5">
        <v>5</v>
      </c>
      <c r="B8" s="21" t="s">
        <v>60</v>
      </c>
      <c r="C8" s="15" t="s">
        <v>22</v>
      </c>
      <c r="D8" s="22"/>
      <c r="E8" s="42"/>
      <c r="F8" s="16"/>
      <c r="G8" s="7"/>
      <c r="H8" s="61">
        <v>100</v>
      </c>
      <c r="I8" s="113">
        <v>64000</v>
      </c>
      <c r="J8" s="62">
        <v>6400000</v>
      </c>
      <c r="K8" s="22"/>
      <c r="L8" s="42"/>
      <c r="M8" s="16"/>
      <c r="N8" s="7"/>
      <c r="O8" s="61">
        <v>50</v>
      </c>
      <c r="P8" s="113">
        <v>64000</v>
      </c>
      <c r="Q8" s="62">
        <v>3200000</v>
      </c>
      <c r="R8" s="27"/>
      <c r="S8" s="42"/>
      <c r="T8" s="26"/>
      <c r="U8" s="7"/>
      <c r="V8" s="61">
        <v>100</v>
      </c>
      <c r="W8" s="113">
        <v>64000</v>
      </c>
      <c r="X8" s="62">
        <v>6400000</v>
      </c>
      <c r="Y8" s="27">
        <v>2</v>
      </c>
      <c r="Z8" s="42">
        <v>43500</v>
      </c>
      <c r="AA8" s="26">
        <f t="shared" si="0"/>
        <v>87000</v>
      </c>
      <c r="AB8" s="61">
        <v>78</v>
      </c>
      <c r="AC8" s="113">
        <v>64000</v>
      </c>
      <c r="AD8" s="62">
        <v>4992000</v>
      </c>
      <c r="AE8" s="27"/>
      <c r="AF8" s="42"/>
      <c r="AG8" s="26"/>
      <c r="AH8" s="61">
        <v>72</v>
      </c>
      <c r="AI8" s="113">
        <v>64000</v>
      </c>
      <c r="AJ8" s="62">
        <v>4608000</v>
      </c>
      <c r="AK8" s="22">
        <v>50</v>
      </c>
      <c r="AL8" s="42">
        <v>47900</v>
      </c>
      <c r="AM8" s="16">
        <f t="shared" si="1"/>
        <v>2395000</v>
      </c>
      <c r="AN8" s="79">
        <v>100</v>
      </c>
      <c r="AO8" s="84">
        <v>64000</v>
      </c>
      <c r="AP8" s="82">
        <f t="shared" si="6"/>
        <v>6400000</v>
      </c>
      <c r="AQ8" s="102">
        <v>108</v>
      </c>
      <c r="AR8" s="103">
        <v>47900</v>
      </c>
      <c r="AS8" s="104">
        <f t="shared" si="2"/>
        <v>5173200</v>
      </c>
      <c r="AT8" s="102">
        <v>175</v>
      </c>
      <c r="AU8" s="103">
        <v>47900</v>
      </c>
      <c r="AV8" s="104">
        <f t="shared" si="7"/>
        <v>8382500</v>
      </c>
      <c r="AW8" s="102">
        <f>150+50</f>
        <v>200</v>
      </c>
      <c r="AX8" s="103" t="s">
        <v>133</v>
      </c>
      <c r="AY8" s="104">
        <f>7950000+2775000</f>
        <v>10725000</v>
      </c>
      <c r="AZ8" s="102">
        <v>100</v>
      </c>
      <c r="BA8" s="103">
        <v>64000</v>
      </c>
      <c r="BB8" s="104">
        <f t="shared" si="3"/>
        <v>6400000</v>
      </c>
      <c r="BC8" s="102">
        <v>100</v>
      </c>
      <c r="BD8" s="103">
        <v>64000</v>
      </c>
      <c r="BE8" s="104">
        <f t="shared" si="4"/>
        <v>6400000</v>
      </c>
      <c r="BF8" s="102">
        <v>100</v>
      </c>
      <c r="BG8" s="103">
        <v>64000</v>
      </c>
      <c r="BH8" s="104">
        <f t="shared" si="5"/>
        <v>6400000</v>
      </c>
    </row>
    <row r="9" spans="1:60" s="6" customFormat="1" ht="27" customHeight="1" x14ac:dyDescent="0.25">
      <c r="A9" s="5">
        <v>6</v>
      </c>
      <c r="B9" s="21" t="s">
        <v>31</v>
      </c>
      <c r="C9" s="15" t="s">
        <v>12</v>
      </c>
      <c r="D9" s="22">
        <v>95</v>
      </c>
      <c r="E9" s="42">
        <v>44000</v>
      </c>
      <c r="F9" s="16">
        <f>D9*E9*98%</f>
        <v>4096400</v>
      </c>
      <c r="G9" s="7">
        <v>0.02</v>
      </c>
      <c r="H9" s="61">
        <v>150</v>
      </c>
      <c r="I9" s="113">
        <v>64500</v>
      </c>
      <c r="J9" s="62">
        <v>9675000</v>
      </c>
      <c r="K9" s="22"/>
      <c r="L9" s="42"/>
      <c r="M9" s="16"/>
      <c r="N9" s="7"/>
      <c r="O9" s="61">
        <v>320</v>
      </c>
      <c r="P9" s="113">
        <v>64500</v>
      </c>
      <c r="Q9" s="62">
        <v>20640000</v>
      </c>
      <c r="R9" s="27">
        <v>135</v>
      </c>
      <c r="S9" s="42">
        <v>44000</v>
      </c>
      <c r="T9" s="26">
        <f>R9*S9*98%</f>
        <v>5821200</v>
      </c>
      <c r="U9" s="7">
        <v>0.02</v>
      </c>
      <c r="V9" s="61">
        <v>398</v>
      </c>
      <c r="W9" s="113">
        <v>64500</v>
      </c>
      <c r="X9" s="62">
        <v>25671000</v>
      </c>
      <c r="Y9" s="27">
        <v>101</v>
      </c>
      <c r="Z9" s="42">
        <v>44000</v>
      </c>
      <c r="AA9" s="26">
        <f t="shared" si="0"/>
        <v>4444000</v>
      </c>
      <c r="AB9" s="61">
        <v>290</v>
      </c>
      <c r="AC9" s="113">
        <v>64500</v>
      </c>
      <c r="AD9" s="62">
        <v>18705000</v>
      </c>
      <c r="AE9" s="27">
        <v>474</v>
      </c>
      <c r="AF9" s="42">
        <v>48400</v>
      </c>
      <c r="AG9" s="26">
        <f>AE9*AF9</f>
        <v>22941600</v>
      </c>
      <c r="AH9" s="61">
        <v>342</v>
      </c>
      <c r="AI9" s="113">
        <v>64500</v>
      </c>
      <c r="AJ9" s="62">
        <v>22059000</v>
      </c>
      <c r="AK9" s="22">
        <v>163</v>
      </c>
      <c r="AL9" s="42">
        <v>48400</v>
      </c>
      <c r="AM9" s="16">
        <f t="shared" si="1"/>
        <v>7889200</v>
      </c>
      <c r="AN9" s="79">
        <v>350</v>
      </c>
      <c r="AO9" s="84">
        <v>64500</v>
      </c>
      <c r="AP9" s="82">
        <f t="shared" si="6"/>
        <v>22575000</v>
      </c>
      <c r="AQ9" s="102">
        <v>222</v>
      </c>
      <c r="AR9" s="103">
        <v>48400</v>
      </c>
      <c r="AS9" s="104">
        <f t="shared" si="2"/>
        <v>10744800</v>
      </c>
      <c r="AT9" s="102">
        <v>390</v>
      </c>
      <c r="AU9" s="103">
        <v>48400</v>
      </c>
      <c r="AV9" s="104">
        <f t="shared" si="7"/>
        <v>18876000</v>
      </c>
      <c r="AW9" s="102">
        <f>260+200</f>
        <v>460</v>
      </c>
      <c r="AX9" s="103" t="s">
        <v>134</v>
      </c>
      <c r="AY9" s="104">
        <f>13910000+11200000</f>
        <v>25110000</v>
      </c>
      <c r="AZ9" s="102">
        <v>100</v>
      </c>
      <c r="BA9" s="103">
        <v>64500</v>
      </c>
      <c r="BB9" s="104">
        <f t="shared" si="3"/>
        <v>6450000</v>
      </c>
      <c r="BC9" s="102">
        <v>300</v>
      </c>
      <c r="BD9" s="103">
        <v>64500</v>
      </c>
      <c r="BE9" s="104">
        <f t="shared" si="4"/>
        <v>19350000</v>
      </c>
      <c r="BF9" s="102">
        <v>400</v>
      </c>
      <c r="BG9" s="103">
        <v>64500</v>
      </c>
      <c r="BH9" s="104">
        <f t="shared" si="5"/>
        <v>25800000</v>
      </c>
    </row>
    <row r="10" spans="1:60" s="6" customFormat="1" ht="27" customHeight="1" x14ac:dyDescent="0.25">
      <c r="A10" s="5">
        <v>7</v>
      </c>
      <c r="B10" s="21" t="s">
        <v>32</v>
      </c>
      <c r="C10" s="15" t="s">
        <v>26</v>
      </c>
      <c r="D10" s="22">
        <v>150</v>
      </c>
      <c r="E10" s="42">
        <v>49000</v>
      </c>
      <c r="F10" s="16">
        <f>D10*E10*98%</f>
        <v>7203000</v>
      </c>
      <c r="G10" s="7">
        <v>0.02</v>
      </c>
      <c r="H10" s="61">
        <v>50</v>
      </c>
      <c r="I10" s="113">
        <v>68500</v>
      </c>
      <c r="J10" s="62">
        <v>3425000</v>
      </c>
      <c r="K10" s="22"/>
      <c r="L10" s="42"/>
      <c r="M10" s="16"/>
      <c r="N10" s="7"/>
      <c r="O10" s="61">
        <v>2</v>
      </c>
      <c r="P10" s="113">
        <v>48000</v>
      </c>
      <c r="Q10" s="62">
        <v>96000</v>
      </c>
      <c r="R10" s="27"/>
      <c r="S10" s="42"/>
      <c r="T10" s="26"/>
      <c r="U10" s="7"/>
      <c r="V10" s="61">
        <v>100</v>
      </c>
      <c r="W10" s="113">
        <v>68500</v>
      </c>
      <c r="X10" s="62">
        <v>6850000</v>
      </c>
      <c r="Y10" s="27">
        <v>2</v>
      </c>
      <c r="Z10" s="42">
        <v>49000</v>
      </c>
      <c r="AA10" s="26">
        <f t="shared" si="0"/>
        <v>98000</v>
      </c>
      <c r="AB10" s="61">
        <v>26</v>
      </c>
      <c r="AC10" s="113">
        <v>68500</v>
      </c>
      <c r="AD10" s="62">
        <v>1781000</v>
      </c>
      <c r="AE10" s="27"/>
      <c r="AF10" s="42"/>
      <c r="AG10" s="26"/>
      <c r="AH10" s="61">
        <v>74</v>
      </c>
      <c r="AI10" s="113">
        <v>68500</v>
      </c>
      <c r="AJ10" s="62">
        <v>5069000</v>
      </c>
      <c r="AK10" s="22"/>
      <c r="AL10" s="42"/>
      <c r="AM10" s="16"/>
      <c r="AN10" s="79"/>
      <c r="AO10" s="84"/>
      <c r="AP10" s="82">
        <f t="shared" si="6"/>
        <v>0</v>
      </c>
      <c r="AQ10" s="102"/>
      <c r="AR10" s="103"/>
      <c r="AS10" s="104"/>
      <c r="AT10" s="102">
        <f>28+50</f>
        <v>78</v>
      </c>
      <c r="AU10" s="103" t="s">
        <v>135</v>
      </c>
      <c r="AV10" s="104">
        <f>1509200+2975000</f>
        <v>4484200</v>
      </c>
      <c r="AW10" s="102">
        <f>100+20</f>
        <v>120</v>
      </c>
      <c r="AX10" s="103" t="s">
        <v>136</v>
      </c>
      <c r="AY10" s="104">
        <f>5950000+1250000</f>
        <v>7200000</v>
      </c>
      <c r="AZ10" s="102"/>
      <c r="BA10" s="103"/>
      <c r="BB10" s="104"/>
      <c r="BC10" s="102">
        <v>50</v>
      </c>
      <c r="BD10" s="103">
        <v>68500</v>
      </c>
      <c r="BE10" s="104">
        <f t="shared" si="4"/>
        <v>3425000</v>
      </c>
      <c r="BF10" s="102">
        <v>100</v>
      </c>
      <c r="BG10" s="103">
        <v>68500</v>
      </c>
      <c r="BH10" s="104">
        <f t="shared" si="5"/>
        <v>6850000</v>
      </c>
    </row>
    <row r="11" spans="1:60" s="6" customFormat="1" ht="27" customHeight="1" x14ac:dyDescent="0.25">
      <c r="A11" s="5">
        <v>8</v>
      </c>
      <c r="B11" s="21" t="s">
        <v>62</v>
      </c>
      <c r="C11" s="15" t="s">
        <v>19</v>
      </c>
      <c r="D11" s="22"/>
      <c r="E11" s="42"/>
      <c r="F11" s="16"/>
      <c r="G11" s="7"/>
      <c r="H11" s="61">
        <v>50</v>
      </c>
      <c r="I11" s="113">
        <v>72500</v>
      </c>
      <c r="J11" s="62">
        <v>3625000</v>
      </c>
      <c r="K11" s="22"/>
      <c r="L11" s="42"/>
      <c r="M11" s="16"/>
      <c r="N11" s="7"/>
      <c r="O11" s="61">
        <v>81</v>
      </c>
      <c r="P11" s="113">
        <v>72500</v>
      </c>
      <c r="Q11" s="62">
        <v>5872500</v>
      </c>
      <c r="R11" s="27"/>
      <c r="S11" s="42"/>
      <c r="T11" s="26"/>
      <c r="U11" s="7"/>
      <c r="V11" s="61">
        <v>50</v>
      </c>
      <c r="W11" s="113">
        <v>72500</v>
      </c>
      <c r="X11" s="62">
        <v>3625000</v>
      </c>
      <c r="Y11" s="27"/>
      <c r="Z11" s="42"/>
      <c r="AA11" s="26"/>
      <c r="AB11" s="61">
        <v>74</v>
      </c>
      <c r="AC11" s="113">
        <v>72500</v>
      </c>
      <c r="AD11" s="62">
        <v>5365000</v>
      </c>
      <c r="AE11" s="27"/>
      <c r="AF11" s="42"/>
      <c r="AG11" s="26"/>
      <c r="AH11" s="61">
        <v>45</v>
      </c>
      <c r="AI11" s="113">
        <v>72500</v>
      </c>
      <c r="AJ11" s="62">
        <v>3262500</v>
      </c>
      <c r="AK11" s="22">
        <v>130</v>
      </c>
      <c r="AL11" s="42">
        <v>56700</v>
      </c>
      <c r="AM11" s="16">
        <f t="shared" ref="AM11:AM17" si="8">AK11*AL11</f>
        <v>7371000</v>
      </c>
      <c r="AN11" s="79">
        <v>100</v>
      </c>
      <c r="AO11" s="84">
        <v>72500</v>
      </c>
      <c r="AP11" s="82">
        <f t="shared" si="6"/>
        <v>7250000</v>
      </c>
      <c r="AQ11" s="102"/>
      <c r="AR11" s="103"/>
      <c r="AS11" s="104"/>
      <c r="AT11" s="102">
        <v>200</v>
      </c>
      <c r="AU11" s="103">
        <v>56700</v>
      </c>
      <c r="AV11" s="104">
        <f t="shared" si="7"/>
        <v>11340000</v>
      </c>
      <c r="AW11" s="102">
        <f>100+100</f>
        <v>200</v>
      </c>
      <c r="AX11" s="103" t="s">
        <v>137</v>
      </c>
      <c r="AY11" s="104">
        <f>6300000+6600000</f>
        <v>12900000</v>
      </c>
      <c r="AZ11" s="102">
        <v>20</v>
      </c>
      <c r="BA11" s="103">
        <v>72500</v>
      </c>
      <c r="BB11" s="104">
        <f t="shared" si="3"/>
        <v>1450000</v>
      </c>
      <c r="BC11" s="102">
        <v>100</v>
      </c>
      <c r="BD11" s="103">
        <v>72500</v>
      </c>
      <c r="BE11" s="104">
        <f t="shared" si="4"/>
        <v>7250000</v>
      </c>
      <c r="BF11" s="102">
        <v>100</v>
      </c>
      <c r="BG11" s="103">
        <v>72500</v>
      </c>
      <c r="BH11" s="104">
        <f t="shared" si="5"/>
        <v>7250000</v>
      </c>
    </row>
    <row r="12" spans="1:60" s="6" customFormat="1" ht="27" customHeight="1" x14ac:dyDescent="0.25">
      <c r="A12" s="91">
        <v>9</v>
      </c>
      <c r="B12" s="90" t="s">
        <v>61</v>
      </c>
      <c r="C12" s="92" t="s">
        <v>18</v>
      </c>
      <c r="D12" s="22"/>
      <c r="E12" s="42"/>
      <c r="F12" s="16"/>
      <c r="G12" s="7"/>
      <c r="H12" s="61">
        <v>150</v>
      </c>
      <c r="I12" s="113">
        <v>76500</v>
      </c>
      <c r="J12" s="62">
        <v>11475000</v>
      </c>
      <c r="K12" s="22">
        <v>275</v>
      </c>
      <c r="L12" s="42">
        <v>54500</v>
      </c>
      <c r="M12" s="16">
        <f>K12*L12*98%</f>
        <v>14687750</v>
      </c>
      <c r="N12" s="7">
        <v>0.02</v>
      </c>
      <c r="O12" s="61">
        <f>3+100</f>
        <v>103</v>
      </c>
      <c r="P12" s="113" t="s">
        <v>165</v>
      </c>
      <c r="Q12" s="62">
        <f>153000+7650000</f>
        <v>7803000</v>
      </c>
      <c r="R12" s="27"/>
      <c r="S12" s="42"/>
      <c r="T12" s="26"/>
      <c r="U12" s="7"/>
      <c r="V12" s="61">
        <v>200</v>
      </c>
      <c r="W12" s="113">
        <v>76500</v>
      </c>
      <c r="X12" s="62">
        <v>15300000</v>
      </c>
      <c r="Y12" s="27"/>
      <c r="Z12" s="42"/>
      <c r="AA12" s="26"/>
      <c r="AB12" s="61">
        <v>183</v>
      </c>
      <c r="AC12" s="113">
        <v>76500</v>
      </c>
      <c r="AD12" s="62">
        <v>13999500</v>
      </c>
      <c r="AE12" s="27">
        <v>170</v>
      </c>
      <c r="AF12" s="42">
        <v>60000</v>
      </c>
      <c r="AG12" s="26">
        <f>AE12*AF12</f>
        <v>10200000</v>
      </c>
      <c r="AH12" s="61">
        <v>170</v>
      </c>
      <c r="AI12" s="113">
        <v>76500</v>
      </c>
      <c r="AJ12" s="62">
        <v>13005000</v>
      </c>
      <c r="AK12" s="22">
        <v>55</v>
      </c>
      <c r="AL12" s="42">
        <v>60000</v>
      </c>
      <c r="AM12" s="16">
        <f t="shared" si="8"/>
        <v>3300000</v>
      </c>
      <c r="AN12" s="80">
        <v>97</v>
      </c>
      <c r="AO12" s="86">
        <v>76500</v>
      </c>
      <c r="AP12" s="82">
        <f t="shared" si="6"/>
        <v>7420500</v>
      </c>
      <c r="AQ12" s="102">
        <v>290</v>
      </c>
      <c r="AR12" s="103">
        <v>60000</v>
      </c>
      <c r="AS12" s="104">
        <f>AQ12*AR12</f>
        <v>17400000</v>
      </c>
      <c r="AT12" s="102">
        <f>10+30</f>
        <v>40</v>
      </c>
      <c r="AU12" s="103" t="s">
        <v>138</v>
      </c>
      <c r="AV12" s="104">
        <f>600000+1980000</f>
        <v>2580000</v>
      </c>
      <c r="AW12" s="102">
        <f>100+100</f>
        <v>200</v>
      </c>
      <c r="AX12" s="103" t="s">
        <v>139</v>
      </c>
      <c r="AY12" s="104">
        <f>6600000+6950000</f>
        <v>13550000</v>
      </c>
      <c r="AZ12" s="102">
        <v>30</v>
      </c>
      <c r="BA12" s="103">
        <v>76500</v>
      </c>
      <c r="BB12" s="104">
        <f t="shared" si="3"/>
        <v>2295000</v>
      </c>
      <c r="BC12" s="102">
        <v>250</v>
      </c>
      <c r="BD12" s="103">
        <v>76500</v>
      </c>
      <c r="BE12" s="104">
        <f t="shared" si="4"/>
        <v>19125000</v>
      </c>
      <c r="BF12" s="102">
        <v>200</v>
      </c>
      <c r="BG12" s="103">
        <v>76500</v>
      </c>
      <c r="BH12" s="104">
        <f t="shared" si="5"/>
        <v>15300000</v>
      </c>
    </row>
    <row r="13" spans="1:60" s="6" customFormat="1" ht="27" customHeight="1" x14ac:dyDescent="0.25">
      <c r="A13" s="5">
        <v>10</v>
      </c>
      <c r="B13" s="21" t="s">
        <v>63</v>
      </c>
      <c r="C13" s="23" t="s">
        <v>23</v>
      </c>
      <c r="D13" s="22"/>
      <c r="E13" s="42"/>
      <c r="F13" s="16"/>
      <c r="G13" s="7"/>
      <c r="H13" s="61">
        <v>100</v>
      </c>
      <c r="I13" s="113">
        <v>79000</v>
      </c>
      <c r="J13" s="62">
        <v>7900000</v>
      </c>
      <c r="K13" s="22"/>
      <c r="L13" s="42"/>
      <c r="M13" s="16"/>
      <c r="N13" s="7"/>
      <c r="O13" s="61">
        <v>107</v>
      </c>
      <c r="P13" s="113">
        <v>79000</v>
      </c>
      <c r="Q13" s="62">
        <v>8453000</v>
      </c>
      <c r="R13" s="27">
        <v>199</v>
      </c>
      <c r="S13" s="42">
        <v>53500</v>
      </c>
      <c r="T13" s="26">
        <f>R13*S13*98%</f>
        <v>10433570</v>
      </c>
      <c r="U13" s="7">
        <v>0.02</v>
      </c>
      <c r="V13" s="61">
        <v>243</v>
      </c>
      <c r="W13" s="113">
        <v>79000</v>
      </c>
      <c r="X13" s="62">
        <v>19197000</v>
      </c>
      <c r="Y13" s="27">
        <v>3</v>
      </c>
      <c r="Z13" s="42">
        <v>53500</v>
      </c>
      <c r="AA13" s="26">
        <f>Y13*Z13</f>
        <v>160500</v>
      </c>
      <c r="AB13" s="61">
        <v>206</v>
      </c>
      <c r="AC13" s="113">
        <v>79000</v>
      </c>
      <c r="AD13" s="62">
        <v>16274000</v>
      </c>
      <c r="AE13" s="27"/>
      <c r="AF13" s="42"/>
      <c r="AG13" s="26"/>
      <c r="AH13" s="61">
        <v>94</v>
      </c>
      <c r="AI13" s="113">
        <v>79000</v>
      </c>
      <c r="AJ13" s="62">
        <v>7426000</v>
      </c>
      <c r="AK13" s="22">
        <v>235</v>
      </c>
      <c r="AL13" s="42">
        <v>58900</v>
      </c>
      <c r="AM13" s="16">
        <f t="shared" si="8"/>
        <v>13841500</v>
      </c>
      <c r="AN13" s="79">
        <v>100</v>
      </c>
      <c r="AO13" s="84">
        <v>79000</v>
      </c>
      <c r="AP13" s="82">
        <f t="shared" si="6"/>
        <v>7900000</v>
      </c>
      <c r="AQ13" s="102">
        <v>118</v>
      </c>
      <c r="AR13" s="103">
        <v>58900</v>
      </c>
      <c r="AS13" s="104">
        <f>AQ13*AR13</f>
        <v>6950200</v>
      </c>
      <c r="AT13" s="102">
        <v>135</v>
      </c>
      <c r="AU13" s="103">
        <v>58900</v>
      </c>
      <c r="AV13" s="104">
        <f t="shared" si="7"/>
        <v>7951500</v>
      </c>
      <c r="AW13" s="102">
        <f>80+60</f>
        <v>140</v>
      </c>
      <c r="AX13" s="103" t="s">
        <v>140</v>
      </c>
      <c r="AY13" s="104">
        <f>5200000+4110000</f>
        <v>9310000</v>
      </c>
      <c r="AZ13" s="102">
        <v>100</v>
      </c>
      <c r="BA13" s="103">
        <v>79000</v>
      </c>
      <c r="BB13" s="104">
        <f t="shared" si="3"/>
        <v>7900000</v>
      </c>
      <c r="BC13" s="102">
        <v>150</v>
      </c>
      <c r="BD13" s="103">
        <v>79000</v>
      </c>
      <c r="BE13" s="104">
        <f t="shared" si="4"/>
        <v>11850000</v>
      </c>
      <c r="BF13" s="102">
        <v>300</v>
      </c>
      <c r="BG13" s="103">
        <v>79000</v>
      </c>
      <c r="BH13" s="104">
        <f t="shared" si="5"/>
        <v>23700000</v>
      </c>
    </row>
    <row r="14" spans="1:60" s="6" customFormat="1" ht="31.5" customHeight="1" x14ac:dyDescent="0.25">
      <c r="A14" s="94">
        <v>11</v>
      </c>
      <c r="B14" s="93" t="s">
        <v>33</v>
      </c>
      <c r="C14" s="95" t="s">
        <v>5</v>
      </c>
      <c r="D14" s="22">
        <v>1028</v>
      </c>
      <c r="E14" s="42">
        <v>54000</v>
      </c>
      <c r="F14" s="16">
        <f t="shared" ref="F14:F19" si="9">D14*E14*98%</f>
        <v>54401760</v>
      </c>
      <c r="G14" s="7">
        <v>0.02</v>
      </c>
      <c r="H14" s="61">
        <v>550</v>
      </c>
      <c r="I14" s="113">
        <v>79500</v>
      </c>
      <c r="J14" s="62">
        <v>43725000</v>
      </c>
      <c r="K14" s="22">
        <v>310</v>
      </c>
      <c r="L14" s="42">
        <v>54000</v>
      </c>
      <c r="M14" s="16">
        <f>K14*L14*98%</f>
        <v>16405200</v>
      </c>
      <c r="N14" s="7">
        <v>0.02</v>
      </c>
      <c r="O14" s="61">
        <f>3+530</f>
        <v>533</v>
      </c>
      <c r="P14" s="113" t="s">
        <v>166</v>
      </c>
      <c r="Q14" s="62">
        <f>162000+42135000</f>
        <v>42297000</v>
      </c>
      <c r="R14" s="27">
        <v>395</v>
      </c>
      <c r="S14" s="42">
        <v>54000</v>
      </c>
      <c r="T14" s="26">
        <f>R14*S14*98%</f>
        <v>20903400</v>
      </c>
      <c r="U14" s="7">
        <v>0.02</v>
      </c>
      <c r="V14" s="61">
        <v>572</v>
      </c>
      <c r="W14" s="113">
        <v>79500</v>
      </c>
      <c r="X14" s="62">
        <v>45474000</v>
      </c>
      <c r="Y14" s="27">
        <v>443</v>
      </c>
      <c r="Z14" s="42">
        <v>54000</v>
      </c>
      <c r="AA14" s="26">
        <f>Y14*Z14</f>
        <v>23922000</v>
      </c>
      <c r="AB14" s="61">
        <v>472</v>
      </c>
      <c r="AC14" s="113">
        <v>79500</v>
      </c>
      <c r="AD14" s="62">
        <v>37524000</v>
      </c>
      <c r="AE14" s="27">
        <v>715</v>
      </c>
      <c r="AF14" s="42">
        <v>59400</v>
      </c>
      <c r="AG14" s="26">
        <f>AE14*AF14</f>
        <v>42471000</v>
      </c>
      <c r="AH14" s="61">
        <v>426</v>
      </c>
      <c r="AI14" s="113">
        <v>79500</v>
      </c>
      <c r="AJ14" s="62">
        <v>33867000</v>
      </c>
      <c r="AK14" s="22">
        <v>494</v>
      </c>
      <c r="AL14" s="42">
        <v>59400</v>
      </c>
      <c r="AM14" s="16">
        <f t="shared" si="8"/>
        <v>29343600</v>
      </c>
      <c r="AN14" s="80">
        <v>200</v>
      </c>
      <c r="AO14" s="86">
        <v>79500</v>
      </c>
      <c r="AP14" s="82">
        <f t="shared" si="6"/>
        <v>15900000</v>
      </c>
      <c r="AQ14" s="102">
        <v>74</v>
      </c>
      <c r="AR14" s="103">
        <v>59400</v>
      </c>
      <c r="AS14" s="104">
        <f>AQ14*AR14</f>
        <v>4395600</v>
      </c>
      <c r="AT14" s="102">
        <v>126</v>
      </c>
      <c r="AU14" s="103">
        <v>59400</v>
      </c>
      <c r="AV14" s="104">
        <f t="shared" si="7"/>
        <v>7484400</v>
      </c>
      <c r="AW14" s="102">
        <f>170+280</f>
        <v>450</v>
      </c>
      <c r="AX14" s="103" t="s">
        <v>141</v>
      </c>
      <c r="AY14" s="104">
        <f>11135000+19320000</f>
        <v>30455000</v>
      </c>
      <c r="AZ14" s="102">
        <v>200</v>
      </c>
      <c r="BA14" s="103">
        <v>79500</v>
      </c>
      <c r="BB14" s="104">
        <f t="shared" si="3"/>
        <v>15900000</v>
      </c>
      <c r="BC14" s="102">
        <v>450</v>
      </c>
      <c r="BD14" s="103">
        <v>79500</v>
      </c>
      <c r="BE14" s="104">
        <f t="shared" si="4"/>
        <v>35775000</v>
      </c>
      <c r="BF14" s="102">
        <v>800</v>
      </c>
      <c r="BG14" s="103">
        <v>79500</v>
      </c>
      <c r="BH14" s="104">
        <f t="shared" si="5"/>
        <v>63600000</v>
      </c>
    </row>
    <row r="15" spans="1:60" s="6" customFormat="1" ht="31.5" customHeight="1" x14ac:dyDescent="0.25">
      <c r="A15" s="5">
        <v>12</v>
      </c>
      <c r="B15" s="21" t="s">
        <v>65</v>
      </c>
      <c r="C15" s="23" t="s">
        <v>24</v>
      </c>
      <c r="D15" s="22">
        <v>4</v>
      </c>
      <c r="E15" s="42">
        <v>68500</v>
      </c>
      <c r="F15" s="16">
        <f t="shared" si="9"/>
        <v>268520</v>
      </c>
      <c r="G15" s="7">
        <v>0.02</v>
      </c>
      <c r="H15" s="61">
        <v>82</v>
      </c>
      <c r="I15" s="113">
        <v>100000</v>
      </c>
      <c r="J15" s="62">
        <v>8200000</v>
      </c>
      <c r="K15" s="22"/>
      <c r="L15" s="42"/>
      <c r="M15" s="16"/>
      <c r="N15" s="7"/>
      <c r="O15" s="61">
        <v>218</v>
      </c>
      <c r="P15" s="113">
        <v>100000</v>
      </c>
      <c r="Q15" s="62">
        <v>21800000</v>
      </c>
      <c r="R15" s="27">
        <v>190</v>
      </c>
      <c r="S15" s="42">
        <v>68500</v>
      </c>
      <c r="T15" s="26">
        <f>R15*S15*98%</f>
        <v>12754700</v>
      </c>
      <c r="U15" s="7">
        <v>0.02</v>
      </c>
      <c r="V15" s="61">
        <v>104</v>
      </c>
      <c r="W15" s="113">
        <v>100000</v>
      </c>
      <c r="X15" s="62">
        <v>10400000</v>
      </c>
      <c r="Y15" s="27"/>
      <c r="Z15" s="42"/>
      <c r="AA15" s="26"/>
      <c r="AB15" s="61">
        <v>110</v>
      </c>
      <c r="AC15" s="113">
        <v>100000</v>
      </c>
      <c r="AD15" s="62">
        <v>11000000</v>
      </c>
      <c r="AE15" s="27"/>
      <c r="AF15" s="42"/>
      <c r="AG15" s="26"/>
      <c r="AH15" s="61">
        <v>86</v>
      </c>
      <c r="AI15" s="113">
        <v>100000</v>
      </c>
      <c r="AJ15" s="62">
        <v>8600000</v>
      </c>
      <c r="AK15" s="22">
        <v>179</v>
      </c>
      <c r="AL15" s="42">
        <v>75400</v>
      </c>
      <c r="AM15" s="16">
        <f t="shared" si="8"/>
        <v>13496600</v>
      </c>
      <c r="AN15" s="79">
        <v>100</v>
      </c>
      <c r="AO15" s="84">
        <v>100000</v>
      </c>
      <c r="AP15" s="82">
        <f t="shared" si="6"/>
        <v>10000000</v>
      </c>
      <c r="AQ15" s="102"/>
      <c r="AR15" s="103"/>
      <c r="AS15" s="104"/>
      <c r="AT15" s="102">
        <v>167</v>
      </c>
      <c r="AU15" s="103">
        <v>75400</v>
      </c>
      <c r="AV15" s="104">
        <f t="shared" si="7"/>
        <v>12591800</v>
      </c>
      <c r="AW15" s="102">
        <v>100</v>
      </c>
      <c r="AX15" s="103">
        <v>87000</v>
      </c>
      <c r="AY15" s="104">
        <f t="shared" ref="AY15" si="10">AW15*AX15</f>
        <v>8700000</v>
      </c>
      <c r="AZ15" s="102"/>
      <c r="BA15" s="103"/>
      <c r="BB15" s="104"/>
      <c r="BC15" s="102">
        <v>200</v>
      </c>
      <c r="BD15" s="103">
        <v>100000</v>
      </c>
      <c r="BE15" s="104">
        <f t="shared" si="4"/>
        <v>20000000</v>
      </c>
      <c r="BF15" s="102">
        <v>100</v>
      </c>
      <c r="BG15" s="103">
        <v>100000</v>
      </c>
      <c r="BH15" s="104">
        <f t="shared" si="5"/>
        <v>10000000</v>
      </c>
    </row>
    <row r="16" spans="1:60" s="6" customFormat="1" ht="31.5" customHeight="1" x14ac:dyDescent="0.25">
      <c r="A16" s="5">
        <v>13</v>
      </c>
      <c r="B16" s="21" t="s">
        <v>34</v>
      </c>
      <c r="C16" s="15" t="s">
        <v>13</v>
      </c>
      <c r="D16" s="22">
        <v>377</v>
      </c>
      <c r="E16" s="42">
        <v>59500</v>
      </c>
      <c r="F16" s="16">
        <f t="shared" si="9"/>
        <v>21982870</v>
      </c>
      <c r="G16" s="7">
        <v>0.02</v>
      </c>
      <c r="H16" s="61">
        <v>685</v>
      </c>
      <c r="I16" s="113">
        <v>84500</v>
      </c>
      <c r="J16" s="62">
        <v>57882500</v>
      </c>
      <c r="K16" s="22">
        <v>575</v>
      </c>
      <c r="L16" s="42">
        <v>59500</v>
      </c>
      <c r="M16" s="16">
        <f>K16*L16*98%</f>
        <v>33528250</v>
      </c>
      <c r="N16" s="7">
        <v>0.02</v>
      </c>
      <c r="O16" s="61">
        <v>386</v>
      </c>
      <c r="P16" s="113">
        <v>84500</v>
      </c>
      <c r="Q16" s="62">
        <v>32617000</v>
      </c>
      <c r="R16" s="27">
        <v>344</v>
      </c>
      <c r="S16" s="42">
        <v>59500</v>
      </c>
      <c r="T16" s="26">
        <f>R16*S16*98%</f>
        <v>20058640</v>
      </c>
      <c r="U16" s="7">
        <v>0.02</v>
      </c>
      <c r="V16" s="61">
        <v>699</v>
      </c>
      <c r="W16" s="113">
        <v>84500</v>
      </c>
      <c r="X16" s="62">
        <v>59065500</v>
      </c>
      <c r="Y16" s="27">
        <v>355</v>
      </c>
      <c r="Z16" s="42">
        <v>59500</v>
      </c>
      <c r="AA16" s="26">
        <f>Y16*Z16</f>
        <v>21122500</v>
      </c>
      <c r="AB16" s="61">
        <v>619</v>
      </c>
      <c r="AC16" s="113">
        <v>84500</v>
      </c>
      <c r="AD16" s="62">
        <v>52305500</v>
      </c>
      <c r="AE16" s="27">
        <v>370</v>
      </c>
      <c r="AF16" s="42">
        <v>65500</v>
      </c>
      <c r="AG16" s="26">
        <f>AE16*AF16</f>
        <v>24235000</v>
      </c>
      <c r="AH16" s="61">
        <v>322</v>
      </c>
      <c r="AI16" s="113">
        <v>84500</v>
      </c>
      <c r="AJ16" s="62">
        <v>27209000</v>
      </c>
      <c r="AK16" s="22">
        <v>510</v>
      </c>
      <c r="AL16" s="42">
        <v>65500</v>
      </c>
      <c r="AM16" s="16">
        <f t="shared" si="8"/>
        <v>33405000</v>
      </c>
      <c r="AN16" s="79">
        <v>309</v>
      </c>
      <c r="AO16" s="84">
        <v>84500</v>
      </c>
      <c r="AP16" s="82">
        <f t="shared" si="6"/>
        <v>26110500</v>
      </c>
      <c r="AQ16" s="102">
        <v>244</v>
      </c>
      <c r="AR16" s="103">
        <v>65500</v>
      </c>
      <c r="AS16" s="104">
        <f>AQ16*AR16</f>
        <v>15982000</v>
      </c>
      <c r="AT16" s="102">
        <f>270+50</f>
        <v>320</v>
      </c>
      <c r="AU16" s="103" t="s">
        <v>142</v>
      </c>
      <c r="AV16" s="104">
        <f>17685000+3600000</f>
        <v>21285000</v>
      </c>
      <c r="AW16" s="102">
        <f>27+230</f>
        <v>257</v>
      </c>
      <c r="AX16" s="103" t="s">
        <v>143</v>
      </c>
      <c r="AY16" s="104">
        <f>19440000+17365000</f>
        <v>36805000</v>
      </c>
      <c r="AZ16" s="102">
        <v>200</v>
      </c>
      <c r="BA16" s="103">
        <v>84500</v>
      </c>
      <c r="BB16" s="104">
        <f t="shared" si="3"/>
        <v>16900000</v>
      </c>
      <c r="BC16" s="102">
        <v>600</v>
      </c>
      <c r="BD16" s="103">
        <v>84500</v>
      </c>
      <c r="BE16" s="104">
        <f t="shared" si="4"/>
        <v>50700000</v>
      </c>
      <c r="BF16" s="102">
        <v>630</v>
      </c>
      <c r="BG16" s="103">
        <v>84500</v>
      </c>
      <c r="BH16" s="104">
        <f t="shared" si="5"/>
        <v>53235000</v>
      </c>
    </row>
    <row r="17" spans="1:60" s="6" customFormat="1" ht="31.5" customHeight="1" x14ac:dyDescent="0.25">
      <c r="A17" s="5">
        <v>14</v>
      </c>
      <c r="B17" s="21" t="s">
        <v>35</v>
      </c>
      <c r="C17" s="15" t="s">
        <v>16</v>
      </c>
      <c r="D17" s="22">
        <v>581</v>
      </c>
      <c r="E17" s="42">
        <v>62500</v>
      </c>
      <c r="F17" s="16">
        <f t="shared" si="9"/>
        <v>35586250</v>
      </c>
      <c r="G17" s="7">
        <v>0.02</v>
      </c>
      <c r="H17" s="61">
        <v>722</v>
      </c>
      <c r="I17" s="113">
        <v>90000</v>
      </c>
      <c r="J17" s="62">
        <v>64980000</v>
      </c>
      <c r="K17" s="22">
        <v>465</v>
      </c>
      <c r="L17" s="42">
        <v>62500</v>
      </c>
      <c r="M17" s="16">
        <f>K17*L17*98%</f>
        <v>28481250</v>
      </c>
      <c r="N17" s="7">
        <v>0.02</v>
      </c>
      <c r="O17" s="61">
        <v>578</v>
      </c>
      <c r="P17" s="113">
        <v>90000</v>
      </c>
      <c r="Q17" s="62">
        <v>52020000</v>
      </c>
      <c r="R17" s="27">
        <v>410</v>
      </c>
      <c r="S17" s="42">
        <v>62500</v>
      </c>
      <c r="T17" s="26">
        <f>R17*S17*98%</f>
        <v>25112500</v>
      </c>
      <c r="U17" s="7">
        <v>0.02</v>
      </c>
      <c r="V17" s="61">
        <v>750</v>
      </c>
      <c r="W17" s="113">
        <v>90000</v>
      </c>
      <c r="X17" s="62">
        <v>67500000</v>
      </c>
      <c r="Y17" s="27">
        <v>317</v>
      </c>
      <c r="Z17" s="42">
        <v>62500</v>
      </c>
      <c r="AA17" s="26">
        <f>Y17*Z17</f>
        <v>19812500</v>
      </c>
      <c r="AB17" s="61">
        <v>652</v>
      </c>
      <c r="AC17" s="113">
        <v>90000</v>
      </c>
      <c r="AD17" s="62">
        <v>58680000</v>
      </c>
      <c r="AE17" s="27">
        <v>610</v>
      </c>
      <c r="AF17" s="42">
        <v>68800</v>
      </c>
      <c r="AG17" s="26">
        <f>AE17*AF17</f>
        <v>41968000</v>
      </c>
      <c r="AH17" s="61">
        <v>498</v>
      </c>
      <c r="AI17" s="113">
        <v>90000</v>
      </c>
      <c r="AJ17" s="62">
        <v>44820000</v>
      </c>
      <c r="AK17" s="22">
        <v>767</v>
      </c>
      <c r="AL17" s="42">
        <v>68800</v>
      </c>
      <c r="AM17" s="16">
        <f t="shared" si="8"/>
        <v>52769600</v>
      </c>
      <c r="AN17" s="79">
        <v>450</v>
      </c>
      <c r="AO17" s="84">
        <v>90000</v>
      </c>
      <c r="AP17" s="82">
        <f t="shared" si="6"/>
        <v>40500000</v>
      </c>
      <c r="AQ17" s="102">
        <v>449</v>
      </c>
      <c r="AR17" s="103">
        <v>68800</v>
      </c>
      <c r="AS17" s="104">
        <f>AQ17*AR17</f>
        <v>30891200</v>
      </c>
      <c r="AT17" s="102">
        <v>151</v>
      </c>
      <c r="AU17" s="103">
        <v>68800</v>
      </c>
      <c r="AV17" s="104">
        <f t="shared" si="7"/>
        <v>10388800</v>
      </c>
      <c r="AW17" s="102">
        <f>350+220</f>
        <v>570</v>
      </c>
      <c r="AX17" s="103" t="s">
        <v>144</v>
      </c>
      <c r="AY17" s="104">
        <f>26600000+17600000</f>
        <v>44200000</v>
      </c>
      <c r="AZ17" s="102">
        <v>200</v>
      </c>
      <c r="BA17" s="103">
        <v>90000</v>
      </c>
      <c r="BB17" s="104">
        <f t="shared" si="3"/>
        <v>18000000</v>
      </c>
      <c r="BC17" s="102">
        <v>650</v>
      </c>
      <c r="BD17" s="103">
        <v>90000</v>
      </c>
      <c r="BE17" s="104">
        <f t="shared" si="4"/>
        <v>58500000</v>
      </c>
      <c r="BF17" s="102">
        <v>750</v>
      </c>
      <c r="BG17" s="103">
        <v>90000</v>
      </c>
      <c r="BH17" s="104">
        <f t="shared" si="5"/>
        <v>67500000</v>
      </c>
    </row>
    <row r="18" spans="1:60" s="6" customFormat="1" ht="31.5" customHeight="1" x14ac:dyDescent="0.25">
      <c r="A18" s="5">
        <v>15</v>
      </c>
      <c r="B18" s="21" t="s">
        <v>37</v>
      </c>
      <c r="C18" s="15" t="s">
        <v>97</v>
      </c>
      <c r="D18" s="22">
        <v>80</v>
      </c>
      <c r="E18" s="42">
        <v>65500</v>
      </c>
      <c r="F18" s="16">
        <f t="shared" si="9"/>
        <v>5135200</v>
      </c>
      <c r="G18" s="7">
        <v>0.02</v>
      </c>
      <c r="H18" s="61"/>
      <c r="I18" s="113"/>
      <c r="J18" s="62"/>
      <c r="K18" s="22">
        <v>25</v>
      </c>
      <c r="L18" s="42">
        <v>65500</v>
      </c>
      <c r="M18" s="16">
        <f>K18*L18*98%</f>
        <v>1604750</v>
      </c>
      <c r="N18" s="7">
        <v>0.02</v>
      </c>
      <c r="O18" s="61">
        <v>50</v>
      </c>
      <c r="P18" s="113">
        <v>101000</v>
      </c>
      <c r="Q18" s="62">
        <v>5050000</v>
      </c>
      <c r="R18" s="27"/>
      <c r="S18" s="42"/>
      <c r="T18" s="26"/>
      <c r="U18" s="7"/>
      <c r="V18" s="61">
        <v>50</v>
      </c>
      <c r="W18" s="113">
        <v>101000</v>
      </c>
      <c r="X18" s="62">
        <v>5050000</v>
      </c>
      <c r="Y18" s="27">
        <v>7</v>
      </c>
      <c r="Z18" s="42">
        <v>65500</v>
      </c>
      <c r="AA18" s="26">
        <f>Y18*Z18</f>
        <v>458500</v>
      </c>
      <c r="AB18" s="61"/>
      <c r="AC18" s="113"/>
      <c r="AD18" s="62"/>
      <c r="AE18" s="27"/>
      <c r="AF18" s="42"/>
      <c r="AG18" s="26"/>
      <c r="AH18" s="61">
        <v>50</v>
      </c>
      <c r="AI18" s="113">
        <v>101000</v>
      </c>
      <c r="AJ18" s="62">
        <v>5050000</v>
      </c>
      <c r="AK18" s="22"/>
      <c r="AL18" s="42"/>
      <c r="AM18" s="16"/>
      <c r="AN18" s="79"/>
      <c r="AO18" s="84"/>
      <c r="AP18" s="82">
        <f t="shared" si="6"/>
        <v>0</v>
      </c>
      <c r="AQ18" s="102"/>
      <c r="AR18" s="103"/>
      <c r="AS18" s="104"/>
      <c r="AT18" s="102">
        <v>170</v>
      </c>
      <c r="AU18" s="103">
        <v>72100</v>
      </c>
      <c r="AV18" s="104">
        <f t="shared" si="7"/>
        <v>12257000</v>
      </c>
      <c r="AW18" s="102"/>
      <c r="AX18" s="103"/>
      <c r="AY18" s="104"/>
      <c r="AZ18" s="102"/>
      <c r="BA18" s="103"/>
      <c r="BB18" s="104"/>
      <c r="BC18" s="102">
        <v>50</v>
      </c>
      <c r="BD18" s="103">
        <v>101000</v>
      </c>
      <c r="BE18" s="104">
        <f t="shared" si="4"/>
        <v>5050000</v>
      </c>
      <c r="BF18" s="102">
        <v>50</v>
      </c>
      <c r="BG18" s="103">
        <v>101000</v>
      </c>
      <c r="BH18" s="104">
        <f t="shared" si="5"/>
        <v>5050000</v>
      </c>
    </row>
    <row r="19" spans="1:60" s="6" customFormat="1" ht="31.5" customHeight="1" x14ac:dyDescent="0.25">
      <c r="A19" s="5">
        <v>16</v>
      </c>
      <c r="B19" s="21" t="s">
        <v>38</v>
      </c>
      <c r="C19" s="15" t="s">
        <v>98</v>
      </c>
      <c r="D19" s="22">
        <v>170</v>
      </c>
      <c r="E19" s="42">
        <v>66500</v>
      </c>
      <c r="F19" s="16">
        <f t="shared" si="9"/>
        <v>11078900</v>
      </c>
      <c r="G19" s="7">
        <v>0.02</v>
      </c>
      <c r="H19" s="61"/>
      <c r="I19" s="113"/>
      <c r="J19" s="62"/>
      <c r="K19" s="22"/>
      <c r="L19" s="42"/>
      <c r="M19" s="16"/>
      <c r="N19" s="7"/>
      <c r="O19" s="61">
        <v>50</v>
      </c>
      <c r="P19" s="113">
        <v>102000</v>
      </c>
      <c r="Q19" s="62">
        <v>5100000</v>
      </c>
      <c r="R19" s="27"/>
      <c r="S19" s="42"/>
      <c r="T19" s="26"/>
      <c r="U19" s="7"/>
      <c r="V19" s="61">
        <v>50</v>
      </c>
      <c r="W19" s="113">
        <v>102000</v>
      </c>
      <c r="X19" s="62">
        <v>5100000</v>
      </c>
      <c r="Y19" s="27"/>
      <c r="Z19" s="42"/>
      <c r="AA19" s="26"/>
      <c r="AB19" s="61">
        <v>50</v>
      </c>
      <c r="AC19" s="113">
        <v>102000</v>
      </c>
      <c r="AD19" s="62">
        <v>5100000</v>
      </c>
      <c r="AE19" s="27"/>
      <c r="AF19" s="42"/>
      <c r="AG19" s="26"/>
      <c r="AH19" s="73"/>
      <c r="AI19" s="118"/>
      <c r="AJ19" s="119"/>
      <c r="AK19" s="22"/>
      <c r="AL19" s="42"/>
      <c r="AM19" s="16"/>
      <c r="AN19" s="80">
        <v>68</v>
      </c>
      <c r="AO19" s="86">
        <v>102000</v>
      </c>
      <c r="AP19" s="82">
        <f t="shared" si="6"/>
        <v>6936000</v>
      </c>
      <c r="AQ19" s="102"/>
      <c r="AR19" s="103"/>
      <c r="AS19" s="104"/>
      <c r="AT19" s="102">
        <v>100</v>
      </c>
      <c r="AU19" s="103">
        <v>73200</v>
      </c>
      <c r="AV19" s="104">
        <f t="shared" si="7"/>
        <v>7320000</v>
      </c>
      <c r="AW19" s="102">
        <f>30+70</f>
        <v>100</v>
      </c>
      <c r="AX19" s="103" t="s">
        <v>145</v>
      </c>
      <c r="AY19" s="104">
        <f>2430000+5950000</f>
        <v>8380000</v>
      </c>
      <c r="AZ19" s="102"/>
      <c r="BA19" s="103"/>
      <c r="BB19" s="104"/>
      <c r="BC19" s="102">
        <v>50</v>
      </c>
      <c r="BD19" s="103">
        <v>102000</v>
      </c>
      <c r="BE19" s="104">
        <f t="shared" si="4"/>
        <v>5100000</v>
      </c>
      <c r="BF19" s="102"/>
      <c r="BG19" s="103"/>
      <c r="BH19" s="104"/>
    </row>
    <row r="20" spans="1:60" s="6" customFormat="1" ht="31.5" customHeight="1" x14ac:dyDescent="0.25">
      <c r="A20" s="5">
        <v>17</v>
      </c>
      <c r="B20" s="21" t="s">
        <v>67</v>
      </c>
      <c r="C20" s="23" t="s">
        <v>17</v>
      </c>
      <c r="D20" s="22"/>
      <c r="E20" s="42"/>
      <c r="F20" s="16"/>
      <c r="G20" s="7"/>
      <c r="H20" s="61">
        <v>200</v>
      </c>
      <c r="I20" s="113">
        <v>134000</v>
      </c>
      <c r="J20" s="62">
        <v>26800000</v>
      </c>
      <c r="K20" s="22">
        <v>20</v>
      </c>
      <c r="L20" s="42">
        <v>91500</v>
      </c>
      <c r="M20" s="16">
        <f>K20*L20*98%</f>
        <v>1793400</v>
      </c>
      <c r="N20" s="7">
        <v>0.02</v>
      </c>
      <c r="O20" s="61">
        <v>100</v>
      </c>
      <c r="P20" s="113">
        <v>134000</v>
      </c>
      <c r="Q20" s="62">
        <v>13400000</v>
      </c>
      <c r="R20" s="27">
        <v>220</v>
      </c>
      <c r="S20" s="42">
        <v>91500</v>
      </c>
      <c r="T20" s="26">
        <f>R20*S20*98%</f>
        <v>19727400</v>
      </c>
      <c r="U20" s="7">
        <v>0.02</v>
      </c>
      <c r="V20" s="61">
        <v>314</v>
      </c>
      <c r="W20" s="113">
        <v>134000</v>
      </c>
      <c r="X20" s="62">
        <v>42076000</v>
      </c>
      <c r="Y20" s="27">
        <v>10</v>
      </c>
      <c r="Z20" s="42">
        <v>91500</v>
      </c>
      <c r="AA20" s="26">
        <f>Y20*Z20</f>
        <v>915000</v>
      </c>
      <c r="AB20" s="61">
        <v>86</v>
      </c>
      <c r="AC20" s="113">
        <v>134000</v>
      </c>
      <c r="AD20" s="62">
        <v>11524000</v>
      </c>
      <c r="AE20" s="27">
        <v>305</v>
      </c>
      <c r="AF20" s="42">
        <v>100700</v>
      </c>
      <c r="AG20" s="26">
        <f>AE20*AF20</f>
        <v>30713500</v>
      </c>
      <c r="AH20" s="61">
        <v>200</v>
      </c>
      <c r="AI20" s="113">
        <v>134000</v>
      </c>
      <c r="AJ20" s="62">
        <v>26800000</v>
      </c>
      <c r="AK20" s="22">
        <v>157</v>
      </c>
      <c r="AL20" s="42">
        <v>100700</v>
      </c>
      <c r="AM20" s="16">
        <f t="shared" ref="AM20:AM25" si="11">AK20*AL20</f>
        <v>15809900</v>
      </c>
      <c r="AN20" s="79">
        <v>250</v>
      </c>
      <c r="AO20" s="84">
        <v>134000</v>
      </c>
      <c r="AP20" s="82">
        <f t="shared" si="6"/>
        <v>33500000</v>
      </c>
      <c r="AQ20" s="102"/>
      <c r="AR20" s="103"/>
      <c r="AS20" s="104"/>
      <c r="AT20" s="102">
        <v>138</v>
      </c>
      <c r="AU20" s="103">
        <v>100700</v>
      </c>
      <c r="AV20" s="104">
        <f t="shared" si="7"/>
        <v>13896600</v>
      </c>
      <c r="AW20" s="102">
        <f>20+50</f>
        <v>70</v>
      </c>
      <c r="AX20" s="103" t="s">
        <v>146</v>
      </c>
      <c r="AY20" s="104">
        <f>2220000+5825000</f>
        <v>8045000</v>
      </c>
      <c r="AZ20" s="102">
        <v>55</v>
      </c>
      <c r="BA20" s="103">
        <v>134000</v>
      </c>
      <c r="BB20" s="104">
        <f t="shared" si="3"/>
        <v>7370000</v>
      </c>
      <c r="BC20" s="102">
        <v>200</v>
      </c>
      <c r="BD20" s="103">
        <v>134000</v>
      </c>
      <c r="BE20" s="104">
        <f t="shared" si="4"/>
        <v>26800000</v>
      </c>
      <c r="BF20" s="102">
        <v>200</v>
      </c>
      <c r="BG20" s="103">
        <v>134000</v>
      </c>
      <c r="BH20" s="104">
        <f t="shared" si="5"/>
        <v>26800000</v>
      </c>
    </row>
    <row r="21" spans="1:60" s="6" customFormat="1" ht="31.5" customHeight="1" x14ac:dyDescent="0.25">
      <c r="A21" s="5">
        <v>18</v>
      </c>
      <c r="B21" s="21" t="s">
        <v>68</v>
      </c>
      <c r="C21" s="23" t="s">
        <v>14</v>
      </c>
      <c r="D21" s="22"/>
      <c r="E21" s="42"/>
      <c r="F21" s="16"/>
      <c r="G21" s="7"/>
      <c r="H21" s="61">
        <v>100</v>
      </c>
      <c r="I21" s="113">
        <v>136000</v>
      </c>
      <c r="J21" s="62">
        <v>13600000</v>
      </c>
      <c r="K21" s="22"/>
      <c r="L21" s="42"/>
      <c r="M21" s="16"/>
      <c r="N21" s="7"/>
      <c r="O21" s="61"/>
      <c r="P21" s="113"/>
      <c r="Q21" s="62"/>
      <c r="R21" s="27">
        <v>4</v>
      </c>
      <c r="S21" s="42">
        <v>93000</v>
      </c>
      <c r="T21" s="26">
        <f>R21*S21*98%</f>
        <v>364560</v>
      </c>
      <c r="U21" s="7">
        <v>0.02</v>
      </c>
      <c r="V21" s="61">
        <v>50</v>
      </c>
      <c r="W21" s="113">
        <v>136000</v>
      </c>
      <c r="X21" s="62">
        <v>6800000</v>
      </c>
      <c r="Y21" s="27"/>
      <c r="Z21" s="42"/>
      <c r="AA21" s="26"/>
      <c r="AB21" s="61">
        <v>110</v>
      </c>
      <c r="AC21" s="113">
        <v>136000</v>
      </c>
      <c r="AD21" s="62">
        <v>14960000</v>
      </c>
      <c r="AE21" s="27">
        <v>115</v>
      </c>
      <c r="AF21" s="42">
        <v>102300</v>
      </c>
      <c r="AG21" s="26">
        <f>AE21*AF21</f>
        <v>11764500</v>
      </c>
      <c r="AH21" s="61">
        <v>140</v>
      </c>
      <c r="AI21" s="113">
        <v>136000</v>
      </c>
      <c r="AJ21" s="62">
        <v>19040000</v>
      </c>
      <c r="AK21" s="22">
        <v>161</v>
      </c>
      <c r="AL21" s="42">
        <v>102300</v>
      </c>
      <c r="AM21" s="16">
        <f t="shared" si="11"/>
        <v>16470300</v>
      </c>
      <c r="AN21" s="79">
        <v>100</v>
      </c>
      <c r="AO21" s="84">
        <v>136000</v>
      </c>
      <c r="AP21" s="82">
        <f t="shared" si="6"/>
        <v>13600000</v>
      </c>
      <c r="AQ21" s="102">
        <v>50</v>
      </c>
      <c r="AR21" s="103">
        <v>102300</v>
      </c>
      <c r="AS21" s="104">
        <f>AQ21*AR21</f>
        <v>5115000</v>
      </c>
      <c r="AT21" s="102">
        <v>150</v>
      </c>
      <c r="AU21" s="103">
        <v>102300</v>
      </c>
      <c r="AV21" s="104">
        <f t="shared" si="7"/>
        <v>15345000</v>
      </c>
      <c r="AW21" s="102">
        <v>20</v>
      </c>
      <c r="AX21" s="103">
        <v>118500</v>
      </c>
      <c r="AY21" s="104">
        <f>AW21*AX21</f>
        <v>2370000</v>
      </c>
      <c r="AZ21" s="102">
        <v>59</v>
      </c>
      <c r="BA21" s="103">
        <v>136000</v>
      </c>
      <c r="BB21" s="104">
        <f t="shared" si="3"/>
        <v>8024000</v>
      </c>
      <c r="BC21" s="102">
        <v>61</v>
      </c>
      <c r="BD21" s="103">
        <v>136000</v>
      </c>
      <c r="BE21" s="104">
        <f t="shared" si="4"/>
        <v>8296000</v>
      </c>
      <c r="BF21" s="102">
        <v>100</v>
      </c>
      <c r="BG21" s="103">
        <v>136000</v>
      </c>
      <c r="BH21" s="104">
        <f t="shared" si="5"/>
        <v>13600000</v>
      </c>
    </row>
    <row r="22" spans="1:60" s="6" customFormat="1" ht="31.5" customHeight="1" x14ac:dyDescent="0.25">
      <c r="A22" s="5">
        <v>19</v>
      </c>
      <c r="B22" s="21" t="s">
        <v>36</v>
      </c>
      <c r="C22" s="15" t="s">
        <v>15</v>
      </c>
      <c r="D22" s="22">
        <v>145</v>
      </c>
      <c r="E22" s="42">
        <v>104000</v>
      </c>
      <c r="F22" s="16">
        <f>D22*E22*98%</f>
        <v>14778400</v>
      </c>
      <c r="G22" s="7">
        <v>0.02</v>
      </c>
      <c r="H22" s="61">
        <v>100</v>
      </c>
      <c r="I22" s="113">
        <v>159000</v>
      </c>
      <c r="J22" s="62">
        <v>15900000</v>
      </c>
      <c r="K22" s="22">
        <v>6</v>
      </c>
      <c r="L22" s="42">
        <v>104000</v>
      </c>
      <c r="M22" s="16">
        <f>K22*L22*98%</f>
        <v>611520</v>
      </c>
      <c r="N22" s="7">
        <v>0.02</v>
      </c>
      <c r="O22" s="61">
        <v>50</v>
      </c>
      <c r="P22" s="113">
        <v>159000</v>
      </c>
      <c r="Q22" s="62">
        <v>7950000</v>
      </c>
      <c r="R22" s="27"/>
      <c r="S22" s="42"/>
      <c r="T22" s="26"/>
      <c r="U22" s="7"/>
      <c r="V22" s="61">
        <v>50</v>
      </c>
      <c r="W22" s="113">
        <v>159000</v>
      </c>
      <c r="X22" s="62">
        <v>7950000</v>
      </c>
      <c r="Y22" s="27">
        <v>4</v>
      </c>
      <c r="Z22" s="42">
        <v>104000</v>
      </c>
      <c r="AA22" s="26">
        <f>Y22*Z22</f>
        <v>416000</v>
      </c>
      <c r="AB22" s="61">
        <v>107</v>
      </c>
      <c r="AC22" s="113">
        <v>159000</v>
      </c>
      <c r="AD22" s="62">
        <v>17013000</v>
      </c>
      <c r="AE22" s="27">
        <v>115</v>
      </c>
      <c r="AF22" s="42">
        <v>114400</v>
      </c>
      <c r="AG22" s="26">
        <f>AE22*AF22</f>
        <v>13156000</v>
      </c>
      <c r="AH22" s="61">
        <v>43</v>
      </c>
      <c r="AI22" s="113">
        <v>159000</v>
      </c>
      <c r="AJ22" s="62">
        <v>6837000</v>
      </c>
      <c r="AK22" s="22">
        <v>125</v>
      </c>
      <c r="AL22" s="42">
        <v>114400</v>
      </c>
      <c r="AM22" s="16">
        <f t="shared" si="11"/>
        <v>14300000</v>
      </c>
      <c r="AN22" s="79">
        <v>100</v>
      </c>
      <c r="AO22" s="84">
        <v>159000</v>
      </c>
      <c r="AP22" s="82">
        <f t="shared" si="6"/>
        <v>15900000</v>
      </c>
      <c r="AQ22" s="102">
        <v>20</v>
      </c>
      <c r="AR22" s="103">
        <v>114400</v>
      </c>
      <c r="AS22" s="104">
        <f>AQ22*AR22</f>
        <v>2288000</v>
      </c>
      <c r="AT22" s="102">
        <v>130</v>
      </c>
      <c r="AU22" s="103">
        <v>114400</v>
      </c>
      <c r="AV22" s="104">
        <f t="shared" si="7"/>
        <v>14872000</v>
      </c>
      <c r="AW22" s="102"/>
      <c r="AX22" s="103"/>
      <c r="AY22" s="104"/>
      <c r="AZ22" s="102"/>
      <c r="BA22" s="103"/>
      <c r="BB22" s="104"/>
      <c r="BC22" s="102">
        <v>100</v>
      </c>
      <c r="BD22" s="103">
        <v>159000</v>
      </c>
      <c r="BE22" s="104">
        <f t="shared" si="4"/>
        <v>15900000</v>
      </c>
      <c r="BF22" s="102">
        <v>50</v>
      </c>
      <c r="BG22" s="103">
        <v>159000</v>
      </c>
      <c r="BH22" s="104">
        <f t="shared" si="5"/>
        <v>7950000</v>
      </c>
    </row>
    <row r="23" spans="1:60" s="6" customFormat="1" ht="31.5" customHeight="1" x14ac:dyDescent="0.25">
      <c r="A23" s="94">
        <v>20</v>
      </c>
      <c r="B23" s="93" t="s">
        <v>39</v>
      </c>
      <c r="C23" s="95" t="s">
        <v>20</v>
      </c>
      <c r="D23" s="22">
        <v>379</v>
      </c>
      <c r="E23" s="42">
        <v>78000</v>
      </c>
      <c r="F23" s="16">
        <f>D23*E23*98%</f>
        <v>28970760</v>
      </c>
      <c r="G23" s="7">
        <v>0.02</v>
      </c>
      <c r="H23" s="61">
        <v>300</v>
      </c>
      <c r="I23" s="113">
        <v>118000</v>
      </c>
      <c r="J23" s="62">
        <v>35400000</v>
      </c>
      <c r="K23" s="22"/>
      <c r="L23" s="42"/>
      <c r="M23" s="16"/>
      <c r="N23" s="7"/>
      <c r="O23" s="61">
        <f>6+250</f>
        <v>256</v>
      </c>
      <c r="P23" s="113" t="s">
        <v>167</v>
      </c>
      <c r="Q23" s="62">
        <f>468000+29500000</f>
        <v>29968000</v>
      </c>
      <c r="R23" s="27">
        <v>186</v>
      </c>
      <c r="S23" s="42">
        <v>78000</v>
      </c>
      <c r="T23" s="26">
        <f>R23*S23*98%</f>
        <v>14217840</v>
      </c>
      <c r="U23" s="7">
        <v>0.02</v>
      </c>
      <c r="V23" s="61">
        <v>350</v>
      </c>
      <c r="W23" s="113">
        <v>118000</v>
      </c>
      <c r="X23" s="62">
        <v>41300000</v>
      </c>
      <c r="Y23" s="27">
        <v>187</v>
      </c>
      <c r="Z23" s="42">
        <v>78000</v>
      </c>
      <c r="AA23" s="26">
        <f>Y23*Z23</f>
        <v>14586000</v>
      </c>
      <c r="AB23" s="61">
        <v>454</v>
      </c>
      <c r="AC23" s="113">
        <v>118000</v>
      </c>
      <c r="AD23" s="62">
        <v>53572000</v>
      </c>
      <c r="AE23" s="27"/>
      <c r="AF23" s="42"/>
      <c r="AG23" s="26"/>
      <c r="AH23" s="61">
        <v>246</v>
      </c>
      <c r="AI23" s="113">
        <v>118000</v>
      </c>
      <c r="AJ23" s="62">
        <v>29028000</v>
      </c>
      <c r="AK23" s="22">
        <v>420</v>
      </c>
      <c r="AL23" s="42">
        <v>85800</v>
      </c>
      <c r="AM23" s="16">
        <f t="shared" si="11"/>
        <v>36036000</v>
      </c>
      <c r="AN23" s="80">
        <v>150</v>
      </c>
      <c r="AO23" s="86">
        <v>118000</v>
      </c>
      <c r="AP23" s="82">
        <f t="shared" si="6"/>
        <v>17700000</v>
      </c>
      <c r="AQ23" s="102">
        <v>215</v>
      </c>
      <c r="AR23" s="103">
        <v>85800</v>
      </c>
      <c r="AS23" s="104">
        <f>AQ23*AR23</f>
        <v>18447000</v>
      </c>
      <c r="AT23" s="102">
        <v>213</v>
      </c>
      <c r="AU23" s="103">
        <v>85800</v>
      </c>
      <c r="AV23" s="104">
        <f t="shared" si="7"/>
        <v>18275400</v>
      </c>
      <c r="AW23" s="102">
        <f>140+110</f>
        <v>250</v>
      </c>
      <c r="AX23" s="103" t="s">
        <v>147</v>
      </c>
      <c r="AY23" s="104">
        <f>13300000+11000000</f>
        <v>24300000</v>
      </c>
      <c r="AZ23" s="102">
        <v>165</v>
      </c>
      <c r="BA23" s="103">
        <v>118000</v>
      </c>
      <c r="BB23" s="104">
        <f t="shared" si="3"/>
        <v>19470000</v>
      </c>
      <c r="BC23" s="102">
        <v>385</v>
      </c>
      <c r="BD23" s="103">
        <v>118000</v>
      </c>
      <c r="BE23" s="104">
        <f t="shared" si="4"/>
        <v>45430000</v>
      </c>
      <c r="BF23" s="102">
        <v>400</v>
      </c>
      <c r="BG23" s="103">
        <v>118000</v>
      </c>
      <c r="BH23" s="104">
        <f t="shared" si="5"/>
        <v>47200000</v>
      </c>
    </row>
    <row r="24" spans="1:60" s="6" customFormat="1" ht="31.5" customHeight="1" x14ac:dyDescent="0.25">
      <c r="A24" s="94">
        <v>21</v>
      </c>
      <c r="B24" s="93" t="s">
        <v>40</v>
      </c>
      <c r="C24" s="95" t="s">
        <v>11</v>
      </c>
      <c r="D24" s="22">
        <v>604</v>
      </c>
      <c r="E24" s="42">
        <v>79000</v>
      </c>
      <c r="F24" s="16">
        <f>D24*E24*98%</f>
        <v>46761680</v>
      </c>
      <c r="G24" s="7">
        <v>0.02</v>
      </c>
      <c r="H24" s="61">
        <v>900</v>
      </c>
      <c r="I24" s="113">
        <v>119000</v>
      </c>
      <c r="J24" s="62">
        <v>107100000</v>
      </c>
      <c r="K24" s="22">
        <v>565</v>
      </c>
      <c r="L24" s="42">
        <v>79000</v>
      </c>
      <c r="M24" s="16">
        <f>K24*L24*98%</f>
        <v>43742300</v>
      </c>
      <c r="N24" s="7">
        <v>0.02</v>
      </c>
      <c r="O24" s="61">
        <f>12+550</f>
        <v>562</v>
      </c>
      <c r="P24" s="113" t="s">
        <v>168</v>
      </c>
      <c r="Q24" s="62">
        <f>948000+65450000</f>
        <v>66398000</v>
      </c>
      <c r="R24" s="27">
        <v>423</v>
      </c>
      <c r="S24" s="42">
        <v>79000</v>
      </c>
      <c r="T24" s="26">
        <f>R24*S24*98%</f>
        <v>32748660</v>
      </c>
      <c r="U24" s="7">
        <v>0.02</v>
      </c>
      <c r="V24" s="61">
        <v>718</v>
      </c>
      <c r="W24" s="113">
        <v>119000</v>
      </c>
      <c r="X24" s="62">
        <v>85442000</v>
      </c>
      <c r="Y24" s="27">
        <v>411</v>
      </c>
      <c r="Z24" s="42">
        <v>79000</v>
      </c>
      <c r="AA24" s="26">
        <f>Y24*Z24</f>
        <v>32469000</v>
      </c>
      <c r="AB24" s="61">
        <v>693</v>
      </c>
      <c r="AC24" s="113">
        <v>119000</v>
      </c>
      <c r="AD24" s="62">
        <v>82467000</v>
      </c>
      <c r="AE24" s="27">
        <v>540</v>
      </c>
      <c r="AF24" s="42">
        <v>86900</v>
      </c>
      <c r="AG24" s="26">
        <f>AE24*AF24</f>
        <v>46926000</v>
      </c>
      <c r="AH24" s="61">
        <v>439</v>
      </c>
      <c r="AI24" s="113">
        <v>119000</v>
      </c>
      <c r="AJ24" s="62">
        <v>52241000</v>
      </c>
      <c r="AK24" s="22">
        <v>568</v>
      </c>
      <c r="AL24" s="42">
        <v>86900</v>
      </c>
      <c r="AM24" s="16">
        <f t="shared" si="11"/>
        <v>49359200</v>
      </c>
      <c r="AN24" s="79">
        <v>550</v>
      </c>
      <c r="AO24" s="84">
        <v>119000</v>
      </c>
      <c r="AP24" s="82">
        <f t="shared" si="6"/>
        <v>65450000</v>
      </c>
      <c r="AQ24" s="102">
        <v>365</v>
      </c>
      <c r="AR24" s="103">
        <v>86900</v>
      </c>
      <c r="AS24" s="104">
        <f>AQ24*AR24</f>
        <v>31718500</v>
      </c>
      <c r="AT24" s="102">
        <v>315</v>
      </c>
      <c r="AU24" s="103">
        <v>86900</v>
      </c>
      <c r="AV24" s="104">
        <f t="shared" si="7"/>
        <v>27373500</v>
      </c>
      <c r="AW24" s="102">
        <f>390+360</f>
        <v>750</v>
      </c>
      <c r="AX24" s="103" t="s">
        <v>148</v>
      </c>
      <c r="AY24" s="104">
        <f>37440000+36360000</f>
        <v>73800000</v>
      </c>
      <c r="AZ24" s="102">
        <v>165</v>
      </c>
      <c r="BA24" s="103">
        <v>119000</v>
      </c>
      <c r="BB24" s="104">
        <f t="shared" si="3"/>
        <v>19635000</v>
      </c>
      <c r="BC24" s="102">
        <v>835</v>
      </c>
      <c r="BD24" s="103">
        <v>119000</v>
      </c>
      <c r="BE24" s="104">
        <f t="shared" si="4"/>
        <v>99365000</v>
      </c>
      <c r="BF24" s="102">
        <v>700</v>
      </c>
      <c r="BG24" s="103">
        <v>119000</v>
      </c>
      <c r="BH24" s="104">
        <f t="shared" si="5"/>
        <v>83300000</v>
      </c>
    </row>
    <row r="25" spans="1:60" s="6" customFormat="1" ht="31.5" customHeight="1" x14ac:dyDescent="0.25">
      <c r="A25" s="94">
        <v>22</v>
      </c>
      <c r="B25" s="93" t="s">
        <v>41</v>
      </c>
      <c r="C25" s="95" t="s">
        <v>87</v>
      </c>
      <c r="D25" s="22">
        <v>132</v>
      </c>
      <c r="E25" s="42">
        <v>87500</v>
      </c>
      <c r="F25" s="16">
        <f>D25*E25*98%</f>
        <v>11319000</v>
      </c>
      <c r="G25" s="7">
        <v>0.02</v>
      </c>
      <c r="H25" s="61">
        <f>135+65</f>
        <v>200</v>
      </c>
      <c r="I25" s="113" t="s">
        <v>150</v>
      </c>
      <c r="J25" s="62">
        <f>17077500+8320000</f>
        <v>25397500</v>
      </c>
      <c r="K25" s="22">
        <v>30</v>
      </c>
      <c r="L25" s="42">
        <v>87500</v>
      </c>
      <c r="M25" s="16">
        <f>K25*L25*98%</f>
        <v>2572500</v>
      </c>
      <c r="N25" s="7">
        <v>0.02</v>
      </c>
      <c r="O25" s="61">
        <f>65+100</f>
        <v>165</v>
      </c>
      <c r="P25" s="113" t="s">
        <v>150</v>
      </c>
      <c r="Q25" s="62">
        <f>8222500+12800000</f>
        <v>21022500</v>
      </c>
      <c r="R25" s="27">
        <v>545</v>
      </c>
      <c r="S25" s="42">
        <v>87500</v>
      </c>
      <c r="T25" s="26">
        <f>R25*S25*98%</f>
        <v>46733750</v>
      </c>
      <c r="U25" s="7">
        <v>0.02</v>
      </c>
      <c r="V25" s="61">
        <v>200</v>
      </c>
      <c r="W25" s="113">
        <v>128000</v>
      </c>
      <c r="X25" s="62">
        <v>25600000</v>
      </c>
      <c r="Y25" s="27">
        <v>271</v>
      </c>
      <c r="Z25" s="42">
        <v>87500</v>
      </c>
      <c r="AA25" s="26">
        <f>Y25*Z25</f>
        <v>23712500</v>
      </c>
      <c r="AB25" s="61">
        <f>100+209</f>
        <v>309</v>
      </c>
      <c r="AC25" s="113" t="s">
        <v>150</v>
      </c>
      <c r="AD25" s="62">
        <f>12650000+26752000</f>
        <v>39402000</v>
      </c>
      <c r="AE25" s="27"/>
      <c r="AF25" s="42"/>
      <c r="AG25" s="26"/>
      <c r="AH25" s="61">
        <v>225</v>
      </c>
      <c r="AI25" s="113">
        <v>128000</v>
      </c>
      <c r="AJ25" s="62">
        <v>28800000</v>
      </c>
      <c r="AK25" s="22">
        <v>275</v>
      </c>
      <c r="AL25" s="42">
        <v>96300</v>
      </c>
      <c r="AM25" s="16">
        <f t="shared" si="11"/>
        <v>26482500</v>
      </c>
      <c r="AN25" s="80">
        <v>216</v>
      </c>
      <c r="AO25" s="86">
        <v>128000</v>
      </c>
      <c r="AP25" s="82">
        <f t="shared" si="6"/>
        <v>27648000</v>
      </c>
      <c r="AQ25" s="102">
        <v>80</v>
      </c>
      <c r="AR25" s="103">
        <v>96300</v>
      </c>
      <c r="AS25" s="104">
        <f>AQ25*AR25</f>
        <v>7704000</v>
      </c>
      <c r="AT25" s="102">
        <v>159</v>
      </c>
      <c r="AU25" s="103">
        <v>96300</v>
      </c>
      <c r="AV25" s="104">
        <f t="shared" si="7"/>
        <v>15311700</v>
      </c>
      <c r="AW25" s="102">
        <f>150+100</f>
        <v>250</v>
      </c>
      <c r="AX25" s="103" t="s">
        <v>149</v>
      </c>
      <c r="AY25" s="104">
        <f>15900000+11150000</f>
        <v>27050000</v>
      </c>
      <c r="AZ25" s="102">
        <v>100</v>
      </c>
      <c r="BA25" s="103">
        <v>128000</v>
      </c>
      <c r="BB25" s="104">
        <f t="shared" si="3"/>
        <v>12800000</v>
      </c>
      <c r="BC25" s="102">
        <v>200</v>
      </c>
      <c r="BD25" s="103">
        <v>128000</v>
      </c>
      <c r="BE25" s="104">
        <f t="shared" si="4"/>
        <v>25600000</v>
      </c>
      <c r="BF25" s="102">
        <f>100+335</f>
        <v>435</v>
      </c>
      <c r="BG25" s="103" t="s">
        <v>150</v>
      </c>
      <c r="BH25" s="104">
        <f>12650000+42880000</f>
        <v>55530000</v>
      </c>
    </row>
    <row r="26" spans="1:60" s="6" customFormat="1" ht="31.5" customHeight="1" x14ac:dyDescent="0.25">
      <c r="A26" s="5">
        <v>23</v>
      </c>
      <c r="B26" s="21" t="s">
        <v>82</v>
      </c>
      <c r="C26" s="15" t="s">
        <v>99</v>
      </c>
      <c r="D26" s="22"/>
      <c r="E26" s="42"/>
      <c r="F26" s="16"/>
      <c r="G26" s="7"/>
      <c r="H26" s="61"/>
      <c r="I26" s="113"/>
      <c r="J26" s="62"/>
      <c r="K26" s="22"/>
      <c r="L26" s="42"/>
      <c r="M26" s="16"/>
      <c r="N26" s="7"/>
      <c r="O26" s="61">
        <v>3</v>
      </c>
      <c r="P26" s="113">
        <v>87000</v>
      </c>
      <c r="Q26" s="62">
        <v>261000</v>
      </c>
      <c r="R26" s="27"/>
      <c r="S26" s="42"/>
      <c r="T26" s="26"/>
      <c r="U26" s="7"/>
      <c r="V26" s="73"/>
      <c r="W26" s="118"/>
      <c r="X26" s="119"/>
      <c r="Y26" s="27"/>
      <c r="Z26" s="42"/>
      <c r="AA26" s="26"/>
      <c r="AB26" s="61"/>
      <c r="AC26" s="113"/>
      <c r="AD26" s="62"/>
      <c r="AE26" s="27"/>
      <c r="AF26" s="42"/>
      <c r="AG26" s="26"/>
      <c r="AH26" s="73"/>
      <c r="AI26" s="118"/>
      <c r="AJ26" s="119"/>
      <c r="AK26" s="22"/>
      <c r="AL26" s="42"/>
      <c r="AM26" s="16"/>
      <c r="AN26" s="80"/>
      <c r="AO26" s="86"/>
      <c r="AP26" s="82">
        <f t="shared" si="6"/>
        <v>0</v>
      </c>
      <c r="AQ26" s="102"/>
      <c r="AR26" s="103"/>
      <c r="AS26" s="104"/>
      <c r="AT26" s="102"/>
      <c r="AU26" s="103"/>
      <c r="AV26" s="104"/>
      <c r="AW26" s="102"/>
      <c r="AX26" s="103"/>
      <c r="AY26" s="104"/>
      <c r="AZ26" s="102"/>
      <c r="BA26" s="103"/>
      <c r="BB26" s="104"/>
      <c r="BC26" s="102"/>
      <c r="BD26" s="103"/>
      <c r="BE26" s="104"/>
      <c r="BF26" s="102"/>
      <c r="BG26" s="103"/>
      <c r="BH26" s="104"/>
    </row>
    <row r="27" spans="1:60" s="6" customFormat="1" ht="31.5" customHeight="1" x14ac:dyDescent="0.25">
      <c r="A27" s="5">
        <v>24</v>
      </c>
      <c r="B27" s="21" t="s">
        <v>83</v>
      </c>
      <c r="C27" s="15" t="s">
        <v>91</v>
      </c>
      <c r="D27" s="22">
        <v>146</v>
      </c>
      <c r="E27" s="42">
        <v>98000</v>
      </c>
      <c r="F27" s="16">
        <f t="shared" ref="F27:F37" si="12">D27*E27*98%</f>
        <v>14021840</v>
      </c>
      <c r="G27" s="7">
        <v>0.02</v>
      </c>
      <c r="H27" s="61">
        <v>50</v>
      </c>
      <c r="I27" s="113">
        <v>140000</v>
      </c>
      <c r="J27" s="62">
        <v>7000000</v>
      </c>
      <c r="K27" s="22"/>
      <c r="L27" s="42"/>
      <c r="M27" s="16"/>
      <c r="N27" s="7"/>
      <c r="O27" s="61">
        <v>1</v>
      </c>
      <c r="P27" s="113">
        <v>98000</v>
      </c>
      <c r="Q27" s="62">
        <v>98000</v>
      </c>
      <c r="R27" s="27"/>
      <c r="S27" s="42"/>
      <c r="T27" s="26"/>
      <c r="U27" s="7"/>
      <c r="V27" s="61">
        <v>50</v>
      </c>
      <c r="W27" s="113">
        <v>140000</v>
      </c>
      <c r="X27" s="62">
        <v>7000000</v>
      </c>
      <c r="Y27" s="27">
        <v>151</v>
      </c>
      <c r="Z27" s="42">
        <v>98000</v>
      </c>
      <c r="AA27" s="26">
        <f t="shared" ref="AA27:AA37" si="13">Y27*Z27</f>
        <v>14798000</v>
      </c>
      <c r="AB27" s="61">
        <v>29</v>
      </c>
      <c r="AC27" s="113">
        <v>140000</v>
      </c>
      <c r="AD27" s="62">
        <v>4060000</v>
      </c>
      <c r="AE27" s="27"/>
      <c r="AF27" s="42"/>
      <c r="AG27" s="26"/>
      <c r="AH27" s="61">
        <v>71</v>
      </c>
      <c r="AI27" s="113">
        <v>140000</v>
      </c>
      <c r="AJ27" s="62">
        <v>9940000</v>
      </c>
      <c r="AK27" s="22"/>
      <c r="AL27" s="42"/>
      <c r="AM27" s="16"/>
      <c r="AN27" s="79">
        <v>70</v>
      </c>
      <c r="AO27" s="84">
        <v>140000</v>
      </c>
      <c r="AP27" s="82">
        <f t="shared" si="6"/>
        <v>9800000</v>
      </c>
      <c r="AQ27" s="102">
        <v>41</v>
      </c>
      <c r="AR27" s="103">
        <v>107800</v>
      </c>
      <c r="AS27" s="104">
        <f t="shared" ref="AS27:AS41" si="14">AQ27*AR27</f>
        <v>4419800</v>
      </c>
      <c r="AT27" s="102"/>
      <c r="AU27" s="103"/>
      <c r="AV27" s="104"/>
      <c r="AW27" s="102">
        <v>20</v>
      </c>
      <c r="AX27" s="103">
        <v>119000</v>
      </c>
      <c r="AY27" s="104">
        <f t="shared" ref="AY27:AY46" si="15">AW27*AX27</f>
        <v>2380000</v>
      </c>
      <c r="AZ27" s="102">
        <v>22</v>
      </c>
      <c r="BA27" s="103">
        <v>140000</v>
      </c>
      <c r="BB27" s="104">
        <f t="shared" si="3"/>
        <v>3080000</v>
      </c>
      <c r="BC27" s="102">
        <v>50</v>
      </c>
      <c r="BD27" s="103">
        <v>140000</v>
      </c>
      <c r="BE27" s="104">
        <f t="shared" si="4"/>
        <v>7000000</v>
      </c>
      <c r="BF27" s="102">
        <v>50</v>
      </c>
      <c r="BG27" s="103">
        <v>140000</v>
      </c>
      <c r="BH27" s="104">
        <f t="shared" si="5"/>
        <v>7000000</v>
      </c>
    </row>
    <row r="28" spans="1:60" s="6" customFormat="1" ht="31.5" customHeight="1" x14ac:dyDescent="0.25">
      <c r="A28" s="5">
        <v>25</v>
      </c>
      <c r="B28" s="21" t="s">
        <v>42</v>
      </c>
      <c r="C28" s="15" t="s">
        <v>8</v>
      </c>
      <c r="D28" s="22">
        <v>132</v>
      </c>
      <c r="E28" s="42">
        <v>93500</v>
      </c>
      <c r="F28" s="16">
        <f t="shared" si="12"/>
        <v>12095160</v>
      </c>
      <c r="G28" s="7">
        <v>0.02</v>
      </c>
      <c r="H28" s="61">
        <v>300</v>
      </c>
      <c r="I28" s="113">
        <v>134500</v>
      </c>
      <c r="J28" s="62">
        <v>40350000</v>
      </c>
      <c r="K28" s="22"/>
      <c r="L28" s="42"/>
      <c r="M28" s="16"/>
      <c r="N28" s="7"/>
      <c r="O28" s="61">
        <v>300</v>
      </c>
      <c r="P28" s="113">
        <v>134500</v>
      </c>
      <c r="Q28" s="62">
        <v>40350000</v>
      </c>
      <c r="R28" s="27">
        <v>289</v>
      </c>
      <c r="S28" s="42">
        <v>93500</v>
      </c>
      <c r="T28" s="26">
        <f t="shared" ref="T28:T36" si="16">R28*S28*98%</f>
        <v>26481070</v>
      </c>
      <c r="U28" s="7">
        <v>0.02</v>
      </c>
      <c r="V28" s="61">
        <v>300</v>
      </c>
      <c r="W28" s="113">
        <v>134500</v>
      </c>
      <c r="X28" s="62">
        <v>40350000</v>
      </c>
      <c r="Y28" s="27">
        <v>77</v>
      </c>
      <c r="Z28" s="42">
        <v>93500</v>
      </c>
      <c r="AA28" s="26">
        <f t="shared" si="13"/>
        <v>7199500</v>
      </c>
      <c r="AB28" s="61">
        <v>181</v>
      </c>
      <c r="AC28" s="113">
        <v>134500</v>
      </c>
      <c r="AD28" s="62">
        <v>24344500</v>
      </c>
      <c r="AE28" s="27">
        <v>200</v>
      </c>
      <c r="AF28" s="42">
        <v>102900</v>
      </c>
      <c r="AG28" s="26">
        <f t="shared" ref="AG28:AG37" si="17">AE28*AF28</f>
        <v>20580000</v>
      </c>
      <c r="AH28" s="61">
        <v>295</v>
      </c>
      <c r="AI28" s="113">
        <v>134500</v>
      </c>
      <c r="AJ28" s="62">
        <v>39677500</v>
      </c>
      <c r="AK28" s="22">
        <v>405</v>
      </c>
      <c r="AL28" s="42">
        <v>102900</v>
      </c>
      <c r="AM28" s="16">
        <f t="shared" ref="AM28:AM36" si="18">AK28*AL28</f>
        <v>41674500</v>
      </c>
      <c r="AN28" s="79">
        <v>404</v>
      </c>
      <c r="AO28" s="84">
        <v>134500</v>
      </c>
      <c r="AP28" s="82">
        <f t="shared" si="6"/>
        <v>54338000</v>
      </c>
      <c r="AQ28" s="102">
        <v>245</v>
      </c>
      <c r="AR28" s="103">
        <v>102900</v>
      </c>
      <c r="AS28" s="104">
        <f t="shared" si="14"/>
        <v>25210500</v>
      </c>
      <c r="AT28" s="102">
        <v>150</v>
      </c>
      <c r="AU28" s="103">
        <v>102900</v>
      </c>
      <c r="AV28" s="104">
        <f t="shared" ref="AV28:AV36" si="19">AT28*AU28</f>
        <v>15435000</v>
      </c>
      <c r="AW28" s="102">
        <f>100+145</f>
        <v>245</v>
      </c>
      <c r="AX28" s="103" t="s">
        <v>151</v>
      </c>
      <c r="AY28" s="104">
        <f>11400000+17400000</f>
        <v>28800000</v>
      </c>
      <c r="AZ28" s="102">
        <v>200</v>
      </c>
      <c r="BA28" s="103">
        <v>134500</v>
      </c>
      <c r="BB28" s="104">
        <f t="shared" si="3"/>
        <v>26900000</v>
      </c>
      <c r="BC28" s="102">
        <v>250</v>
      </c>
      <c r="BD28" s="103">
        <v>134500</v>
      </c>
      <c r="BE28" s="104">
        <f t="shared" si="4"/>
        <v>33625000</v>
      </c>
      <c r="BF28" s="102">
        <v>450</v>
      </c>
      <c r="BG28" s="103">
        <v>134500</v>
      </c>
      <c r="BH28" s="104">
        <f t="shared" si="5"/>
        <v>60525000</v>
      </c>
    </row>
    <row r="29" spans="1:60" s="6" customFormat="1" ht="31.5" customHeight="1" x14ac:dyDescent="0.25">
      <c r="A29" s="5">
        <v>26</v>
      </c>
      <c r="B29" s="21" t="s">
        <v>43</v>
      </c>
      <c r="C29" s="15" t="s">
        <v>9</v>
      </c>
      <c r="D29" s="22">
        <v>874</v>
      </c>
      <c r="E29" s="42">
        <v>97000</v>
      </c>
      <c r="F29" s="16">
        <f t="shared" si="12"/>
        <v>83082440</v>
      </c>
      <c r="G29" s="7">
        <v>0.02</v>
      </c>
      <c r="H29" s="61">
        <v>1070</v>
      </c>
      <c r="I29" s="113">
        <v>139000</v>
      </c>
      <c r="J29" s="62">
        <v>148730000</v>
      </c>
      <c r="K29" s="22">
        <v>683</v>
      </c>
      <c r="L29" s="42">
        <v>97000</v>
      </c>
      <c r="M29" s="16">
        <f t="shared" ref="M29:M35" si="20">K29*L29*98%</f>
        <v>64925980</v>
      </c>
      <c r="N29" s="7">
        <v>0.02</v>
      </c>
      <c r="O29" s="61">
        <v>880</v>
      </c>
      <c r="P29" s="113">
        <v>139000</v>
      </c>
      <c r="Q29" s="62">
        <v>122320000</v>
      </c>
      <c r="R29" s="27">
        <v>893</v>
      </c>
      <c r="S29" s="42">
        <v>97000</v>
      </c>
      <c r="T29" s="26">
        <f t="shared" si="16"/>
        <v>84888580</v>
      </c>
      <c r="U29" s="7">
        <v>0.02</v>
      </c>
      <c r="V29" s="61">
        <v>1050</v>
      </c>
      <c r="W29" s="113">
        <v>139000</v>
      </c>
      <c r="X29" s="62">
        <v>145950000</v>
      </c>
      <c r="Y29" s="27">
        <v>300</v>
      </c>
      <c r="Z29" s="42">
        <v>97000</v>
      </c>
      <c r="AA29" s="26">
        <f t="shared" si="13"/>
        <v>29100000</v>
      </c>
      <c r="AB29" s="61">
        <v>886</v>
      </c>
      <c r="AC29" s="113">
        <v>139000</v>
      </c>
      <c r="AD29" s="62">
        <v>123154000</v>
      </c>
      <c r="AE29" s="27">
        <v>895</v>
      </c>
      <c r="AF29" s="42">
        <v>106700</v>
      </c>
      <c r="AG29" s="26">
        <f t="shared" si="17"/>
        <v>95496500</v>
      </c>
      <c r="AH29" s="61">
        <v>709</v>
      </c>
      <c r="AI29" s="113">
        <v>139000</v>
      </c>
      <c r="AJ29" s="62">
        <v>98551000</v>
      </c>
      <c r="AK29" s="22">
        <v>880</v>
      </c>
      <c r="AL29" s="42">
        <v>106700</v>
      </c>
      <c r="AM29" s="16">
        <f t="shared" si="18"/>
        <v>93896000</v>
      </c>
      <c r="AN29" s="79">
        <v>520</v>
      </c>
      <c r="AO29" s="84">
        <v>139000</v>
      </c>
      <c r="AP29" s="82">
        <f t="shared" si="6"/>
        <v>72280000</v>
      </c>
      <c r="AQ29" s="102">
        <v>414</v>
      </c>
      <c r="AR29" s="103">
        <v>106700</v>
      </c>
      <c r="AS29" s="104">
        <f t="shared" si="14"/>
        <v>44173800</v>
      </c>
      <c r="AT29" s="102">
        <v>456</v>
      </c>
      <c r="AU29" s="103">
        <v>106700</v>
      </c>
      <c r="AV29" s="104">
        <f t="shared" si="19"/>
        <v>48655200</v>
      </c>
      <c r="AW29" s="102">
        <f>450+350</f>
        <v>800</v>
      </c>
      <c r="AX29" s="103" t="s">
        <v>152</v>
      </c>
      <c r="AY29" s="104">
        <f>53100000+43400000</f>
        <v>96500000</v>
      </c>
      <c r="AZ29" s="102">
        <v>300</v>
      </c>
      <c r="BA29" s="103">
        <v>139000</v>
      </c>
      <c r="BB29" s="104">
        <f t="shared" si="3"/>
        <v>41700000</v>
      </c>
      <c r="BC29" s="102">
        <v>1257</v>
      </c>
      <c r="BD29" s="103">
        <v>139000</v>
      </c>
      <c r="BE29" s="104">
        <f t="shared" si="4"/>
        <v>174723000</v>
      </c>
      <c r="BF29" s="102">
        <v>1200</v>
      </c>
      <c r="BG29" s="103">
        <v>139000</v>
      </c>
      <c r="BH29" s="104">
        <f t="shared" si="5"/>
        <v>166800000</v>
      </c>
    </row>
    <row r="30" spans="1:60" s="6" customFormat="1" ht="31.5" customHeight="1" x14ac:dyDescent="0.25">
      <c r="A30" s="5">
        <v>27</v>
      </c>
      <c r="B30" s="21" t="s">
        <v>44</v>
      </c>
      <c r="C30" s="15" t="s">
        <v>10</v>
      </c>
      <c r="D30" s="22">
        <v>138</v>
      </c>
      <c r="E30" s="42">
        <v>114500</v>
      </c>
      <c r="F30" s="16">
        <f t="shared" si="12"/>
        <v>15484980</v>
      </c>
      <c r="G30" s="7">
        <v>0.02</v>
      </c>
      <c r="H30" s="61">
        <v>200</v>
      </c>
      <c r="I30" s="113">
        <v>168000</v>
      </c>
      <c r="J30" s="62">
        <v>33600000</v>
      </c>
      <c r="K30" s="22">
        <v>249</v>
      </c>
      <c r="L30" s="42">
        <v>114500</v>
      </c>
      <c r="M30" s="16">
        <f t="shared" si="20"/>
        <v>27940290</v>
      </c>
      <c r="N30" s="7">
        <v>0.02</v>
      </c>
      <c r="O30" s="61">
        <v>150</v>
      </c>
      <c r="P30" s="113">
        <v>168000</v>
      </c>
      <c r="Q30" s="62">
        <v>25200000</v>
      </c>
      <c r="R30" s="27">
        <v>104</v>
      </c>
      <c r="S30" s="42">
        <v>114500</v>
      </c>
      <c r="T30" s="26">
        <f t="shared" si="16"/>
        <v>11669840</v>
      </c>
      <c r="U30" s="7">
        <v>0.02</v>
      </c>
      <c r="V30" s="61">
        <v>300</v>
      </c>
      <c r="W30" s="113">
        <v>168000</v>
      </c>
      <c r="X30" s="62">
        <v>50400000</v>
      </c>
      <c r="Y30" s="27">
        <v>101</v>
      </c>
      <c r="Z30" s="42">
        <v>114500</v>
      </c>
      <c r="AA30" s="26">
        <f t="shared" si="13"/>
        <v>11564500</v>
      </c>
      <c r="AB30" s="61">
        <v>155</v>
      </c>
      <c r="AC30" s="113">
        <v>168000</v>
      </c>
      <c r="AD30" s="62">
        <v>26040000</v>
      </c>
      <c r="AE30" s="27">
        <v>85</v>
      </c>
      <c r="AF30" s="42">
        <v>126000</v>
      </c>
      <c r="AG30" s="26">
        <f t="shared" si="17"/>
        <v>10710000</v>
      </c>
      <c r="AH30" s="61">
        <v>297</v>
      </c>
      <c r="AI30" s="113">
        <v>168000</v>
      </c>
      <c r="AJ30" s="62">
        <v>49896000</v>
      </c>
      <c r="AK30" s="22">
        <v>220</v>
      </c>
      <c r="AL30" s="42">
        <v>126000</v>
      </c>
      <c r="AM30" s="16">
        <f t="shared" si="18"/>
        <v>27720000</v>
      </c>
      <c r="AN30" s="79">
        <v>188</v>
      </c>
      <c r="AO30" s="84">
        <v>168000</v>
      </c>
      <c r="AP30" s="82">
        <f t="shared" si="6"/>
        <v>31584000</v>
      </c>
      <c r="AQ30" s="102">
        <v>209</v>
      </c>
      <c r="AR30" s="103">
        <v>126000</v>
      </c>
      <c r="AS30" s="104">
        <f t="shared" si="14"/>
        <v>26334000</v>
      </c>
      <c r="AT30" s="102">
        <v>170</v>
      </c>
      <c r="AU30" s="103">
        <v>126000</v>
      </c>
      <c r="AV30" s="104">
        <f t="shared" si="19"/>
        <v>21420000</v>
      </c>
      <c r="AW30" s="102">
        <f>100+100</f>
        <v>200</v>
      </c>
      <c r="AX30" s="103" t="s">
        <v>153</v>
      </c>
      <c r="AY30" s="104">
        <f>13900000+14600000</f>
        <v>28500000</v>
      </c>
      <c r="AZ30" s="102">
        <v>100</v>
      </c>
      <c r="BA30" s="103">
        <v>168000</v>
      </c>
      <c r="BB30" s="104">
        <f t="shared" si="3"/>
        <v>16800000</v>
      </c>
      <c r="BC30" s="102">
        <v>250</v>
      </c>
      <c r="BD30" s="103">
        <v>168000</v>
      </c>
      <c r="BE30" s="104">
        <f t="shared" si="4"/>
        <v>42000000</v>
      </c>
      <c r="BF30" s="102">
        <v>300</v>
      </c>
      <c r="BG30" s="103">
        <v>168000</v>
      </c>
      <c r="BH30" s="104">
        <f t="shared" si="5"/>
        <v>50400000</v>
      </c>
    </row>
    <row r="31" spans="1:60" s="6" customFormat="1" ht="31.5" customHeight="1" x14ac:dyDescent="0.25">
      <c r="A31" s="5">
        <v>28</v>
      </c>
      <c r="B31" s="21" t="s">
        <v>45</v>
      </c>
      <c r="C31" s="15" t="s">
        <v>100</v>
      </c>
      <c r="D31" s="22">
        <v>633</v>
      </c>
      <c r="E31" s="42">
        <v>122000</v>
      </c>
      <c r="F31" s="16">
        <f t="shared" si="12"/>
        <v>75681480</v>
      </c>
      <c r="G31" s="7">
        <v>0.02</v>
      </c>
      <c r="H31" s="61">
        <v>617</v>
      </c>
      <c r="I31" s="113">
        <v>171000</v>
      </c>
      <c r="J31" s="62">
        <v>105507000</v>
      </c>
      <c r="K31" s="22">
        <v>395</v>
      </c>
      <c r="L31" s="42">
        <v>122000</v>
      </c>
      <c r="M31" s="16">
        <f t="shared" si="20"/>
        <v>47226200</v>
      </c>
      <c r="N31" s="7">
        <v>0.02</v>
      </c>
      <c r="O31" s="61">
        <v>503</v>
      </c>
      <c r="P31" s="113">
        <v>171000</v>
      </c>
      <c r="Q31" s="62">
        <v>86013000</v>
      </c>
      <c r="R31" s="27">
        <v>420</v>
      </c>
      <c r="S31" s="42">
        <v>122000</v>
      </c>
      <c r="T31" s="26">
        <f t="shared" si="16"/>
        <v>50215200</v>
      </c>
      <c r="U31" s="7">
        <v>0.02</v>
      </c>
      <c r="V31" s="61">
        <v>544</v>
      </c>
      <c r="W31" s="113">
        <v>171000</v>
      </c>
      <c r="X31" s="62">
        <v>93024000</v>
      </c>
      <c r="Y31" s="27">
        <v>205</v>
      </c>
      <c r="Z31" s="42">
        <v>122000</v>
      </c>
      <c r="AA31" s="26">
        <f t="shared" si="13"/>
        <v>25010000</v>
      </c>
      <c r="AB31" s="61">
        <v>251</v>
      </c>
      <c r="AC31" s="113">
        <v>171000</v>
      </c>
      <c r="AD31" s="62">
        <v>42921000</v>
      </c>
      <c r="AE31" s="27">
        <v>440</v>
      </c>
      <c r="AF31" s="42">
        <v>134200</v>
      </c>
      <c r="AG31" s="26">
        <f t="shared" si="17"/>
        <v>59048000</v>
      </c>
      <c r="AH31" s="61">
        <v>715</v>
      </c>
      <c r="AI31" s="113">
        <v>171000</v>
      </c>
      <c r="AJ31" s="62">
        <v>122265000</v>
      </c>
      <c r="AK31" s="22">
        <v>699</v>
      </c>
      <c r="AL31" s="42">
        <v>134200</v>
      </c>
      <c r="AM31" s="16">
        <f t="shared" si="18"/>
        <v>93805800</v>
      </c>
      <c r="AN31" s="79">
        <v>337</v>
      </c>
      <c r="AO31" s="84">
        <v>171000</v>
      </c>
      <c r="AP31" s="82">
        <f t="shared" si="6"/>
        <v>57627000</v>
      </c>
      <c r="AQ31" s="102">
        <v>200</v>
      </c>
      <c r="AR31" s="103">
        <v>134200</v>
      </c>
      <c r="AS31" s="104">
        <f t="shared" si="14"/>
        <v>26840000</v>
      </c>
      <c r="AT31" s="102">
        <v>310</v>
      </c>
      <c r="AU31" s="103">
        <v>134200</v>
      </c>
      <c r="AV31" s="104">
        <f t="shared" si="19"/>
        <v>41602000</v>
      </c>
      <c r="AW31" s="102">
        <f>200+220</f>
        <v>420</v>
      </c>
      <c r="AX31" s="103" t="s">
        <v>154</v>
      </c>
      <c r="AY31" s="104">
        <f>29600000+34210000</f>
        <v>63810000</v>
      </c>
      <c r="AZ31" s="102">
        <v>300</v>
      </c>
      <c r="BA31" s="103">
        <v>171000</v>
      </c>
      <c r="BB31" s="104">
        <f t="shared" si="3"/>
        <v>51300000</v>
      </c>
      <c r="BC31" s="102">
        <v>650</v>
      </c>
      <c r="BD31" s="103">
        <v>171000</v>
      </c>
      <c r="BE31" s="104">
        <f t="shared" si="4"/>
        <v>111150000</v>
      </c>
      <c r="BF31" s="102">
        <v>783</v>
      </c>
      <c r="BG31" s="103">
        <v>171000</v>
      </c>
      <c r="BH31" s="104">
        <f t="shared" si="5"/>
        <v>133893000</v>
      </c>
    </row>
    <row r="32" spans="1:60" s="6" customFormat="1" ht="31.5" customHeight="1" x14ac:dyDescent="0.25">
      <c r="A32" s="5">
        <v>29</v>
      </c>
      <c r="B32" s="21" t="s">
        <v>46</v>
      </c>
      <c r="C32" s="15" t="s">
        <v>101</v>
      </c>
      <c r="D32" s="22">
        <v>45</v>
      </c>
      <c r="E32" s="42">
        <v>130000</v>
      </c>
      <c r="F32" s="16">
        <f t="shared" si="12"/>
        <v>5733000</v>
      </c>
      <c r="G32" s="7">
        <v>0.02</v>
      </c>
      <c r="H32" s="61">
        <v>200</v>
      </c>
      <c r="I32" s="113">
        <v>190500</v>
      </c>
      <c r="J32" s="62">
        <v>38100000</v>
      </c>
      <c r="K32" s="22">
        <v>67</v>
      </c>
      <c r="L32" s="42">
        <v>130000</v>
      </c>
      <c r="M32" s="16">
        <f t="shared" si="20"/>
        <v>8535800</v>
      </c>
      <c r="N32" s="7">
        <v>0.02</v>
      </c>
      <c r="O32" s="61">
        <v>100</v>
      </c>
      <c r="P32" s="113">
        <v>190500</v>
      </c>
      <c r="Q32" s="62">
        <v>19050000</v>
      </c>
      <c r="R32" s="27">
        <v>210</v>
      </c>
      <c r="S32" s="42">
        <v>130000</v>
      </c>
      <c r="T32" s="26">
        <f t="shared" si="16"/>
        <v>26754000</v>
      </c>
      <c r="U32" s="7">
        <v>0.02</v>
      </c>
      <c r="V32" s="61">
        <v>200</v>
      </c>
      <c r="W32" s="113">
        <v>190500</v>
      </c>
      <c r="X32" s="62">
        <v>38100000</v>
      </c>
      <c r="Y32" s="27">
        <v>62</v>
      </c>
      <c r="Z32" s="42">
        <v>130000</v>
      </c>
      <c r="AA32" s="26">
        <f t="shared" si="13"/>
        <v>8060000</v>
      </c>
      <c r="AB32" s="61">
        <v>150</v>
      </c>
      <c r="AC32" s="113">
        <v>190500</v>
      </c>
      <c r="AD32" s="62">
        <v>28575000</v>
      </c>
      <c r="AE32" s="27">
        <v>90</v>
      </c>
      <c r="AF32" s="42">
        <v>143000</v>
      </c>
      <c r="AG32" s="26">
        <f t="shared" si="17"/>
        <v>12870000</v>
      </c>
      <c r="AH32" s="61">
        <v>200</v>
      </c>
      <c r="AI32" s="113">
        <v>190500</v>
      </c>
      <c r="AJ32" s="62">
        <v>38100000</v>
      </c>
      <c r="AK32" s="22">
        <v>205</v>
      </c>
      <c r="AL32" s="42">
        <v>143000</v>
      </c>
      <c r="AM32" s="16">
        <f t="shared" si="18"/>
        <v>29315000</v>
      </c>
      <c r="AN32" s="79">
        <v>20</v>
      </c>
      <c r="AO32" s="84">
        <v>190500</v>
      </c>
      <c r="AP32" s="82">
        <f t="shared" si="6"/>
        <v>3810000</v>
      </c>
      <c r="AQ32" s="102">
        <v>83</v>
      </c>
      <c r="AR32" s="103">
        <v>143000</v>
      </c>
      <c r="AS32" s="104">
        <f t="shared" si="14"/>
        <v>11869000</v>
      </c>
      <c r="AT32" s="102">
        <v>150</v>
      </c>
      <c r="AU32" s="103">
        <v>143000</v>
      </c>
      <c r="AV32" s="104">
        <f t="shared" si="19"/>
        <v>21450000</v>
      </c>
      <c r="AW32" s="102">
        <f>30+110</f>
        <v>140</v>
      </c>
      <c r="AX32" s="103" t="s">
        <v>155</v>
      </c>
      <c r="AY32" s="104">
        <f>4725000+18205000</f>
        <v>22930000</v>
      </c>
      <c r="AZ32" s="102">
        <v>78</v>
      </c>
      <c r="BA32" s="103">
        <v>190500</v>
      </c>
      <c r="BB32" s="104">
        <f t="shared" si="3"/>
        <v>14859000</v>
      </c>
      <c r="BC32" s="102">
        <v>300</v>
      </c>
      <c r="BD32" s="103">
        <v>190500</v>
      </c>
      <c r="BE32" s="104">
        <f t="shared" si="4"/>
        <v>57150000</v>
      </c>
      <c r="BF32" s="102">
        <v>250</v>
      </c>
      <c r="BG32" s="103">
        <v>190500</v>
      </c>
      <c r="BH32" s="104">
        <f t="shared" si="5"/>
        <v>47625000</v>
      </c>
    </row>
    <row r="33" spans="1:60" s="6" customFormat="1" ht="31.5" customHeight="1" x14ac:dyDescent="0.25">
      <c r="A33" s="5">
        <v>30</v>
      </c>
      <c r="B33" s="21" t="s">
        <v>71</v>
      </c>
      <c r="C33" s="15" t="s">
        <v>92</v>
      </c>
      <c r="D33" s="22">
        <v>4</v>
      </c>
      <c r="E33" s="42">
        <v>144500</v>
      </c>
      <c r="F33" s="16">
        <f t="shared" si="12"/>
        <v>566440</v>
      </c>
      <c r="G33" s="7">
        <v>0.02</v>
      </c>
      <c r="H33" s="61">
        <v>198</v>
      </c>
      <c r="I33" s="113">
        <v>206000</v>
      </c>
      <c r="J33" s="62">
        <v>40788000</v>
      </c>
      <c r="K33" s="22">
        <v>125</v>
      </c>
      <c r="L33" s="42">
        <v>144500</v>
      </c>
      <c r="M33" s="16">
        <f t="shared" si="20"/>
        <v>17701250</v>
      </c>
      <c r="N33" s="7">
        <v>0.02</v>
      </c>
      <c r="O33" s="61">
        <v>92</v>
      </c>
      <c r="P33" s="113">
        <v>206000</v>
      </c>
      <c r="Q33" s="62">
        <v>18952000</v>
      </c>
      <c r="R33" s="27">
        <v>112</v>
      </c>
      <c r="S33" s="42">
        <v>144500</v>
      </c>
      <c r="T33" s="26">
        <f t="shared" si="16"/>
        <v>15860320</v>
      </c>
      <c r="U33" s="7">
        <v>0.02</v>
      </c>
      <c r="V33" s="61">
        <v>210</v>
      </c>
      <c r="W33" s="113">
        <v>206000</v>
      </c>
      <c r="X33" s="62">
        <v>43260000</v>
      </c>
      <c r="Y33" s="27">
        <v>30</v>
      </c>
      <c r="Z33" s="42">
        <v>144500</v>
      </c>
      <c r="AA33" s="26">
        <f t="shared" si="13"/>
        <v>4335000</v>
      </c>
      <c r="AB33" s="61">
        <v>100</v>
      </c>
      <c r="AC33" s="113">
        <v>206000</v>
      </c>
      <c r="AD33" s="62">
        <v>20600000</v>
      </c>
      <c r="AE33" s="27">
        <v>130</v>
      </c>
      <c r="AF33" s="42">
        <v>159000</v>
      </c>
      <c r="AG33" s="26">
        <f t="shared" si="17"/>
        <v>20670000</v>
      </c>
      <c r="AH33" s="61">
        <v>150</v>
      </c>
      <c r="AI33" s="113">
        <v>206000</v>
      </c>
      <c r="AJ33" s="62">
        <v>30900000</v>
      </c>
      <c r="AK33" s="22">
        <v>306</v>
      </c>
      <c r="AL33" s="42">
        <v>159000</v>
      </c>
      <c r="AM33" s="16">
        <f t="shared" si="18"/>
        <v>48654000</v>
      </c>
      <c r="AN33" s="79">
        <v>150</v>
      </c>
      <c r="AO33" s="84">
        <v>206000</v>
      </c>
      <c r="AP33" s="82">
        <f t="shared" si="6"/>
        <v>30900000</v>
      </c>
      <c r="AQ33" s="102">
        <v>80</v>
      </c>
      <c r="AR33" s="103">
        <v>159000</v>
      </c>
      <c r="AS33" s="104">
        <f t="shared" si="14"/>
        <v>12720000</v>
      </c>
      <c r="AT33" s="102">
        <v>120</v>
      </c>
      <c r="AU33" s="103">
        <v>159000</v>
      </c>
      <c r="AV33" s="104">
        <f t="shared" si="19"/>
        <v>19080000</v>
      </c>
      <c r="AW33" s="102">
        <f>60+40</f>
        <v>100</v>
      </c>
      <c r="AX33" s="103" t="s">
        <v>156</v>
      </c>
      <c r="AY33" s="104">
        <f>10500000+7360000</f>
        <v>17860000</v>
      </c>
      <c r="AZ33" s="102">
        <v>50</v>
      </c>
      <c r="BA33" s="103">
        <v>206000</v>
      </c>
      <c r="BB33" s="104">
        <f t="shared" si="3"/>
        <v>10300000</v>
      </c>
      <c r="BC33" s="102">
        <v>180</v>
      </c>
      <c r="BD33" s="103">
        <v>206000</v>
      </c>
      <c r="BE33" s="104">
        <f t="shared" si="4"/>
        <v>37080000</v>
      </c>
      <c r="BF33" s="102">
        <v>200</v>
      </c>
      <c r="BG33" s="103">
        <v>206000</v>
      </c>
      <c r="BH33" s="104">
        <f t="shared" si="5"/>
        <v>41200000</v>
      </c>
    </row>
    <row r="34" spans="1:60" s="6" customFormat="1" ht="31.5" customHeight="1" x14ac:dyDescent="0.25">
      <c r="A34" s="5">
        <v>31</v>
      </c>
      <c r="B34" s="21" t="s">
        <v>47</v>
      </c>
      <c r="C34" s="15" t="s">
        <v>102</v>
      </c>
      <c r="D34" s="22">
        <v>242</v>
      </c>
      <c r="E34" s="42">
        <v>144500</v>
      </c>
      <c r="F34" s="16">
        <f t="shared" si="12"/>
        <v>34269620</v>
      </c>
      <c r="G34" s="7">
        <v>0.02</v>
      </c>
      <c r="H34" s="61">
        <v>100</v>
      </c>
      <c r="I34" s="113">
        <v>206000</v>
      </c>
      <c r="J34" s="62">
        <v>20600000</v>
      </c>
      <c r="K34" s="22">
        <v>161</v>
      </c>
      <c r="L34" s="42">
        <v>144500</v>
      </c>
      <c r="M34" s="16">
        <f t="shared" si="20"/>
        <v>22799210</v>
      </c>
      <c r="N34" s="7">
        <v>0.02</v>
      </c>
      <c r="O34" s="61">
        <v>350</v>
      </c>
      <c r="P34" s="113">
        <v>206000</v>
      </c>
      <c r="Q34" s="62">
        <v>72100000</v>
      </c>
      <c r="R34" s="27">
        <v>296</v>
      </c>
      <c r="S34" s="42">
        <v>144500</v>
      </c>
      <c r="T34" s="26">
        <f t="shared" si="16"/>
        <v>41916560</v>
      </c>
      <c r="U34" s="7">
        <v>0.02</v>
      </c>
      <c r="V34" s="61">
        <v>321</v>
      </c>
      <c r="W34" s="113">
        <v>206000</v>
      </c>
      <c r="X34" s="62">
        <v>66126000</v>
      </c>
      <c r="Y34" s="27">
        <v>96</v>
      </c>
      <c r="Z34" s="42">
        <v>144500</v>
      </c>
      <c r="AA34" s="26">
        <f t="shared" si="13"/>
        <v>13872000</v>
      </c>
      <c r="AB34" s="61">
        <v>39</v>
      </c>
      <c r="AC34" s="113">
        <v>206000</v>
      </c>
      <c r="AD34" s="62">
        <v>8034000</v>
      </c>
      <c r="AE34" s="27">
        <v>165</v>
      </c>
      <c r="AF34" s="42">
        <v>159000</v>
      </c>
      <c r="AG34" s="26">
        <f t="shared" si="17"/>
        <v>26235000</v>
      </c>
      <c r="AH34" s="61">
        <v>90</v>
      </c>
      <c r="AI34" s="113">
        <v>206000</v>
      </c>
      <c r="AJ34" s="62">
        <v>18540000</v>
      </c>
      <c r="AK34" s="22">
        <v>265</v>
      </c>
      <c r="AL34" s="42">
        <v>159000</v>
      </c>
      <c r="AM34" s="16">
        <f t="shared" si="18"/>
        <v>42135000</v>
      </c>
      <c r="AN34" s="79">
        <v>100</v>
      </c>
      <c r="AO34" s="84">
        <v>206000</v>
      </c>
      <c r="AP34" s="82">
        <f t="shared" si="6"/>
        <v>20600000</v>
      </c>
      <c r="AQ34" s="102">
        <v>50</v>
      </c>
      <c r="AR34" s="103">
        <v>159000</v>
      </c>
      <c r="AS34" s="104">
        <f t="shared" si="14"/>
        <v>7950000</v>
      </c>
      <c r="AT34" s="102">
        <v>130</v>
      </c>
      <c r="AU34" s="103">
        <v>159000</v>
      </c>
      <c r="AV34" s="104">
        <f t="shared" si="19"/>
        <v>20670000</v>
      </c>
      <c r="AW34" s="102">
        <f>100+100</f>
        <v>200</v>
      </c>
      <c r="AX34" s="103" t="s">
        <v>156</v>
      </c>
      <c r="AY34" s="104">
        <f>17500000+18400000</f>
        <v>35900000</v>
      </c>
      <c r="AZ34" s="102">
        <v>40</v>
      </c>
      <c r="BA34" s="103">
        <v>206000</v>
      </c>
      <c r="BB34" s="104">
        <f t="shared" si="3"/>
        <v>8240000</v>
      </c>
      <c r="BC34" s="102">
        <v>200</v>
      </c>
      <c r="BD34" s="103">
        <v>206000</v>
      </c>
      <c r="BE34" s="104">
        <f t="shared" si="4"/>
        <v>41200000</v>
      </c>
      <c r="BF34" s="102">
        <v>200</v>
      </c>
      <c r="BG34" s="103">
        <v>206000</v>
      </c>
      <c r="BH34" s="104">
        <f t="shared" si="5"/>
        <v>41200000</v>
      </c>
    </row>
    <row r="35" spans="1:60" s="6" customFormat="1" ht="31.5" customHeight="1" x14ac:dyDescent="0.25">
      <c r="A35" s="5">
        <v>32</v>
      </c>
      <c r="B35" s="21" t="s">
        <v>48</v>
      </c>
      <c r="C35" s="15" t="s">
        <v>103</v>
      </c>
      <c r="D35" s="22">
        <v>1105</v>
      </c>
      <c r="E35" s="42">
        <v>153000</v>
      </c>
      <c r="F35" s="16">
        <f t="shared" si="12"/>
        <v>165683700</v>
      </c>
      <c r="G35" s="7">
        <v>0.02</v>
      </c>
      <c r="H35" s="61">
        <v>696</v>
      </c>
      <c r="I35" s="113">
        <v>213500</v>
      </c>
      <c r="J35" s="62">
        <v>148596000</v>
      </c>
      <c r="K35" s="22">
        <v>805</v>
      </c>
      <c r="L35" s="42">
        <v>153000</v>
      </c>
      <c r="M35" s="16">
        <f t="shared" si="20"/>
        <v>120701700</v>
      </c>
      <c r="N35" s="7">
        <v>0.02</v>
      </c>
      <c r="O35" s="61">
        <v>665</v>
      </c>
      <c r="P35" s="113">
        <v>213500</v>
      </c>
      <c r="Q35" s="62">
        <v>141977500</v>
      </c>
      <c r="R35" s="27">
        <v>405</v>
      </c>
      <c r="S35" s="42">
        <v>153000</v>
      </c>
      <c r="T35" s="26">
        <f t="shared" si="16"/>
        <v>60725700</v>
      </c>
      <c r="U35" s="7">
        <v>0.02</v>
      </c>
      <c r="V35" s="61">
        <v>919</v>
      </c>
      <c r="W35" s="113">
        <v>213500</v>
      </c>
      <c r="X35" s="62">
        <v>196206500</v>
      </c>
      <c r="Y35" s="27">
        <v>335</v>
      </c>
      <c r="Z35" s="42">
        <v>153000</v>
      </c>
      <c r="AA35" s="26">
        <f t="shared" si="13"/>
        <v>51255000</v>
      </c>
      <c r="AB35" s="61">
        <v>718</v>
      </c>
      <c r="AC35" s="113">
        <v>213500</v>
      </c>
      <c r="AD35" s="62">
        <v>153293000</v>
      </c>
      <c r="AE35" s="27">
        <v>835</v>
      </c>
      <c r="AF35" s="42">
        <v>168300</v>
      </c>
      <c r="AG35" s="26">
        <f t="shared" si="17"/>
        <v>140530500</v>
      </c>
      <c r="AH35" s="61">
        <v>469</v>
      </c>
      <c r="AI35" s="113">
        <v>213500</v>
      </c>
      <c r="AJ35" s="62">
        <v>100131500</v>
      </c>
      <c r="AK35" s="22">
        <v>735</v>
      </c>
      <c r="AL35" s="42">
        <v>168300</v>
      </c>
      <c r="AM35" s="16">
        <f t="shared" si="18"/>
        <v>123700500</v>
      </c>
      <c r="AN35" s="79">
        <v>408</v>
      </c>
      <c r="AO35" s="84">
        <v>213500</v>
      </c>
      <c r="AP35" s="82">
        <f t="shared" si="6"/>
        <v>87108000</v>
      </c>
      <c r="AQ35" s="102">
        <v>250</v>
      </c>
      <c r="AR35" s="103">
        <v>168300</v>
      </c>
      <c r="AS35" s="104">
        <f t="shared" si="14"/>
        <v>42075000</v>
      </c>
      <c r="AT35" s="102">
        <v>400</v>
      </c>
      <c r="AU35" s="103">
        <v>168300</v>
      </c>
      <c r="AV35" s="104">
        <f t="shared" si="19"/>
        <v>67320000</v>
      </c>
      <c r="AW35" s="102">
        <f>100+200</f>
        <v>300</v>
      </c>
      <c r="AX35" s="103" t="s">
        <v>157</v>
      </c>
      <c r="AY35" s="104">
        <f>18500000+38800000</f>
        <v>57300000</v>
      </c>
      <c r="AZ35" s="102">
        <v>200</v>
      </c>
      <c r="BA35" s="103">
        <v>213500</v>
      </c>
      <c r="BB35" s="104">
        <f t="shared" si="3"/>
        <v>42700000</v>
      </c>
      <c r="BC35" s="102">
        <v>614</v>
      </c>
      <c r="BD35" s="103">
        <v>213500</v>
      </c>
      <c r="BE35" s="104">
        <f t="shared" si="4"/>
        <v>131089000</v>
      </c>
      <c r="BF35" s="102">
        <v>999</v>
      </c>
      <c r="BG35" s="103">
        <v>213500</v>
      </c>
      <c r="BH35" s="104">
        <f t="shared" si="5"/>
        <v>213286500</v>
      </c>
    </row>
    <row r="36" spans="1:60" s="6" customFormat="1" ht="31.5" customHeight="1" x14ac:dyDescent="0.25">
      <c r="A36" s="5">
        <v>33</v>
      </c>
      <c r="B36" s="32" t="s">
        <v>72</v>
      </c>
      <c r="C36" s="33" t="s">
        <v>104</v>
      </c>
      <c r="D36" s="22">
        <v>212</v>
      </c>
      <c r="E36" s="42">
        <v>160000</v>
      </c>
      <c r="F36" s="16">
        <f t="shared" si="12"/>
        <v>33241600</v>
      </c>
      <c r="G36" s="7">
        <v>0.02</v>
      </c>
      <c r="H36" s="61">
        <v>99</v>
      </c>
      <c r="I36" s="113">
        <v>228500</v>
      </c>
      <c r="J36" s="62">
        <v>22621500</v>
      </c>
      <c r="K36" s="22"/>
      <c r="L36" s="42"/>
      <c r="M36" s="16"/>
      <c r="N36" s="7"/>
      <c r="O36" s="61">
        <v>206</v>
      </c>
      <c r="P36" s="113">
        <v>216500</v>
      </c>
      <c r="Q36" s="62">
        <v>44599000</v>
      </c>
      <c r="R36" s="27">
        <v>189</v>
      </c>
      <c r="S36" s="42">
        <v>160000</v>
      </c>
      <c r="T36" s="26">
        <f t="shared" si="16"/>
        <v>29635200</v>
      </c>
      <c r="U36" s="7">
        <v>0.02</v>
      </c>
      <c r="V36" s="61">
        <v>189</v>
      </c>
      <c r="W36" s="113">
        <v>216500</v>
      </c>
      <c r="X36" s="62">
        <v>40918500</v>
      </c>
      <c r="Y36" s="27">
        <v>7</v>
      </c>
      <c r="Z36" s="42">
        <v>160000</v>
      </c>
      <c r="AA36" s="26">
        <f t="shared" si="13"/>
        <v>1120000</v>
      </c>
      <c r="AB36" s="61">
        <v>236</v>
      </c>
      <c r="AC36" s="113">
        <v>216500</v>
      </c>
      <c r="AD36" s="62">
        <v>51094000</v>
      </c>
      <c r="AE36" s="27">
        <v>105</v>
      </c>
      <c r="AF36" s="42">
        <v>176000</v>
      </c>
      <c r="AG36" s="26">
        <f t="shared" si="17"/>
        <v>18480000</v>
      </c>
      <c r="AH36" s="61">
        <v>202</v>
      </c>
      <c r="AI36" s="113">
        <v>216500</v>
      </c>
      <c r="AJ36" s="62">
        <v>43733000</v>
      </c>
      <c r="AK36" s="22">
        <v>199</v>
      </c>
      <c r="AL36" s="42">
        <v>176000</v>
      </c>
      <c r="AM36" s="16">
        <f t="shared" si="18"/>
        <v>35024000</v>
      </c>
      <c r="AN36" s="79">
        <v>118</v>
      </c>
      <c r="AO36" s="84">
        <v>216500</v>
      </c>
      <c r="AP36" s="82">
        <f t="shared" si="6"/>
        <v>25547000</v>
      </c>
      <c r="AQ36" s="102">
        <v>140</v>
      </c>
      <c r="AR36" s="103">
        <v>176000</v>
      </c>
      <c r="AS36" s="104">
        <f t="shared" si="14"/>
        <v>24640000</v>
      </c>
      <c r="AT36" s="102">
        <v>210</v>
      </c>
      <c r="AU36" s="103">
        <v>176000</v>
      </c>
      <c r="AV36" s="104">
        <f t="shared" si="19"/>
        <v>36960000</v>
      </c>
      <c r="AW36" s="102">
        <f>15+30</f>
        <v>45</v>
      </c>
      <c r="AX36" s="103" t="s">
        <v>158</v>
      </c>
      <c r="AY36" s="104">
        <f>2910000+6120000</f>
        <v>9030000</v>
      </c>
      <c r="AZ36" s="102">
        <v>37</v>
      </c>
      <c r="BA36" s="103">
        <v>228500</v>
      </c>
      <c r="BB36" s="104">
        <f t="shared" si="3"/>
        <v>8454500</v>
      </c>
      <c r="BC36" s="102">
        <v>83</v>
      </c>
      <c r="BD36" s="103">
        <v>228500</v>
      </c>
      <c r="BE36" s="104">
        <f t="shared" si="4"/>
        <v>18965500</v>
      </c>
      <c r="BF36" s="102">
        <v>50</v>
      </c>
      <c r="BG36" s="103">
        <v>228500</v>
      </c>
      <c r="BH36" s="104">
        <f t="shared" si="5"/>
        <v>11425000</v>
      </c>
    </row>
    <row r="37" spans="1:60" s="6" customFormat="1" ht="31.5" customHeight="1" x14ac:dyDescent="0.25">
      <c r="A37" s="5">
        <v>34</v>
      </c>
      <c r="B37" s="21" t="s">
        <v>66</v>
      </c>
      <c r="C37" s="23" t="s">
        <v>105</v>
      </c>
      <c r="D37" s="22">
        <v>110</v>
      </c>
      <c r="E37" s="42">
        <v>82000</v>
      </c>
      <c r="F37" s="16">
        <f t="shared" si="12"/>
        <v>8839600</v>
      </c>
      <c r="G37" s="7">
        <v>0.02</v>
      </c>
      <c r="H37" s="61">
        <v>60</v>
      </c>
      <c r="I37" s="113">
        <v>128500</v>
      </c>
      <c r="J37" s="62">
        <v>7710000</v>
      </c>
      <c r="K37" s="22"/>
      <c r="L37" s="42"/>
      <c r="M37" s="16"/>
      <c r="N37" s="7"/>
      <c r="O37" s="61"/>
      <c r="P37" s="113"/>
      <c r="Q37" s="62"/>
      <c r="R37" s="27"/>
      <c r="S37" s="42"/>
      <c r="T37" s="26"/>
      <c r="U37" s="7"/>
      <c r="V37" s="61">
        <v>100</v>
      </c>
      <c r="W37" s="113">
        <v>128500</v>
      </c>
      <c r="X37" s="62">
        <v>12850000</v>
      </c>
      <c r="Y37" s="27">
        <v>7</v>
      </c>
      <c r="Z37" s="42">
        <v>82000</v>
      </c>
      <c r="AA37" s="26">
        <f t="shared" si="13"/>
        <v>574000</v>
      </c>
      <c r="AB37" s="61">
        <v>87</v>
      </c>
      <c r="AC37" s="113">
        <v>128500</v>
      </c>
      <c r="AD37" s="62">
        <v>11179500</v>
      </c>
      <c r="AE37" s="27">
        <v>130</v>
      </c>
      <c r="AF37" s="42">
        <v>91900</v>
      </c>
      <c r="AG37" s="26">
        <f t="shared" si="17"/>
        <v>11947000</v>
      </c>
      <c r="AH37" s="61">
        <v>43</v>
      </c>
      <c r="AI37" s="113">
        <v>128500</v>
      </c>
      <c r="AJ37" s="62">
        <v>5525500</v>
      </c>
      <c r="AK37" s="22"/>
      <c r="AL37" s="42"/>
      <c r="AM37" s="16"/>
      <c r="AN37" s="79">
        <v>20</v>
      </c>
      <c r="AO37" s="84">
        <v>128500</v>
      </c>
      <c r="AP37" s="82">
        <f t="shared" si="6"/>
        <v>2570000</v>
      </c>
      <c r="AQ37" s="102">
        <v>113</v>
      </c>
      <c r="AR37" s="103">
        <v>91900</v>
      </c>
      <c r="AS37" s="104">
        <f t="shared" si="14"/>
        <v>10384700</v>
      </c>
      <c r="AT37" s="102"/>
      <c r="AU37" s="103"/>
      <c r="AV37" s="104"/>
      <c r="AW37" s="102">
        <f>20+80</f>
        <v>100</v>
      </c>
      <c r="AX37" s="103" t="s">
        <v>159</v>
      </c>
      <c r="AY37" s="104">
        <f>2040000+8560000</f>
        <v>10600000</v>
      </c>
      <c r="AZ37" s="102"/>
      <c r="BA37" s="103"/>
      <c r="BB37" s="104"/>
      <c r="BC37" s="102">
        <v>100</v>
      </c>
      <c r="BD37" s="103">
        <v>128500</v>
      </c>
      <c r="BE37" s="104">
        <f t="shared" si="4"/>
        <v>12850000</v>
      </c>
      <c r="BF37" s="102">
        <v>40</v>
      </c>
      <c r="BG37" s="103">
        <v>128500</v>
      </c>
      <c r="BH37" s="104">
        <f t="shared" si="5"/>
        <v>5140000</v>
      </c>
    </row>
    <row r="38" spans="1:60" s="6" customFormat="1" ht="31.5" customHeight="1" x14ac:dyDescent="0.25">
      <c r="A38" s="94">
        <v>35</v>
      </c>
      <c r="B38" s="93" t="s">
        <v>73</v>
      </c>
      <c r="C38" s="95" t="s">
        <v>25</v>
      </c>
      <c r="D38" s="22"/>
      <c r="E38" s="42"/>
      <c r="F38" s="16"/>
      <c r="G38" s="7"/>
      <c r="H38" s="61">
        <v>95</v>
      </c>
      <c r="I38" s="113">
        <v>247000</v>
      </c>
      <c r="J38" s="62">
        <v>23465000</v>
      </c>
      <c r="K38" s="22"/>
      <c r="L38" s="42"/>
      <c r="M38" s="16"/>
      <c r="N38" s="7"/>
      <c r="O38" s="61">
        <f>1+55</f>
        <v>56</v>
      </c>
      <c r="P38" s="113" t="s">
        <v>169</v>
      </c>
      <c r="Q38" s="62">
        <f>177000+13585000</f>
        <v>13762000</v>
      </c>
      <c r="R38" s="27"/>
      <c r="S38" s="42"/>
      <c r="T38" s="26"/>
      <c r="U38" s="7"/>
      <c r="V38" s="61">
        <v>34</v>
      </c>
      <c r="W38" s="113">
        <v>247000</v>
      </c>
      <c r="X38" s="62">
        <v>8398000</v>
      </c>
      <c r="Y38" s="27"/>
      <c r="Z38" s="42"/>
      <c r="AA38" s="26"/>
      <c r="AB38" s="61">
        <v>39</v>
      </c>
      <c r="AC38" s="113">
        <v>247000</v>
      </c>
      <c r="AD38" s="62">
        <v>9633000</v>
      </c>
      <c r="AE38" s="27"/>
      <c r="AF38" s="42"/>
      <c r="AG38" s="26"/>
      <c r="AH38" s="61">
        <v>49</v>
      </c>
      <c r="AI38" s="113">
        <v>247000</v>
      </c>
      <c r="AJ38" s="62">
        <v>12103000</v>
      </c>
      <c r="AK38" s="22">
        <v>87</v>
      </c>
      <c r="AL38" s="42">
        <v>191200</v>
      </c>
      <c r="AM38" s="16">
        <f>AK38*AL38</f>
        <v>16634400</v>
      </c>
      <c r="AN38" s="80">
        <v>28</v>
      </c>
      <c r="AO38" s="86">
        <v>247000</v>
      </c>
      <c r="AP38" s="82">
        <f t="shared" si="6"/>
        <v>6916000</v>
      </c>
      <c r="AQ38" s="102">
        <v>3</v>
      </c>
      <c r="AR38" s="103">
        <v>191200</v>
      </c>
      <c r="AS38" s="104">
        <f t="shared" si="14"/>
        <v>573600</v>
      </c>
      <c r="AT38" s="102">
        <v>110</v>
      </c>
      <c r="AU38" s="103">
        <v>191200</v>
      </c>
      <c r="AV38" s="104">
        <f>AT38*AU38</f>
        <v>21032000</v>
      </c>
      <c r="AW38" s="102">
        <v>20</v>
      </c>
      <c r="AX38" s="103">
        <v>220500</v>
      </c>
      <c r="AY38" s="104">
        <f t="shared" si="15"/>
        <v>4410000</v>
      </c>
      <c r="AZ38" s="102"/>
      <c r="BA38" s="103"/>
      <c r="BB38" s="104"/>
      <c r="BC38" s="102">
        <v>100</v>
      </c>
      <c r="BD38" s="103">
        <v>247000</v>
      </c>
      <c r="BE38" s="104">
        <f t="shared" si="4"/>
        <v>24700000</v>
      </c>
      <c r="BF38" s="102">
        <v>50</v>
      </c>
      <c r="BG38" s="103">
        <v>247000</v>
      </c>
      <c r="BH38" s="104">
        <f t="shared" si="5"/>
        <v>12350000</v>
      </c>
    </row>
    <row r="39" spans="1:60" s="6" customFormat="1" ht="31.5" customHeight="1" x14ac:dyDescent="0.25">
      <c r="A39" s="5">
        <v>36</v>
      </c>
      <c r="B39" s="21" t="s">
        <v>49</v>
      </c>
      <c r="C39" s="15" t="s">
        <v>106</v>
      </c>
      <c r="D39" s="22">
        <v>410</v>
      </c>
      <c r="E39" s="42">
        <v>183000</v>
      </c>
      <c r="F39" s="16">
        <f>D39*E39*98%</f>
        <v>73529400</v>
      </c>
      <c r="G39" s="7">
        <v>0.02</v>
      </c>
      <c r="H39" s="61">
        <v>350</v>
      </c>
      <c r="I39" s="113">
        <v>256000</v>
      </c>
      <c r="J39" s="62">
        <v>89600000</v>
      </c>
      <c r="K39" s="22">
        <v>297</v>
      </c>
      <c r="L39" s="42">
        <v>183000</v>
      </c>
      <c r="M39" s="16">
        <f>K39*L39*98%</f>
        <v>53263980</v>
      </c>
      <c r="N39" s="7">
        <v>0.02</v>
      </c>
      <c r="O39" s="61">
        <v>220</v>
      </c>
      <c r="P39" s="113">
        <v>256000</v>
      </c>
      <c r="Q39" s="62">
        <v>56320000</v>
      </c>
      <c r="R39" s="29">
        <f>228-2</f>
        <v>226</v>
      </c>
      <c r="S39" s="42">
        <v>183000</v>
      </c>
      <c r="T39" s="26">
        <f>R39*S39*98%</f>
        <v>40530840</v>
      </c>
      <c r="U39" s="7">
        <v>0.02</v>
      </c>
      <c r="V39" s="61">
        <v>250</v>
      </c>
      <c r="W39" s="113">
        <v>256000</v>
      </c>
      <c r="X39" s="62">
        <v>64000000</v>
      </c>
      <c r="Y39" s="27">
        <v>55</v>
      </c>
      <c r="Z39" s="42">
        <v>183000</v>
      </c>
      <c r="AA39" s="26">
        <f>Y39*Z39</f>
        <v>10065000</v>
      </c>
      <c r="AB39" s="61">
        <v>237</v>
      </c>
      <c r="AC39" s="113">
        <v>256000</v>
      </c>
      <c r="AD39" s="62">
        <v>60672000</v>
      </c>
      <c r="AE39" s="27">
        <v>400</v>
      </c>
      <c r="AF39" s="42">
        <v>197700</v>
      </c>
      <c r="AG39" s="26">
        <f>AE39*AF39</f>
        <v>79080000</v>
      </c>
      <c r="AH39" s="61">
        <v>191</v>
      </c>
      <c r="AI39" s="113">
        <v>256000</v>
      </c>
      <c r="AJ39" s="62">
        <v>48896000</v>
      </c>
      <c r="AK39" s="22">
        <v>185</v>
      </c>
      <c r="AL39" s="42">
        <v>197700</v>
      </c>
      <c r="AM39" s="16">
        <f>AK39*AL39</f>
        <v>36574500</v>
      </c>
      <c r="AN39" s="79">
        <v>152</v>
      </c>
      <c r="AO39" s="84">
        <v>256000</v>
      </c>
      <c r="AP39" s="82">
        <f t="shared" si="6"/>
        <v>38912000</v>
      </c>
      <c r="AQ39" s="102">
        <v>80</v>
      </c>
      <c r="AR39" s="103">
        <v>197700</v>
      </c>
      <c r="AS39" s="104">
        <f t="shared" si="14"/>
        <v>15816000</v>
      </c>
      <c r="AT39" s="102">
        <v>210</v>
      </c>
      <c r="AU39" s="103">
        <v>197700</v>
      </c>
      <c r="AV39" s="104">
        <f>AT39*AU39</f>
        <v>41517000</v>
      </c>
      <c r="AW39" s="102">
        <v>50</v>
      </c>
      <c r="AX39" s="103">
        <v>228500</v>
      </c>
      <c r="AY39" s="104">
        <f t="shared" si="15"/>
        <v>11425000</v>
      </c>
      <c r="AZ39" s="102">
        <v>77</v>
      </c>
      <c r="BA39" s="103">
        <v>256000</v>
      </c>
      <c r="BB39" s="104">
        <f t="shared" si="3"/>
        <v>19712000</v>
      </c>
      <c r="BC39" s="102">
        <v>260</v>
      </c>
      <c r="BD39" s="103">
        <v>256000</v>
      </c>
      <c r="BE39" s="104">
        <f t="shared" si="4"/>
        <v>66560000</v>
      </c>
      <c r="BF39" s="102">
        <v>320</v>
      </c>
      <c r="BG39" s="103">
        <v>256000</v>
      </c>
      <c r="BH39" s="104">
        <f t="shared" si="5"/>
        <v>81920000</v>
      </c>
    </row>
    <row r="40" spans="1:60" s="6" customFormat="1" ht="31.5" customHeight="1" x14ac:dyDescent="0.25">
      <c r="A40" s="5">
        <v>37</v>
      </c>
      <c r="B40" s="21" t="s">
        <v>74</v>
      </c>
      <c r="C40" s="15" t="s">
        <v>107</v>
      </c>
      <c r="D40" s="22"/>
      <c r="E40" s="42"/>
      <c r="F40" s="16"/>
      <c r="G40" s="7"/>
      <c r="H40" s="61">
        <v>19</v>
      </c>
      <c r="I40" s="113">
        <v>257500</v>
      </c>
      <c r="J40" s="62">
        <v>4892500</v>
      </c>
      <c r="K40" s="22"/>
      <c r="L40" s="42"/>
      <c r="M40" s="16"/>
      <c r="N40" s="7"/>
      <c r="O40" s="61">
        <v>31</v>
      </c>
      <c r="P40" s="113">
        <v>257500</v>
      </c>
      <c r="Q40" s="62">
        <v>7982500</v>
      </c>
      <c r="R40" s="29"/>
      <c r="S40" s="42"/>
      <c r="T40" s="26"/>
      <c r="U40" s="7"/>
      <c r="V40" s="61">
        <v>73</v>
      </c>
      <c r="W40" s="113">
        <v>257500</v>
      </c>
      <c r="X40" s="62">
        <v>18797500</v>
      </c>
      <c r="Y40" s="27"/>
      <c r="Z40" s="42"/>
      <c r="AA40" s="26"/>
      <c r="AB40" s="61"/>
      <c r="AC40" s="113"/>
      <c r="AD40" s="62"/>
      <c r="AE40" s="27"/>
      <c r="AF40" s="42"/>
      <c r="AG40" s="26"/>
      <c r="AH40" s="61">
        <v>57</v>
      </c>
      <c r="AI40" s="113">
        <v>257500</v>
      </c>
      <c r="AJ40" s="62">
        <v>14677500</v>
      </c>
      <c r="AK40" s="22">
        <v>139</v>
      </c>
      <c r="AL40" s="42">
        <v>198800</v>
      </c>
      <c r="AM40" s="16">
        <f>AK40*AL40</f>
        <v>27633200</v>
      </c>
      <c r="AN40" s="79">
        <v>50</v>
      </c>
      <c r="AO40" s="84">
        <v>257500</v>
      </c>
      <c r="AP40" s="82">
        <f t="shared" si="6"/>
        <v>12875000</v>
      </c>
      <c r="AQ40" s="102">
        <v>40</v>
      </c>
      <c r="AR40" s="103">
        <v>198800</v>
      </c>
      <c r="AS40" s="104">
        <f t="shared" si="14"/>
        <v>7952000</v>
      </c>
      <c r="AT40" s="102">
        <v>56</v>
      </c>
      <c r="AU40" s="103">
        <v>198800</v>
      </c>
      <c r="AV40" s="104">
        <f>AT40*AU40</f>
        <v>11132800</v>
      </c>
      <c r="AW40" s="102"/>
      <c r="AX40" s="103"/>
      <c r="AY40" s="104"/>
      <c r="AZ40" s="102"/>
      <c r="BA40" s="103"/>
      <c r="BB40" s="104"/>
      <c r="BC40" s="102">
        <v>40</v>
      </c>
      <c r="BD40" s="103">
        <v>257500</v>
      </c>
      <c r="BE40" s="104">
        <f t="shared" si="4"/>
        <v>10300000</v>
      </c>
      <c r="BF40" s="102">
        <v>30</v>
      </c>
      <c r="BG40" s="103">
        <v>257500</v>
      </c>
      <c r="BH40" s="104">
        <f t="shared" si="5"/>
        <v>7725000</v>
      </c>
    </row>
    <row r="41" spans="1:60" s="6" customFormat="1" ht="31.5" customHeight="1" x14ac:dyDescent="0.25">
      <c r="A41" s="94">
        <v>38</v>
      </c>
      <c r="B41" s="93" t="s">
        <v>76</v>
      </c>
      <c r="C41" s="95" t="s">
        <v>27</v>
      </c>
      <c r="D41" s="22"/>
      <c r="E41" s="42"/>
      <c r="F41" s="16"/>
      <c r="G41" s="7"/>
      <c r="H41" s="61">
        <v>58</v>
      </c>
      <c r="I41" s="113">
        <v>279000</v>
      </c>
      <c r="J41" s="62">
        <v>16182000</v>
      </c>
      <c r="K41" s="22">
        <v>68</v>
      </c>
      <c r="L41" s="42">
        <v>194500</v>
      </c>
      <c r="M41" s="16">
        <f t="shared" ref="M41:M47" si="21">K41*L41*98%</f>
        <v>12961480</v>
      </c>
      <c r="N41" s="7">
        <v>0.02</v>
      </c>
      <c r="O41" s="61">
        <f>1+19</f>
        <v>20</v>
      </c>
      <c r="P41" s="113" t="s">
        <v>170</v>
      </c>
      <c r="Q41" s="62">
        <f>194500+5301000</f>
        <v>5495500</v>
      </c>
      <c r="R41" s="29">
        <f>2-1</f>
        <v>1</v>
      </c>
      <c r="S41" s="48">
        <v>194500</v>
      </c>
      <c r="T41" s="26">
        <f t="shared" ref="T41:T47" si="22">R41*S41*98%</f>
        <v>190610</v>
      </c>
      <c r="U41" s="7">
        <v>0.02</v>
      </c>
      <c r="V41" s="61"/>
      <c r="W41" s="113"/>
      <c r="X41" s="62"/>
      <c r="Y41" s="27"/>
      <c r="Z41" s="42"/>
      <c r="AA41" s="26"/>
      <c r="AB41" s="61">
        <v>23</v>
      </c>
      <c r="AC41" s="113">
        <v>279000</v>
      </c>
      <c r="AD41" s="62">
        <v>6417000</v>
      </c>
      <c r="AE41" s="27"/>
      <c r="AF41" s="42"/>
      <c r="AG41" s="26"/>
      <c r="AH41" s="73"/>
      <c r="AI41" s="118"/>
      <c r="AJ41" s="119"/>
      <c r="AK41" s="22">
        <v>20</v>
      </c>
      <c r="AL41" s="42">
        <v>210100</v>
      </c>
      <c r="AM41" s="16">
        <f>AK41*AL41</f>
        <v>4202000</v>
      </c>
      <c r="AN41" s="80">
        <v>70</v>
      </c>
      <c r="AO41" s="86">
        <v>279000</v>
      </c>
      <c r="AP41" s="82">
        <f t="shared" si="6"/>
        <v>19530000</v>
      </c>
      <c r="AQ41" s="102">
        <v>60</v>
      </c>
      <c r="AR41" s="103">
        <v>210100</v>
      </c>
      <c r="AS41" s="104">
        <f t="shared" si="14"/>
        <v>12606000</v>
      </c>
      <c r="AT41" s="102">
        <v>70</v>
      </c>
      <c r="AU41" s="103">
        <v>210100</v>
      </c>
      <c r="AV41" s="104">
        <f>AT41*AU41</f>
        <v>14707000</v>
      </c>
      <c r="AW41" s="102"/>
      <c r="AX41" s="103"/>
      <c r="AY41" s="104"/>
      <c r="AZ41" s="102"/>
      <c r="BA41" s="103"/>
      <c r="BB41" s="104"/>
      <c r="BC41" s="102"/>
      <c r="BD41" s="103"/>
      <c r="BE41" s="104"/>
      <c r="BF41" s="102"/>
      <c r="BG41" s="103"/>
      <c r="BH41" s="104"/>
    </row>
    <row r="42" spans="1:60" s="6" customFormat="1" ht="31.5" customHeight="1" x14ac:dyDescent="0.25">
      <c r="A42" s="94">
        <v>39</v>
      </c>
      <c r="B42" s="93" t="s">
        <v>75</v>
      </c>
      <c r="C42" s="96" t="s">
        <v>108</v>
      </c>
      <c r="D42" s="22">
        <v>44</v>
      </c>
      <c r="E42" s="42">
        <v>186000</v>
      </c>
      <c r="F42" s="16">
        <f>D42*E42*98%</f>
        <v>8020320</v>
      </c>
      <c r="G42" s="7">
        <v>0.02</v>
      </c>
      <c r="H42" s="61">
        <v>20</v>
      </c>
      <c r="I42" s="113">
        <v>259500</v>
      </c>
      <c r="J42" s="62">
        <v>5190000</v>
      </c>
      <c r="K42" s="22">
        <v>20</v>
      </c>
      <c r="L42" s="42">
        <v>186000</v>
      </c>
      <c r="M42" s="16">
        <f t="shared" si="21"/>
        <v>3645600</v>
      </c>
      <c r="N42" s="7">
        <v>0.02</v>
      </c>
      <c r="O42" s="61">
        <f>1+21</f>
        <v>22</v>
      </c>
      <c r="P42" s="113" t="s">
        <v>171</v>
      </c>
      <c r="Q42" s="62">
        <f>186000+5449500</f>
        <v>5635500</v>
      </c>
      <c r="R42" s="27">
        <v>102</v>
      </c>
      <c r="S42" s="42">
        <v>186000</v>
      </c>
      <c r="T42" s="26">
        <f t="shared" si="22"/>
        <v>18592560</v>
      </c>
      <c r="U42" s="7">
        <v>0.02</v>
      </c>
      <c r="V42" s="61">
        <v>50</v>
      </c>
      <c r="W42" s="113">
        <v>259500</v>
      </c>
      <c r="X42" s="62">
        <v>12975000</v>
      </c>
      <c r="Y42" s="27"/>
      <c r="Z42" s="42"/>
      <c r="AA42" s="26"/>
      <c r="AB42" s="61"/>
      <c r="AC42" s="113"/>
      <c r="AD42" s="62"/>
      <c r="AE42" s="27"/>
      <c r="AF42" s="42"/>
      <c r="AG42" s="26"/>
      <c r="AH42" s="73"/>
      <c r="AI42" s="118"/>
      <c r="AJ42" s="119"/>
      <c r="AK42" s="22"/>
      <c r="AL42" s="42"/>
      <c r="AM42" s="16"/>
      <c r="AN42" s="80">
        <v>10</v>
      </c>
      <c r="AO42" s="86">
        <v>259500</v>
      </c>
      <c r="AP42" s="82">
        <f t="shared" si="6"/>
        <v>2595000</v>
      </c>
      <c r="AQ42" s="102"/>
      <c r="AR42" s="103"/>
      <c r="AS42" s="104"/>
      <c r="AT42" s="102"/>
      <c r="AU42" s="103"/>
      <c r="AV42" s="104"/>
      <c r="AW42" s="102"/>
      <c r="AX42" s="103"/>
      <c r="AY42" s="104"/>
      <c r="AZ42" s="102">
        <v>100</v>
      </c>
      <c r="BA42" s="103">
        <v>259500</v>
      </c>
      <c r="BB42" s="104">
        <f t="shared" si="3"/>
        <v>25950000</v>
      </c>
      <c r="BC42" s="102">
        <v>40</v>
      </c>
      <c r="BD42" s="103">
        <v>259500</v>
      </c>
      <c r="BE42" s="104">
        <f t="shared" si="4"/>
        <v>10380000</v>
      </c>
      <c r="BF42" s="102">
        <v>19</v>
      </c>
      <c r="BG42" s="103">
        <v>259500</v>
      </c>
      <c r="BH42" s="104">
        <f t="shared" si="5"/>
        <v>4930500</v>
      </c>
    </row>
    <row r="43" spans="1:60" s="6" customFormat="1" ht="31.5" customHeight="1" x14ac:dyDescent="0.25">
      <c r="A43" s="5">
        <v>40</v>
      </c>
      <c r="B43" s="21" t="s">
        <v>50</v>
      </c>
      <c r="C43" s="15" t="s">
        <v>88</v>
      </c>
      <c r="D43" s="22">
        <v>128</v>
      </c>
      <c r="E43" s="42">
        <v>196500</v>
      </c>
      <c r="F43" s="16">
        <f>D43*E43*98%</f>
        <v>24648960</v>
      </c>
      <c r="G43" s="7">
        <v>0.02</v>
      </c>
      <c r="H43" s="61">
        <v>184</v>
      </c>
      <c r="I43" s="113">
        <v>274500</v>
      </c>
      <c r="J43" s="62">
        <v>50508000</v>
      </c>
      <c r="K43" s="22">
        <v>164</v>
      </c>
      <c r="L43" s="42">
        <v>196500</v>
      </c>
      <c r="M43" s="16">
        <f t="shared" si="21"/>
        <v>31581480</v>
      </c>
      <c r="N43" s="7">
        <v>0.02</v>
      </c>
      <c r="O43" s="61">
        <v>156</v>
      </c>
      <c r="P43" s="113">
        <v>274500</v>
      </c>
      <c r="Q43" s="62">
        <v>42822000</v>
      </c>
      <c r="R43" s="27">
        <v>2</v>
      </c>
      <c r="S43" s="42">
        <v>196500</v>
      </c>
      <c r="T43" s="26">
        <f t="shared" si="22"/>
        <v>385140</v>
      </c>
      <c r="U43" s="7">
        <v>0.02</v>
      </c>
      <c r="V43" s="61">
        <v>152</v>
      </c>
      <c r="W43" s="113">
        <v>274500</v>
      </c>
      <c r="X43" s="62">
        <v>41724000</v>
      </c>
      <c r="Y43" s="27"/>
      <c r="Z43" s="42"/>
      <c r="AA43" s="26"/>
      <c r="AB43" s="61">
        <v>147</v>
      </c>
      <c r="AC43" s="113">
        <v>274500</v>
      </c>
      <c r="AD43" s="62">
        <v>40351500</v>
      </c>
      <c r="AE43" s="27">
        <v>66</v>
      </c>
      <c r="AF43" s="42">
        <v>212300</v>
      </c>
      <c r="AG43" s="26">
        <f>AE43*AF43</f>
        <v>14011800</v>
      </c>
      <c r="AH43" s="61">
        <v>31</v>
      </c>
      <c r="AI43" s="113">
        <v>274500</v>
      </c>
      <c r="AJ43" s="62">
        <v>8509500</v>
      </c>
      <c r="AK43" s="22">
        <v>134</v>
      </c>
      <c r="AL43" s="42">
        <v>212300</v>
      </c>
      <c r="AM43" s="16">
        <f>AK43*AL43</f>
        <v>28448200</v>
      </c>
      <c r="AN43" s="79">
        <v>100</v>
      </c>
      <c r="AO43" s="84">
        <v>274500</v>
      </c>
      <c r="AP43" s="82">
        <f t="shared" si="6"/>
        <v>27450000</v>
      </c>
      <c r="AQ43" s="102">
        <v>60</v>
      </c>
      <c r="AR43" s="103">
        <v>212300</v>
      </c>
      <c r="AS43" s="104">
        <f>AQ43*AR43</f>
        <v>12738000</v>
      </c>
      <c r="AT43" s="102">
        <v>90</v>
      </c>
      <c r="AU43" s="103">
        <v>212300</v>
      </c>
      <c r="AV43" s="104">
        <f>AT43*AU43</f>
        <v>19107000</v>
      </c>
      <c r="AW43" s="102">
        <f>70+30</f>
        <v>100</v>
      </c>
      <c r="AX43" s="103" t="s">
        <v>160</v>
      </c>
      <c r="AY43" s="104">
        <f>16345000+7350000</f>
        <v>23695000</v>
      </c>
      <c r="AZ43" s="102">
        <v>40</v>
      </c>
      <c r="BA43" s="103">
        <v>274500</v>
      </c>
      <c r="BB43" s="104">
        <f t="shared" si="3"/>
        <v>10980000</v>
      </c>
      <c r="BC43" s="102">
        <v>64</v>
      </c>
      <c r="BD43" s="103">
        <v>274500</v>
      </c>
      <c r="BE43" s="104">
        <f t="shared" si="4"/>
        <v>17568000</v>
      </c>
      <c r="BF43" s="102">
        <v>166</v>
      </c>
      <c r="BG43" s="103">
        <v>274500</v>
      </c>
      <c r="BH43" s="104">
        <f t="shared" si="5"/>
        <v>45567000</v>
      </c>
    </row>
    <row r="44" spans="1:60" s="6" customFormat="1" ht="31.5" customHeight="1" x14ac:dyDescent="0.25">
      <c r="A44" s="5">
        <v>41</v>
      </c>
      <c r="B44" s="21" t="s">
        <v>77</v>
      </c>
      <c r="C44" s="15" t="s">
        <v>109</v>
      </c>
      <c r="D44" s="22">
        <v>16</v>
      </c>
      <c r="E44" s="42">
        <v>202000</v>
      </c>
      <c r="F44" s="16">
        <f>D44*E44*98%</f>
        <v>3167360</v>
      </c>
      <c r="G44" s="7">
        <v>0.02</v>
      </c>
      <c r="H44" s="61">
        <v>42</v>
      </c>
      <c r="I44" s="113">
        <v>282000</v>
      </c>
      <c r="J44" s="62">
        <v>11844000</v>
      </c>
      <c r="K44" s="22">
        <v>76</v>
      </c>
      <c r="L44" s="42">
        <v>202000</v>
      </c>
      <c r="M44" s="16">
        <f t="shared" si="21"/>
        <v>15044960</v>
      </c>
      <c r="N44" s="7">
        <v>0.02</v>
      </c>
      <c r="O44" s="61">
        <v>1</v>
      </c>
      <c r="P44" s="113">
        <v>202000</v>
      </c>
      <c r="Q44" s="62">
        <v>202000</v>
      </c>
      <c r="R44" s="27">
        <v>60</v>
      </c>
      <c r="S44" s="42">
        <v>202000</v>
      </c>
      <c r="T44" s="26">
        <f t="shared" si="22"/>
        <v>11877600</v>
      </c>
      <c r="U44" s="7">
        <v>0.02</v>
      </c>
      <c r="V44" s="61">
        <v>46</v>
      </c>
      <c r="W44" s="113">
        <v>282000</v>
      </c>
      <c r="X44" s="62">
        <v>12972000</v>
      </c>
      <c r="Y44" s="27">
        <v>200</v>
      </c>
      <c r="Z44" s="42">
        <v>202000</v>
      </c>
      <c r="AA44" s="26">
        <f>Y44*Z44</f>
        <v>40400000</v>
      </c>
      <c r="AB44" s="61"/>
      <c r="AC44" s="113"/>
      <c r="AD44" s="62"/>
      <c r="AE44" s="27">
        <v>35</v>
      </c>
      <c r="AF44" s="42">
        <v>218200</v>
      </c>
      <c r="AG44" s="26">
        <f>AE44*AF44</f>
        <v>7637000</v>
      </c>
      <c r="AH44" s="73"/>
      <c r="AI44" s="118"/>
      <c r="AJ44" s="119"/>
      <c r="AK44" s="22"/>
      <c r="AL44" s="42"/>
      <c r="AM44" s="16"/>
      <c r="AN44" s="80">
        <v>44</v>
      </c>
      <c r="AO44" s="86">
        <v>282000</v>
      </c>
      <c r="AP44" s="82">
        <f t="shared" si="6"/>
        <v>12408000</v>
      </c>
      <c r="AQ44" s="102"/>
      <c r="AR44" s="103"/>
      <c r="AS44" s="104"/>
      <c r="AT44" s="102"/>
      <c r="AU44" s="103"/>
      <c r="AV44" s="104"/>
      <c r="AW44" s="102"/>
      <c r="AX44" s="103"/>
      <c r="AY44" s="104"/>
      <c r="AZ44" s="102">
        <v>30</v>
      </c>
      <c r="BA44" s="103">
        <v>282000</v>
      </c>
      <c r="BB44" s="104">
        <f t="shared" si="3"/>
        <v>8460000</v>
      </c>
      <c r="BC44" s="102">
        <v>29</v>
      </c>
      <c r="BD44" s="103">
        <v>282000</v>
      </c>
      <c r="BE44" s="104">
        <f t="shared" si="4"/>
        <v>8178000</v>
      </c>
      <c r="BF44" s="102">
        <v>49</v>
      </c>
      <c r="BG44" s="103">
        <v>282000</v>
      </c>
      <c r="BH44" s="104">
        <f t="shared" si="5"/>
        <v>13818000</v>
      </c>
    </row>
    <row r="45" spans="1:60" s="6" customFormat="1" ht="31.5" customHeight="1" x14ac:dyDescent="0.25">
      <c r="A45" s="5">
        <v>42</v>
      </c>
      <c r="B45" s="21" t="s">
        <v>69</v>
      </c>
      <c r="C45" s="15" t="s">
        <v>110</v>
      </c>
      <c r="D45" s="22"/>
      <c r="E45" s="42"/>
      <c r="F45" s="16"/>
      <c r="G45" s="7"/>
      <c r="H45" s="61">
        <v>168</v>
      </c>
      <c r="I45" s="113">
        <v>122000</v>
      </c>
      <c r="J45" s="62">
        <v>20496000</v>
      </c>
      <c r="K45" s="22">
        <v>150</v>
      </c>
      <c r="L45" s="42">
        <v>83000</v>
      </c>
      <c r="M45" s="16">
        <f t="shared" si="21"/>
        <v>12201000</v>
      </c>
      <c r="N45" s="7">
        <v>0.02</v>
      </c>
      <c r="O45" s="61">
        <v>357</v>
      </c>
      <c r="P45" s="113">
        <v>122000</v>
      </c>
      <c r="Q45" s="62">
        <v>43554000</v>
      </c>
      <c r="R45" s="27">
        <v>340</v>
      </c>
      <c r="S45" s="42">
        <v>83000</v>
      </c>
      <c r="T45" s="26">
        <f t="shared" si="22"/>
        <v>27655600</v>
      </c>
      <c r="U45" s="7">
        <v>0.02</v>
      </c>
      <c r="V45" s="61">
        <v>248</v>
      </c>
      <c r="W45" s="113">
        <v>122000</v>
      </c>
      <c r="X45" s="62">
        <v>30256000</v>
      </c>
      <c r="Y45" s="27">
        <v>151</v>
      </c>
      <c r="Z45" s="42">
        <v>83000</v>
      </c>
      <c r="AA45" s="26">
        <f>Y45*Z45</f>
        <v>12533000</v>
      </c>
      <c r="AB45" s="61">
        <v>162</v>
      </c>
      <c r="AC45" s="113">
        <v>122000</v>
      </c>
      <c r="AD45" s="62">
        <v>19764000</v>
      </c>
      <c r="AE45" s="27">
        <v>217</v>
      </c>
      <c r="AF45" s="42">
        <v>91300</v>
      </c>
      <c r="AG45" s="26">
        <f>AE45*AF45</f>
        <v>19812100</v>
      </c>
      <c r="AH45" s="61">
        <v>470</v>
      </c>
      <c r="AI45" s="113">
        <v>122000</v>
      </c>
      <c r="AJ45" s="62">
        <v>57340000</v>
      </c>
      <c r="AK45" s="22">
        <v>272</v>
      </c>
      <c r="AL45" s="42">
        <v>91300</v>
      </c>
      <c r="AM45" s="16">
        <f t="shared" ref="AM45:AM55" si="23">AK45*AL45</f>
        <v>24833600</v>
      </c>
      <c r="AN45" s="79">
        <v>318</v>
      </c>
      <c r="AO45" s="84">
        <v>122000</v>
      </c>
      <c r="AP45" s="82">
        <f t="shared" si="6"/>
        <v>38796000</v>
      </c>
      <c r="AQ45" s="102">
        <v>80</v>
      </c>
      <c r="AR45" s="103">
        <v>91300</v>
      </c>
      <c r="AS45" s="104">
        <f>AQ45*AR45</f>
        <v>7304000</v>
      </c>
      <c r="AT45" s="102">
        <v>80</v>
      </c>
      <c r="AU45" s="103">
        <v>91300</v>
      </c>
      <c r="AV45" s="104">
        <f t="shared" ref="AV45:AV51" si="24">AT45*AU45</f>
        <v>7304000</v>
      </c>
      <c r="AW45" s="102">
        <f>200+350</f>
        <v>550</v>
      </c>
      <c r="AX45" s="103" t="s">
        <v>161</v>
      </c>
      <c r="AY45" s="104">
        <f>20200000+37100000</f>
        <v>57300000</v>
      </c>
      <c r="AZ45" s="102">
        <v>270</v>
      </c>
      <c r="BA45" s="103">
        <v>122000</v>
      </c>
      <c r="BB45" s="104">
        <f t="shared" si="3"/>
        <v>32940000</v>
      </c>
      <c r="BC45" s="102">
        <v>450</v>
      </c>
      <c r="BD45" s="103">
        <v>122000</v>
      </c>
      <c r="BE45" s="104">
        <f t="shared" si="4"/>
        <v>54900000</v>
      </c>
      <c r="BF45" s="102">
        <v>277</v>
      </c>
      <c r="BG45" s="103">
        <v>122000</v>
      </c>
      <c r="BH45" s="104">
        <f t="shared" si="5"/>
        <v>33794000</v>
      </c>
    </row>
    <row r="46" spans="1:60" s="6" customFormat="1" ht="31.5" customHeight="1" x14ac:dyDescent="0.25">
      <c r="A46" s="94">
        <v>43</v>
      </c>
      <c r="B46" s="93" t="s">
        <v>51</v>
      </c>
      <c r="C46" s="95" t="s">
        <v>111</v>
      </c>
      <c r="D46" s="22">
        <v>134</v>
      </c>
      <c r="E46" s="42">
        <v>255000</v>
      </c>
      <c r="F46" s="16">
        <f>D46*E46*98%</f>
        <v>33486600</v>
      </c>
      <c r="G46" s="7">
        <v>0.02</v>
      </c>
      <c r="H46" s="61">
        <v>90</v>
      </c>
      <c r="I46" s="113">
        <v>363500</v>
      </c>
      <c r="J46" s="62">
        <v>32715000</v>
      </c>
      <c r="K46" s="22">
        <v>72</v>
      </c>
      <c r="L46" s="42">
        <v>255000</v>
      </c>
      <c r="M46" s="16">
        <f t="shared" si="21"/>
        <v>17992800</v>
      </c>
      <c r="N46" s="7">
        <v>0.02</v>
      </c>
      <c r="O46" s="61">
        <f>5+100</f>
        <v>105</v>
      </c>
      <c r="P46" s="113" t="s">
        <v>172</v>
      </c>
      <c r="Q46" s="62">
        <f>1275000+36350000</f>
        <v>37625000</v>
      </c>
      <c r="R46" s="27">
        <v>52</v>
      </c>
      <c r="S46" s="42">
        <v>255000</v>
      </c>
      <c r="T46" s="26">
        <f t="shared" si="22"/>
        <v>12994800</v>
      </c>
      <c r="U46" s="7">
        <v>0.02</v>
      </c>
      <c r="V46" s="61">
        <v>130</v>
      </c>
      <c r="W46" s="113">
        <v>363500</v>
      </c>
      <c r="X46" s="62">
        <v>47255000</v>
      </c>
      <c r="Y46" s="27"/>
      <c r="Z46" s="42"/>
      <c r="AA46" s="26"/>
      <c r="AB46" s="61">
        <v>88</v>
      </c>
      <c r="AC46" s="113">
        <v>363500</v>
      </c>
      <c r="AD46" s="62">
        <v>31988000</v>
      </c>
      <c r="AE46" s="27">
        <v>100</v>
      </c>
      <c r="AF46" s="42">
        <v>272900</v>
      </c>
      <c r="AG46" s="26">
        <f>AE46*AF46</f>
        <v>27290000</v>
      </c>
      <c r="AH46" s="73"/>
      <c r="AI46" s="118"/>
      <c r="AJ46" s="119"/>
      <c r="AK46" s="22">
        <v>100</v>
      </c>
      <c r="AL46" s="42">
        <v>272900</v>
      </c>
      <c r="AM46" s="16">
        <f t="shared" si="23"/>
        <v>27290000</v>
      </c>
      <c r="AN46" s="80">
        <v>112</v>
      </c>
      <c r="AO46" s="86">
        <v>363500</v>
      </c>
      <c r="AP46" s="82">
        <f t="shared" si="6"/>
        <v>40712000</v>
      </c>
      <c r="AQ46" s="102"/>
      <c r="AR46" s="103"/>
      <c r="AS46" s="104"/>
      <c r="AT46" s="102">
        <v>40</v>
      </c>
      <c r="AU46" s="103">
        <v>272900</v>
      </c>
      <c r="AV46" s="104">
        <f t="shared" si="24"/>
        <v>10916000</v>
      </c>
      <c r="AW46" s="102">
        <v>20</v>
      </c>
      <c r="AX46" s="103">
        <v>316000</v>
      </c>
      <c r="AY46" s="104">
        <f t="shared" si="15"/>
        <v>6320000</v>
      </c>
      <c r="AZ46" s="102"/>
      <c r="BA46" s="103"/>
      <c r="BB46" s="104"/>
      <c r="BC46" s="102">
        <v>120</v>
      </c>
      <c r="BD46" s="103">
        <v>363500</v>
      </c>
      <c r="BE46" s="104">
        <f t="shared" si="4"/>
        <v>43620000</v>
      </c>
      <c r="BF46" s="102">
        <v>50</v>
      </c>
      <c r="BG46" s="103">
        <v>363500</v>
      </c>
      <c r="BH46" s="104">
        <f t="shared" si="5"/>
        <v>18175000</v>
      </c>
    </row>
    <row r="47" spans="1:60" s="6" customFormat="1" ht="31.5" customHeight="1" x14ac:dyDescent="0.25">
      <c r="A47" s="5">
        <v>44</v>
      </c>
      <c r="B47" s="21" t="s">
        <v>78</v>
      </c>
      <c r="C47" s="15" t="s">
        <v>112</v>
      </c>
      <c r="D47" s="22">
        <v>71</v>
      </c>
      <c r="E47" s="42">
        <v>239000</v>
      </c>
      <c r="F47" s="16">
        <f>D47*E47*98%</f>
        <v>16629620</v>
      </c>
      <c r="G47" s="7">
        <v>0.02</v>
      </c>
      <c r="H47" s="61">
        <v>49</v>
      </c>
      <c r="I47" s="113">
        <v>340500</v>
      </c>
      <c r="J47" s="62">
        <v>16684500</v>
      </c>
      <c r="K47" s="22">
        <v>1</v>
      </c>
      <c r="L47" s="42">
        <v>239000</v>
      </c>
      <c r="M47" s="16">
        <f t="shared" si="21"/>
        <v>234220</v>
      </c>
      <c r="N47" s="7">
        <v>0.02</v>
      </c>
      <c r="O47" s="61">
        <v>40</v>
      </c>
      <c r="P47" s="113">
        <v>340500</v>
      </c>
      <c r="Q47" s="62">
        <v>13620000</v>
      </c>
      <c r="R47" s="27">
        <v>30</v>
      </c>
      <c r="S47" s="42">
        <v>239000</v>
      </c>
      <c r="T47" s="26">
        <f t="shared" si="22"/>
        <v>7026600</v>
      </c>
      <c r="U47" s="7">
        <v>0.02</v>
      </c>
      <c r="V47" s="61">
        <v>50</v>
      </c>
      <c r="W47" s="113">
        <v>340500</v>
      </c>
      <c r="X47" s="62">
        <v>17025000</v>
      </c>
      <c r="Y47" s="27"/>
      <c r="Z47" s="42"/>
      <c r="AA47" s="26"/>
      <c r="AB47" s="61">
        <v>43</v>
      </c>
      <c r="AC47" s="113">
        <v>340500</v>
      </c>
      <c r="AD47" s="62">
        <v>14641500</v>
      </c>
      <c r="AE47" s="27">
        <v>79</v>
      </c>
      <c r="AF47" s="42">
        <v>255800</v>
      </c>
      <c r="AG47" s="26">
        <f>AE47*AF47</f>
        <v>20208200</v>
      </c>
      <c r="AH47" s="61">
        <v>87</v>
      </c>
      <c r="AI47" s="113">
        <v>340500</v>
      </c>
      <c r="AJ47" s="62">
        <v>29623500</v>
      </c>
      <c r="AK47" s="22">
        <v>40</v>
      </c>
      <c r="AL47" s="42">
        <v>255800</v>
      </c>
      <c r="AM47" s="16">
        <f t="shared" si="23"/>
        <v>10232000</v>
      </c>
      <c r="AN47" s="79">
        <v>100</v>
      </c>
      <c r="AO47" s="84">
        <v>340500</v>
      </c>
      <c r="AP47" s="82">
        <f t="shared" si="6"/>
        <v>34050000</v>
      </c>
      <c r="AQ47" s="102"/>
      <c r="AR47" s="103"/>
      <c r="AS47" s="104"/>
      <c r="AT47" s="102">
        <v>99</v>
      </c>
      <c r="AU47" s="103">
        <v>255800</v>
      </c>
      <c r="AV47" s="104">
        <f t="shared" si="24"/>
        <v>25324200</v>
      </c>
      <c r="AW47" s="102"/>
      <c r="AX47" s="103"/>
      <c r="AY47" s="104"/>
      <c r="AZ47" s="102"/>
      <c r="BA47" s="103"/>
      <c r="BB47" s="104"/>
      <c r="BC47" s="102">
        <v>40</v>
      </c>
      <c r="BD47" s="103">
        <v>340500</v>
      </c>
      <c r="BE47" s="104">
        <f t="shared" si="4"/>
        <v>13620000</v>
      </c>
      <c r="BF47" s="102">
        <v>50</v>
      </c>
      <c r="BG47" s="103">
        <v>340500</v>
      </c>
      <c r="BH47" s="104">
        <f t="shared" si="5"/>
        <v>17025000</v>
      </c>
    </row>
    <row r="48" spans="1:60" s="6" customFormat="1" ht="31.5" customHeight="1" x14ac:dyDescent="0.25">
      <c r="A48" s="94">
        <v>45</v>
      </c>
      <c r="B48" s="93" t="s">
        <v>52</v>
      </c>
      <c r="C48" s="95" t="s">
        <v>113</v>
      </c>
      <c r="D48" s="22">
        <v>30</v>
      </c>
      <c r="E48" s="42">
        <v>166500</v>
      </c>
      <c r="F48" s="16">
        <f>D48*E48*88%</f>
        <v>4395600</v>
      </c>
      <c r="G48" s="7">
        <v>0.12</v>
      </c>
      <c r="H48" s="61">
        <v>20</v>
      </c>
      <c r="I48" s="113">
        <v>222000</v>
      </c>
      <c r="J48" s="62">
        <v>4440000</v>
      </c>
      <c r="K48" s="22">
        <v>10</v>
      </c>
      <c r="L48" s="42">
        <v>166500</v>
      </c>
      <c r="M48" s="16">
        <f>K48*L48*88%</f>
        <v>1465200</v>
      </c>
      <c r="N48" s="7">
        <v>0.12</v>
      </c>
      <c r="O48" s="61">
        <f>10+10</f>
        <v>20</v>
      </c>
      <c r="P48" s="113" t="s">
        <v>173</v>
      </c>
      <c r="Q48" s="62">
        <f>1665000+2220000</f>
        <v>3885000</v>
      </c>
      <c r="R48" s="27">
        <v>8</v>
      </c>
      <c r="S48" s="42">
        <v>166500</v>
      </c>
      <c r="T48" s="26">
        <f>R48*S48*88%</f>
        <v>1172160</v>
      </c>
      <c r="U48" s="7">
        <v>0.12</v>
      </c>
      <c r="V48" s="61">
        <v>20</v>
      </c>
      <c r="W48" s="113">
        <v>222000</v>
      </c>
      <c r="X48" s="62">
        <v>4440000</v>
      </c>
      <c r="Y48" s="27"/>
      <c r="Z48" s="42"/>
      <c r="AA48" s="26"/>
      <c r="AB48" s="61">
        <v>20</v>
      </c>
      <c r="AC48" s="113">
        <v>222000</v>
      </c>
      <c r="AD48" s="62">
        <v>4440000</v>
      </c>
      <c r="AE48" s="27"/>
      <c r="AF48" s="42"/>
      <c r="AG48" s="26"/>
      <c r="AH48" s="61">
        <v>80</v>
      </c>
      <c r="AI48" s="113">
        <v>222000</v>
      </c>
      <c r="AJ48" s="62">
        <v>17760000</v>
      </c>
      <c r="AK48" s="22">
        <v>87</v>
      </c>
      <c r="AL48" s="42">
        <v>175000</v>
      </c>
      <c r="AM48" s="16">
        <f t="shared" si="23"/>
        <v>15225000</v>
      </c>
      <c r="AN48" s="80">
        <v>70</v>
      </c>
      <c r="AO48" s="86">
        <v>222000</v>
      </c>
      <c r="AP48" s="82">
        <f t="shared" si="6"/>
        <v>15540000</v>
      </c>
      <c r="AQ48" s="102"/>
      <c r="AR48" s="103"/>
      <c r="AS48" s="104"/>
      <c r="AT48" s="102">
        <v>20</v>
      </c>
      <c r="AU48" s="103">
        <v>175000</v>
      </c>
      <c r="AV48" s="104">
        <f t="shared" si="24"/>
        <v>3500000</v>
      </c>
      <c r="AW48" s="102"/>
      <c r="AX48" s="103"/>
      <c r="AY48" s="104"/>
      <c r="AZ48" s="102"/>
      <c r="BA48" s="103"/>
      <c r="BB48" s="104"/>
      <c r="BC48" s="102">
        <v>30</v>
      </c>
      <c r="BD48" s="103">
        <v>222000</v>
      </c>
      <c r="BE48" s="104">
        <f t="shared" si="4"/>
        <v>6660000</v>
      </c>
      <c r="BF48" s="102">
        <v>20</v>
      </c>
      <c r="BG48" s="103">
        <v>222000</v>
      </c>
      <c r="BH48" s="104">
        <f t="shared" si="5"/>
        <v>4440000</v>
      </c>
    </row>
    <row r="49" spans="1:60" s="6" customFormat="1" ht="31.5" customHeight="1" x14ac:dyDescent="0.25">
      <c r="A49" s="94">
        <v>46</v>
      </c>
      <c r="B49" s="93" t="s">
        <v>53</v>
      </c>
      <c r="C49" s="95" t="s">
        <v>114</v>
      </c>
      <c r="D49" s="22">
        <v>380</v>
      </c>
      <c r="E49" s="42">
        <v>14000</v>
      </c>
      <c r="F49" s="16">
        <f>D49*E49*98%</f>
        <v>5213600</v>
      </c>
      <c r="G49" s="7">
        <v>0.02</v>
      </c>
      <c r="H49" s="61">
        <v>250</v>
      </c>
      <c r="I49" s="113">
        <v>20000</v>
      </c>
      <c r="J49" s="62">
        <v>5000000</v>
      </c>
      <c r="K49" s="22">
        <v>100</v>
      </c>
      <c r="L49" s="42">
        <v>14000</v>
      </c>
      <c r="M49" s="16">
        <f>K49*L49*98%</f>
        <v>1372000</v>
      </c>
      <c r="N49" s="7">
        <v>0.02</v>
      </c>
      <c r="O49" s="61">
        <f>4+150</f>
        <v>154</v>
      </c>
      <c r="P49" s="113" t="s">
        <v>174</v>
      </c>
      <c r="Q49" s="62">
        <f>56000+3000000</f>
        <v>3056000</v>
      </c>
      <c r="R49" s="27">
        <v>805</v>
      </c>
      <c r="S49" s="42">
        <v>14000</v>
      </c>
      <c r="T49" s="26">
        <f>R49*S49*98%</f>
        <v>11044600</v>
      </c>
      <c r="U49" s="7">
        <v>0.02</v>
      </c>
      <c r="V49" s="61">
        <v>441</v>
      </c>
      <c r="W49" s="113">
        <v>20000</v>
      </c>
      <c r="X49" s="62">
        <v>8820000</v>
      </c>
      <c r="Y49" s="27">
        <v>654</v>
      </c>
      <c r="Z49" s="42">
        <v>14000</v>
      </c>
      <c r="AA49" s="26">
        <f>Y49*Z49</f>
        <v>9156000</v>
      </c>
      <c r="AB49" s="61">
        <v>745</v>
      </c>
      <c r="AC49" s="113">
        <v>20000</v>
      </c>
      <c r="AD49" s="62">
        <v>14900000</v>
      </c>
      <c r="AE49" s="27">
        <v>1145</v>
      </c>
      <c r="AF49" s="42">
        <v>14000</v>
      </c>
      <c r="AG49" s="26">
        <f>AE49*AF49</f>
        <v>16030000</v>
      </c>
      <c r="AH49" s="61">
        <v>914</v>
      </c>
      <c r="AI49" s="113">
        <v>20000</v>
      </c>
      <c r="AJ49" s="62">
        <v>18280000</v>
      </c>
      <c r="AK49" s="22">
        <v>586</v>
      </c>
      <c r="AL49" s="42">
        <v>14000</v>
      </c>
      <c r="AM49" s="16">
        <f t="shared" si="23"/>
        <v>8204000</v>
      </c>
      <c r="AN49" s="80">
        <v>500</v>
      </c>
      <c r="AO49" s="86">
        <v>20000</v>
      </c>
      <c r="AP49" s="82">
        <f t="shared" si="6"/>
        <v>10000000</v>
      </c>
      <c r="AQ49" s="102">
        <v>400</v>
      </c>
      <c r="AR49" s="103">
        <v>14000</v>
      </c>
      <c r="AS49" s="104">
        <f>AQ49*AR49</f>
        <v>5600000</v>
      </c>
      <c r="AT49" s="102">
        <v>100</v>
      </c>
      <c r="AU49" s="103">
        <v>14000</v>
      </c>
      <c r="AV49" s="104">
        <f t="shared" si="24"/>
        <v>1400000</v>
      </c>
      <c r="AW49" s="102">
        <f>100+330</f>
        <v>430</v>
      </c>
      <c r="AX49" s="103" t="s">
        <v>162</v>
      </c>
      <c r="AY49" s="104">
        <f>1700000+5940000</f>
        <v>7640000</v>
      </c>
      <c r="AZ49" s="102">
        <v>170</v>
      </c>
      <c r="BA49" s="103">
        <v>20000</v>
      </c>
      <c r="BB49" s="104">
        <f t="shared" si="3"/>
        <v>3400000</v>
      </c>
      <c r="BC49" s="102">
        <v>200</v>
      </c>
      <c r="BD49" s="103">
        <v>20000</v>
      </c>
      <c r="BE49" s="104">
        <f t="shared" si="4"/>
        <v>4000000</v>
      </c>
      <c r="BF49" s="102">
        <v>300</v>
      </c>
      <c r="BG49" s="103">
        <v>20000</v>
      </c>
      <c r="BH49" s="104">
        <f t="shared" si="5"/>
        <v>6000000</v>
      </c>
    </row>
    <row r="50" spans="1:60" s="6" customFormat="1" ht="31.5" customHeight="1" x14ac:dyDescent="0.25">
      <c r="A50" s="5">
        <v>47</v>
      </c>
      <c r="B50" s="21" t="s">
        <v>54</v>
      </c>
      <c r="C50" s="15" t="s">
        <v>115</v>
      </c>
      <c r="D50" s="22">
        <v>10</v>
      </c>
      <c r="E50" s="42">
        <v>229000</v>
      </c>
      <c r="F50" s="16">
        <f>D50*E50*88%</f>
        <v>2015200</v>
      </c>
      <c r="G50" s="7">
        <v>0.12</v>
      </c>
      <c r="H50" s="61">
        <v>10</v>
      </c>
      <c r="I50" s="113">
        <v>312500</v>
      </c>
      <c r="J50" s="62">
        <v>3125000</v>
      </c>
      <c r="K50" s="22"/>
      <c r="L50" s="42"/>
      <c r="M50" s="16"/>
      <c r="N50" s="7"/>
      <c r="O50" s="61">
        <v>20</v>
      </c>
      <c r="P50" s="113">
        <v>312500</v>
      </c>
      <c r="Q50" s="62">
        <v>6250000</v>
      </c>
      <c r="R50" s="27"/>
      <c r="S50" s="42"/>
      <c r="T50" s="26"/>
      <c r="U50" s="7"/>
      <c r="V50" s="61">
        <v>28</v>
      </c>
      <c r="W50" s="113">
        <v>312500</v>
      </c>
      <c r="X50" s="62">
        <v>8750000</v>
      </c>
      <c r="Y50" s="27">
        <v>84</v>
      </c>
      <c r="Z50" s="42">
        <v>229000</v>
      </c>
      <c r="AA50" s="26">
        <f>Y50*Z50</f>
        <v>19236000</v>
      </c>
      <c r="AB50" s="61">
        <v>12</v>
      </c>
      <c r="AC50" s="113">
        <v>312500</v>
      </c>
      <c r="AD50" s="62">
        <v>3750000</v>
      </c>
      <c r="AE50" s="27">
        <v>40</v>
      </c>
      <c r="AF50" s="42">
        <v>240500</v>
      </c>
      <c r="AG50" s="26">
        <f>AE50*AF50</f>
        <v>9620000</v>
      </c>
      <c r="AH50" s="61">
        <v>20</v>
      </c>
      <c r="AI50" s="113">
        <v>312500</v>
      </c>
      <c r="AJ50" s="62">
        <v>6250000</v>
      </c>
      <c r="AK50" s="22">
        <v>40</v>
      </c>
      <c r="AL50" s="42">
        <v>240500</v>
      </c>
      <c r="AM50" s="16">
        <f t="shared" si="23"/>
        <v>9620000</v>
      </c>
      <c r="AN50" s="79">
        <v>55</v>
      </c>
      <c r="AO50" s="84">
        <v>312500</v>
      </c>
      <c r="AP50" s="82">
        <f t="shared" si="6"/>
        <v>17187500</v>
      </c>
      <c r="AQ50" s="102">
        <v>20</v>
      </c>
      <c r="AR50" s="103">
        <v>240500</v>
      </c>
      <c r="AS50" s="104">
        <f>AQ50*AR50</f>
        <v>4810000</v>
      </c>
      <c r="AT50" s="102">
        <v>20</v>
      </c>
      <c r="AU50" s="103">
        <v>240500</v>
      </c>
      <c r="AV50" s="104">
        <f t="shared" si="24"/>
        <v>4810000</v>
      </c>
      <c r="AW50" s="102"/>
      <c r="AX50" s="103"/>
      <c r="AY50" s="104"/>
      <c r="AZ50" s="102"/>
      <c r="BA50" s="103"/>
      <c r="BB50" s="104"/>
      <c r="BC50" s="102">
        <v>30</v>
      </c>
      <c r="BD50" s="103">
        <v>312500</v>
      </c>
      <c r="BE50" s="104">
        <f t="shared" si="4"/>
        <v>9375000</v>
      </c>
      <c r="BF50" s="102">
        <v>10</v>
      </c>
      <c r="BG50" s="103">
        <v>312500</v>
      </c>
      <c r="BH50" s="104">
        <f t="shared" si="5"/>
        <v>3125000</v>
      </c>
    </row>
    <row r="51" spans="1:60" s="6" customFormat="1" ht="31.5" customHeight="1" x14ac:dyDescent="0.25">
      <c r="A51" s="94">
        <v>48</v>
      </c>
      <c r="B51" s="93" t="s">
        <v>79</v>
      </c>
      <c r="C51" s="95" t="s">
        <v>116</v>
      </c>
      <c r="D51" s="22">
        <v>30</v>
      </c>
      <c r="E51" s="42">
        <v>249000</v>
      </c>
      <c r="F51" s="16">
        <f>D51*E51*88%</f>
        <v>6573600</v>
      </c>
      <c r="G51" s="7">
        <v>0.12</v>
      </c>
      <c r="H51" s="61">
        <v>59</v>
      </c>
      <c r="I51" s="113">
        <v>339000</v>
      </c>
      <c r="J51" s="62">
        <v>20001000</v>
      </c>
      <c r="K51" s="22">
        <v>40</v>
      </c>
      <c r="L51" s="42">
        <v>249000</v>
      </c>
      <c r="M51" s="16">
        <f>K51*L51*88%</f>
        <v>8764800</v>
      </c>
      <c r="N51" s="7">
        <v>0.12</v>
      </c>
      <c r="O51" s="61">
        <f>6+71</f>
        <v>77</v>
      </c>
      <c r="P51" s="113" t="s">
        <v>175</v>
      </c>
      <c r="Q51" s="62">
        <f>1488000+24069000</f>
        <v>25557000</v>
      </c>
      <c r="R51" s="27">
        <v>10</v>
      </c>
      <c r="S51" s="42">
        <v>249000</v>
      </c>
      <c r="T51" s="26">
        <f>R51*S51*88%</f>
        <v>2191200</v>
      </c>
      <c r="U51" s="7">
        <v>0.12</v>
      </c>
      <c r="V51" s="61">
        <v>110</v>
      </c>
      <c r="W51" s="113">
        <v>339000</v>
      </c>
      <c r="X51" s="62">
        <v>37290000</v>
      </c>
      <c r="Y51" s="27">
        <v>79</v>
      </c>
      <c r="Z51" s="42">
        <v>249000</v>
      </c>
      <c r="AA51" s="26">
        <f>Y51*Z51</f>
        <v>19671000</v>
      </c>
      <c r="AB51" s="61">
        <v>40</v>
      </c>
      <c r="AC51" s="113">
        <v>339000</v>
      </c>
      <c r="AD51" s="62">
        <v>13560000</v>
      </c>
      <c r="AE51" s="27">
        <v>61</v>
      </c>
      <c r="AF51" s="42">
        <v>261500</v>
      </c>
      <c r="AG51" s="26">
        <f>AE51*AF51</f>
        <v>15951500</v>
      </c>
      <c r="AH51" s="61">
        <v>130</v>
      </c>
      <c r="AI51" s="113">
        <v>339000</v>
      </c>
      <c r="AJ51" s="62">
        <v>44070000</v>
      </c>
      <c r="AK51" s="22">
        <v>40</v>
      </c>
      <c r="AL51" s="42">
        <v>261500</v>
      </c>
      <c r="AM51" s="16">
        <f t="shared" si="23"/>
        <v>10460000</v>
      </c>
      <c r="AN51" s="80">
        <v>90</v>
      </c>
      <c r="AO51" s="86">
        <v>339000</v>
      </c>
      <c r="AP51" s="82">
        <f t="shared" si="6"/>
        <v>30510000</v>
      </c>
      <c r="AQ51" s="102">
        <v>30</v>
      </c>
      <c r="AR51" s="103">
        <v>261500</v>
      </c>
      <c r="AS51" s="104">
        <f>AQ51*AR51</f>
        <v>7845000</v>
      </c>
      <c r="AT51" s="102">
        <v>30</v>
      </c>
      <c r="AU51" s="103">
        <v>261500</v>
      </c>
      <c r="AV51" s="104">
        <f t="shared" si="24"/>
        <v>7845000</v>
      </c>
      <c r="AW51" s="102">
        <f>20+10</f>
        <v>30</v>
      </c>
      <c r="AX51" s="103" t="s">
        <v>163</v>
      </c>
      <c r="AY51" s="104">
        <f>5760000+3025000</f>
        <v>8785000</v>
      </c>
      <c r="AZ51" s="102">
        <v>20</v>
      </c>
      <c r="BA51" s="103">
        <v>339000</v>
      </c>
      <c r="BB51" s="104">
        <f t="shared" si="3"/>
        <v>6780000</v>
      </c>
      <c r="BC51" s="102">
        <v>80</v>
      </c>
      <c r="BD51" s="103">
        <v>339000</v>
      </c>
      <c r="BE51" s="104">
        <f t="shared" si="4"/>
        <v>27120000</v>
      </c>
      <c r="BF51" s="102">
        <v>40</v>
      </c>
      <c r="BG51" s="103">
        <v>339000</v>
      </c>
      <c r="BH51" s="104">
        <f t="shared" si="5"/>
        <v>13560000</v>
      </c>
    </row>
    <row r="52" spans="1:60" s="6" customFormat="1" ht="31.5" customHeight="1" x14ac:dyDescent="0.25">
      <c r="A52" s="5">
        <v>49</v>
      </c>
      <c r="B52" s="21" t="s">
        <v>55</v>
      </c>
      <c r="C52" s="15" t="s">
        <v>117</v>
      </c>
      <c r="D52" s="22"/>
      <c r="E52" s="42"/>
      <c r="F52" s="16"/>
      <c r="G52" s="7"/>
      <c r="H52" s="61">
        <v>20</v>
      </c>
      <c r="I52" s="113">
        <v>353900</v>
      </c>
      <c r="J52" s="62">
        <v>7078000</v>
      </c>
      <c r="K52" s="22"/>
      <c r="L52" s="42"/>
      <c r="M52" s="16"/>
      <c r="N52" s="7"/>
      <c r="O52" s="61">
        <v>10</v>
      </c>
      <c r="P52" s="113">
        <v>353900</v>
      </c>
      <c r="Q52" s="62">
        <v>3539000</v>
      </c>
      <c r="R52" s="27"/>
      <c r="S52" s="42"/>
      <c r="T52" s="26"/>
      <c r="U52" s="7"/>
      <c r="V52" s="61">
        <v>50</v>
      </c>
      <c r="W52" s="113">
        <v>353900</v>
      </c>
      <c r="X52" s="62">
        <v>17695000</v>
      </c>
      <c r="Y52" s="27"/>
      <c r="Z52" s="42"/>
      <c r="AA52" s="26"/>
      <c r="AB52" s="61"/>
      <c r="AC52" s="113"/>
      <c r="AD52" s="62"/>
      <c r="AE52" s="27"/>
      <c r="AF52" s="42"/>
      <c r="AG52" s="26"/>
      <c r="AH52" s="73"/>
      <c r="AI52" s="118"/>
      <c r="AJ52" s="119"/>
      <c r="AK52" s="22">
        <v>1</v>
      </c>
      <c r="AL52" s="42">
        <v>272900</v>
      </c>
      <c r="AM52" s="16">
        <f t="shared" si="23"/>
        <v>272900</v>
      </c>
      <c r="AN52" s="80"/>
      <c r="AO52" s="86"/>
      <c r="AP52" s="82">
        <f t="shared" si="6"/>
        <v>0</v>
      </c>
      <c r="AQ52" s="102"/>
      <c r="AR52" s="103"/>
      <c r="AS52" s="104"/>
      <c r="AT52" s="102"/>
      <c r="AU52" s="103"/>
      <c r="AV52" s="104"/>
      <c r="AW52" s="102"/>
      <c r="AX52" s="103"/>
      <c r="AY52" s="104"/>
      <c r="AZ52" s="102"/>
      <c r="BA52" s="103"/>
      <c r="BB52" s="104"/>
      <c r="BC52" s="102"/>
      <c r="BD52" s="103"/>
      <c r="BE52" s="104"/>
      <c r="BF52" s="102">
        <v>60</v>
      </c>
      <c r="BG52" s="103">
        <v>353900</v>
      </c>
      <c r="BH52" s="104">
        <f t="shared" si="5"/>
        <v>21234000</v>
      </c>
    </row>
    <row r="53" spans="1:60" s="6" customFormat="1" ht="31.5" customHeight="1" x14ac:dyDescent="0.25">
      <c r="A53" s="5">
        <v>50</v>
      </c>
      <c r="B53" s="21" t="s">
        <v>56</v>
      </c>
      <c r="C53" s="15" t="s">
        <v>118</v>
      </c>
      <c r="D53" s="22">
        <v>500</v>
      </c>
      <c r="E53" s="42">
        <v>15000</v>
      </c>
      <c r="F53" s="16">
        <f>D53*E53*98%</f>
        <v>7350000</v>
      </c>
      <c r="G53" s="7">
        <v>0.02</v>
      </c>
      <c r="H53" s="61">
        <v>550</v>
      </c>
      <c r="I53" s="113">
        <v>20000</v>
      </c>
      <c r="J53" s="62">
        <v>11000000</v>
      </c>
      <c r="K53" s="22">
        <v>150</v>
      </c>
      <c r="L53" s="42">
        <v>15000</v>
      </c>
      <c r="M53" s="16">
        <f>K53*L53*98%</f>
        <v>2205000</v>
      </c>
      <c r="N53" s="7">
        <v>0.02</v>
      </c>
      <c r="O53" s="61">
        <v>477</v>
      </c>
      <c r="P53" s="113">
        <v>20000</v>
      </c>
      <c r="Q53" s="62">
        <v>9540000</v>
      </c>
      <c r="R53" s="27">
        <v>200</v>
      </c>
      <c r="S53" s="42">
        <v>15000</v>
      </c>
      <c r="T53" s="26">
        <f>R53*S53*98%</f>
        <v>2940000</v>
      </c>
      <c r="U53" s="7">
        <v>0.02</v>
      </c>
      <c r="V53" s="61">
        <v>675</v>
      </c>
      <c r="W53" s="113">
        <v>20000</v>
      </c>
      <c r="X53" s="62">
        <v>13500000</v>
      </c>
      <c r="Y53" s="27">
        <v>402</v>
      </c>
      <c r="Z53" s="42">
        <v>15000</v>
      </c>
      <c r="AA53" s="26">
        <f t="shared" ref="AA53:AA58" si="25">Y53*Z53</f>
        <v>6030000</v>
      </c>
      <c r="AB53" s="61">
        <v>859</v>
      </c>
      <c r="AC53" s="113">
        <v>20000</v>
      </c>
      <c r="AD53" s="62">
        <v>17180000</v>
      </c>
      <c r="AE53" s="27">
        <v>700</v>
      </c>
      <c r="AF53" s="42">
        <v>15000</v>
      </c>
      <c r="AG53" s="26">
        <f>AE53*AF53</f>
        <v>10500000</v>
      </c>
      <c r="AH53" s="61">
        <v>639</v>
      </c>
      <c r="AI53" s="113">
        <v>20000</v>
      </c>
      <c r="AJ53" s="62">
        <v>12780000</v>
      </c>
      <c r="AK53" s="22">
        <v>348</v>
      </c>
      <c r="AL53" s="42">
        <v>15000</v>
      </c>
      <c r="AM53" s="16">
        <f t="shared" si="23"/>
        <v>5220000</v>
      </c>
      <c r="AN53" s="79">
        <v>700</v>
      </c>
      <c r="AO53" s="84">
        <v>20000</v>
      </c>
      <c r="AP53" s="82">
        <f t="shared" si="6"/>
        <v>14000000</v>
      </c>
      <c r="AQ53" s="102">
        <v>250</v>
      </c>
      <c r="AR53" s="103">
        <v>15000</v>
      </c>
      <c r="AS53" s="104">
        <f>AQ53*AR53</f>
        <v>3750000</v>
      </c>
      <c r="AT53" s="102">
        <v>250</v>
      </c>
      <c r="AU53" s="103">
        <v>15000</v>
      </c>
      <c r="AV53" s="104">
        <f>AT53*AU53</f>
        <v>3750000</v>
      </c>
      <c r="AW53" s="102">
        <f>400+525</f>
        <v>925</v>
      </c>
      <c r="AX53" s="103" t="s">
        <v>162</v>
      </c>
      <c r="AY53" s="104">
        <f>6800000+9450000</f>
        <v>16250000</v>
      </c>
      <c r="AZ53" s="102">
        <v>425</v>
      </c>
      <c r="BA53" s="103">
        <v>20000</v>
      </c>
      <c r="BB53" s="104">
        <f t="shared" si="3"/>
        <v>8500000</v>
      </c>
      <c r="BC53" s="102">
        <v>751</v>
      </c>
      <c r="BD53" s="103">
        <v>20000</v>
      </c>
      <c r="BE53" s="104">
        <f t="shared" si="4"/>
        <v>15020000</v>
      </c>
      <c r="BF53" s="102">
        <v>549</v>
      </c>
      <c r="BG53" s="103">
        <v>20000</v>
      </c>
      <c r="BH53" s="104">
        <f t="shared" si="5"/>
        <v>10980000</v>
      </c>
    </row>
    <row r="54" spans="1:60" s="6" customFormat="1" ht="31.5" customHeight="1" x14ac:dyDescent="0.25">
      <c r="A54" s="94">
        <v>51</v>
      </c>
      <c r="B54" s="93" t="s">
        <v>57</v>
      </c>
      <c r="C54" s="95" t="s">
        <v>119</v>
      </c>
      <c r="D54" s="22"/>
      <c r="E54" s="42"/>
      <c r="F54" s="16"/>
      <c r="G54" s="7"/>
      <c r="H54" s="61">
        <v>10</v>
      </c>
      <c r="I54" s="113">
        <v>176500</v>
      </c>
      <c r="J54" s="62">
        <v>1765000</v>
      </c>
      <c r="K54" s="22">
        <v>10</v>
      </c>
      <c r="L54" s="42">
        <v>130000</v>
      </c>
      <c r="M54" s="16">
        <f>K54*L54*88%</f>
        <v>1144000</v>
      </c>
      <c r="N54" s="7">
        <v>0.12</v>
      </c>
      <c r="O54" s="61">
        <f>1+10</f>
        <v>11</v>
      </c>
      <c r="P54" s="113" t="s">
        <v>176</v>
      </c>
      <c r="Q54" s="62">
        <f>130000+1765000</f>
        <v>1895000</v>
      </c>
      <c r="R54" s="27">
        <v>3</v>
      </c>
      <c r="S54" s="42">
        <v>130000</v>
      </c>
      <c r="T54" s="26">
        <f>R54*S54*88%</f>
        <v>343200</v>
      </c>
      <c r="U54" s="7">
        <v>0.12</v>
      </c>
      <c r="V54" s="61">
        <v>20</v>
      </c>
      <c r="W54" s="113">
        <v>176500</v>
      </c>
      <c r="X54" s="62">
        <v>3530000</v>
      </c>
      <c r="Y54" s="27">
        <v>12</v>
      </c>
      <c r="Z54" s="42">
        <v>130000</v>
      </c>
      <c r="AA54" s="26">
        <f t="shared" si="25"/>
        <v>1560000</v>
      </c>
      <c r="AB54" s="73"/>
      <c r="AC54" s="118"/>
      <c r="AD54" s="119"/>
      <c r="AE54" s="27">
        <v>10</v>
      </c>
      <c r="AF54" s="42">
        <v>136500</v>
      </c>
      <c r="AG54" s="26">
        <f>AE54*AF54</f>
        <v>1365000</v>
      </c>
      <c r="AH54" s="61">
        <v>31</v>
      </c>
      <c r="AI54" s="113">
        <v>176500</v>
      </c>
      <c r="AJ54" s="62">
        <v>5471500</v>
      </c>
      <c r="AK54" s="22">
        <v>20</v>
      </c>
      <c r="AL54" s="42">
        <v>136500</v>
      </c>
      <c r="AM54" s="16">
        <f t="shared" si="23"/>
        <v>2730000</v>
      </c>
      <c r="AN54" s="80">
        <v>18</v>
      </c>
      <c r="AO54" s="86">
        <v>176500</v>
      </c>
      <c r="AP54" s="82">
        <f t="shared" si="6"/>
        <v>3177000</v>
      </c>
      <c r="AQ54" s="102"/>
      <c r="AR54" s="103"/>
      <c r="AS54" s="104"/>
      <c r="AT54" s="102"/>
      <c r="AU54" s="103"/>
      <c r="AV54" s="104"/>
      <c r="AW54" s="102"/>
      <c r="AX54" s="103"/>
      <c r="AY54" s="104"/>
      <c r="AZ54" s="102">
        <v>20</v>
      </c>
      <c r="BA54" s="103">
        <v>176500</v>
      </c>
      <c r="BB54" s="104">
        <f t="shared" si="3"/>
        <v>3530000</v>
      </c>
      <c r="BC54" s="102">
        <v>9</v>
      </c>
      <c r="BD54" s="103">
        <v>176500</v>
      </c>
      <c r="BE54" s="104">
        <f t="shared" si="4"/>
        <v>1588500</v>
      </c>
      <c r="BF54" s="102"/>
      <c r="BG54" s="103"/>
      <c r="BH54" s="104"/>
    </row>
    <row r="55" spans="1:60" s="6" customFormat="1" ht="27" customHeight="1" x14ac:dyDescent="0.25">
      <c r="A55" s="5">
        <v>52</v>
      </c>
      <c r="B55" s="21" t="s">
        <v>80</v>
      </c>
      <c r="C55" s="15" t="s">
        <v>123</v>
      </c>
      <c r="D55" s="22">
        <v>10</v>
      </c>
      <c r="E55" s="42">
        <v>180000</v>
      </c>
      <c r="F55" s="16">
        <f>D55*E55*88%</f>
        <v>1584000</v>
      </c>
      <c r="G55" s="7">
        <v>0.12</v>
      </c>
      <c r="H55" s="61"/>
      <c r="I55" s="113"/>
      <c r="J55" s="62"/>
      <c r="K55" s="22"/>
      <c r="L55" s="42"/>
      <c r="M55" s="16"/>
      <c r="N55" s="7"/>
      <c r="O55" s="61">
        <v>12</v>
      </c>
      <c r="P55" s="113">
        <v>180000</v>
      </c>
      <c r="Q55" s="62">
        <v>2160000</v>
      </c>
      <c r="R55" s="27"/>
      <c r="S55" s="42"/>
      <c r="T55" s="26"/>
      <c r="U55" s="7"/>
      <c r="V55" s="61"/>
      <c r="W55" s="113"/>
      <c r="X55" s="62"/>
      <c r="Y55" s="27">
        <v>32</v>
      </c>
      <c r="Z55" s="42">
        <v>180000</v>
      </c>
      <c r="AA55" s="26">
        <f t="shared" si="25"/>
        <v>5760000</v>
      </c>
      <c r="AB55" s="61">
        <v>5</v>
      </c>
      <c r="AC55" s="113">
        <v>245000</v>
      </c>
      <c r="AD55" s="62">
        <v>1225000</v>
      </c>
      <c r="AE55" s="27">
        <v>45</v>
      </c>
      <c r="AF55" s="42">
        <v>189000</v>
      </c>
      <c r="AG55" s="26">
        <f>AE55*AF55</f>
        <v>8505000</v>
      </c>
      <c r="AH55" s="61">
        <v>45</v>
      </c>
      <c r="AI55" s="113">
        <v>245000</v>
      </c>
      <c r="AJ55" s="62">
        <v>11025000</v>
      </c>
      <c r="AK55" s="22">
        <v>22</v>
      </c>
      <c r="AL55" s="42">
        <v>189000</v>
      </c>
      <c r="AM55" s="16">
        <f t="shared" si="23"/>
        <v>4158000</v>
      </c>
      <c r="AN55" s="79">
        <v>20</v>
      </c>
      <c r="AO55" s="84">
        <v>245000</v>
      </c>
      <c r="AP55" s="82">
        <f t="shared" si="6"/>
        <v>4900000</v>
      </c>
      <c r="AQ55" s="102">
        <v>10</v>
      </c>
      <c r="AR55" s="103">
        <v>189000</v>
      </c>
      <c r="AS55" s="104">
        <f>AQ55*AR55</f>
        <v>1890000</v>
      </c>
      <c r="AT55" s="102">
        <v>28</v>
      </c>
      <c r="AU55" s="103">
        <v>189000</v>
      </c>
      <c r="AV55" s="104">
        <f>AT55*AU55</f>
        <v>5292000</v>
      </c>
      <c r="AW55" s="102"/>
      <c r="AX55" s="103"/>
      <c r="AY55" s="104"/>
      <c r="AZ55" s="102"/>
      <c r="BA55" s="103"/>
      <c r="BB55" s="104"/>
      <c r="BC55" s="102"/>
      <c r="BD55" s="103"/>
      <c r="BE55" s="104"/>
      <c r="BF55" s="102"/>
      <c r="BG55" s="103"/>
      <c r="BH55" s="104"/>
    </row>
    <row r="56" spans="1:60" s="6" customFormat="1" ht="27" customHeight="1" x14ac:dyDescent="0.25">
      <c r="A56" s="5">
        <v>53</v>
      </c>
      <c r="B56" s="21" t="s">
        <v>84</v>
      </c>
      <c r="C56" s="15" t="s">
        <v>124</v>
      </c>
      <c r="D56" s="22">
        <v>12</v>
      </c>
      <c r="E56" s="42">
        <v>200000</v>
      </c>
      <c r="F56" s="16">
        <f>D56*E56*88%</f>
        <v>2112000</v>
      </c>
      <c r="G56" s="7">
        <v>0.12</v>
      </c>
      <c r="H56" s="61">
        <v>10</v>
      </c>
      <c r="I56" s="113">
        <v>271500</v>
      </c>
      <c r="J56" s="62">
        <v>2715000</v>
      </c>
      <c r="K56" s="22"/>
      <c r="L56" s="42"/>
      <c r="M56" s="16"/>
      <c r="N56" s="7"/>
      <c r="O56" s="61">
        <v>1</v>
      </c>
      <c r="P56" s="113">
        <v>200000</v>
      </c>
      <c r="Q56" s="62">
        <v>200000</v>
      </c>
      <c r="R56" s="27"/>
      <c r="S56" s="42"/>
      <c r="T56" s="26"/>
      <c r="U56" s="7"/>
      <c r="V56" s="61">
        <v>60</v>
      </c>
      <c r="W56" s="113">
        <v>271500</v>
      </c>
      <c r="X56" s="62">
        <v>16290000</v>
      </c>
      <c r="Y56" s="27">
        <v>2</v>
      </c>
      <c r="Z56" s="42">
        <v>200000</v>
      </c>
      <c r="AA56" s="26">
        <f t="shared" si="25"/>
        <v>400000</v>
      </c>
      <c r="AB56" s="61">
        <v>10</v>
      </c>
      <c r="AC56" s="113">
        <v>271500</v>
      </c>
      <c r="AD56" s="62">
        <v>2715000</v>
      </c>
      <c r="AE56" s="27"/>
      <c r="AF56" s="42"/>
      <c r="AG56" s="26"/>
      <c r="AH56" s="61">
        <v>50</v>
      </c>
      <c r="AI56" s="113">
        <v>271500</v>
      </c>
      <c r="AJ56" s="62">
        <v>13575000</v>
      </c>
      <c r="AK56" s="22"/>
      <c r="AL56" s="42"/>
      <c r="AM56" s="16"/>
      <c r="AN56" s="79">
        <v>60</v>
      </c>
      <c r="AO56" s="84">
        <v>271500</v>
      </c>
      <c r="AP56" s="82">
        <f t="shared" ref="AP56:AP60" si="26">AN56*AO56</f>
        <v>16290000</v>
      </c>
      <c r="AQ56" s="102">
        <v>34</v>
      </c>
      <c r="AR56" s="103">
        <v>210000</v>
      </c>
      <c r="AS56" s="104">
        <f>AQ56*AR56</f>
        <v>7140000</v>
      </c>
      <c r="AT56" s="102">
        <v>25</v>
      </c>
      <c r="AU56" s="103">
        <v>210000</v>
      </c>
      <c r="AV56" s="104">
        <f>AT56*AU56</f>
        <v>5250000</v>
      </c>
      <c r="AW56" s="102"/>
      <c r="AX56" s="103"/>
      <c r="AY56" s="104"/>
      <c r="AZ56" s="102"/>
      <c r="BA56" s="103"/>
      <c r="BB56" s="104"/>
      <c r="BC56" s="102">
        <v>30</v>
      </c>
      <c r="BD56" s="103">
        <v>271500</v>
      </c>
      <c r="BE56" s="104">
        <f t="shared" si="4"/>
        <v>8145000</v>
      </c>
      <c r="BF56" s="102">
        <v>10</v>
      </c>
      <c r="BG56" s="103">
        <v>271500</v>
      </c>
      <c r="BH56" s="104">
        <f t="shared" si="5"/>
        <v>2715000</v>
      </c>
    </row>
    <row r="57" spans="1:60" s="6" customFormat="1" ht="27" customHeight="1" x14ac:dyDescent="0.25">
      <c r="A57" s="5">
        <v>54</v>
      </c>
      <c r="B57" s="21" t="s">
        <v>81</v>
      </c>
      <c r="C57" s="15" t="s">
        <v>89</v>
      </c>
      <c r="D57" s="22">
        <v>175</v>
      </c>
      <c r="E57" s="42">
        <v>38500</v>
      </c>
      <c r="F57" s="16">
        <f>D57*E57*98%</f>
        <v>6602750</v>
      </c>
      <c r="G57" s="7">
        <v>0.02</v>
      </c>
      <c r="H57" s="61">
        <v>866</v>
      </c>
      <c r="I57" s="113">
        <v>55500</v>
      </c>
      <c r="J57" s="62">
        <v>48063000</v>
      </c>
      <c r="K57" s="22">
        <v>525</v>
      </c>
      <c r="L57" s="42">
        <v>38500</v>
      </c>
      <c r="M57" s="16">
        <f>K57*L57*98%</f>
        <v>19808250</v>
      </c>
      <c r="N57" s="7">
        <v>0.02</v>
      </c>
      <c r="O57" s="61">
        <v>905</v>
      </c>
      <c r="P57" s="113">
        <v>55500</v>
      </c>
      <c r="Q57" s="62">
        <v>50227500</v>
      </c>
      <c r="R57" s="27">
        <v>507</v>
      </c>
      <c r="S57" s="42">
        <v>38500</v>
      </c>
      <c r="T57" s="26">
        <f>R57*S57*98%</f>
        <v>19129110</v>
      </c>
      <c r="U57" s="7">
        <v>0.02</v>
      </c>
      <c r="V57" s="61">
        <v>804</v>
      </c>
      <c r="W57" s="113">
        <v>55500</v>
      </c>
      <c r="X57" s="62">
        <v>44622000</v>
      </c>
      <c r="Y57" s="27">
        <v>185</v>
      </c>
      <c r="Z57" s="42">
        <v>38500</v>
      </c>
      <c r="AA57" s="26">
        <f t="shared" si="25"/>
        <v>7122500</v>
      </c>
      <c r="AB57" s="61">
        <v>774</v>
      </c>
      <c r="AC57" s="113">
        <v>55500</v>
      </c>
      <c r="AD57" s="62">
        <v>42957000</v>
      </c>
      <c r="AE57" s="27">
        <v>915</v>
      </c>
      <c r="AF57" s="42">
        <v>42400</v>
      </c>
      <c r="AG57" s="26">
        <f>AE57*AF57</f>
        <v>38796000</v>
      </c>
      <c r="AH57" s="61">
        <v>785</v>
      </c>
      <c r="AI57" s="113">
        <v>55500</v>
      </c>
      <c r="AJ57" s="62">
        <v>43567500</v>
      </c>
      <c r="AK57" s="22">
        <v>1200</v>
      </c>
      <c r="AL57" s="42">
        <v>42400</v>
      </c>
      <c r="AM57" s="16">
        <f>AK57*AL57</f>
        <v>50880000</v>
      </c>
      <c r="AN57" s="79">
        <v>537</v>
      </c>
      <c r="AO57" s="84">
        <v>55500</v>
      </c>
      <c r="AP57" s="82">
        <f t="shared" si="26"/>
        <v>29803500</v>
      </c>
      <c r="AQ57" s="102">
        <v>479</v>
      </c>
      <c r="AR57" s="103">
        <v>42400</v>
      </c>
      <c r="AS57" s="104">
        <f>AQ57*AR57</f>
        <v>20309600</v>
      </c>
      <c r="AT57" s="102">
        <v>471</v>
      </c>
      <c r="AU57" s="103">
        <v>42400</v>
      </c>
      <c r="AV57" s="104">
        <f>AT57*AU57</f>
        <v>19970400</v>
      </c>
      <c r="AW57" s="102">
        <f>340+260</f>
        <v>600</v>
      </c>
      <c r="AX57" s="103" t="s">
        <v>164</v>
      </c>
      <c r="AY57" s="104">
        <f>15980000+12870000</f>
        <v>28850000</v>
      </c>
      <c r="AZ57" s="102">
        <v>400</v>
      </c>
      <c r="BA57" s="103">
        <v>55500</v>
      </c>
      <c r="BB57" s="104">
        <f t="shared" si="3"/>
        <v>22200000</v>
      </c>
      <c r="BC57" s="102">
        <v>700</v>
      </c>
      <c r="BD57" s="103">
        <v>55500</v>
      </c>
      <c r="BE57" s="104">
        <f t="shared" si="4"/>
        <v>38850000</v>
      </c>
      <c r="BF57" s="102">
        <v>1179</v>
      </c>
      <c r="BG57" s="103">
        <v>55500</v>
      </c>
      <c r="BH57" s="104">
        <f t="shared" si="5"/>
        <v>65434500</v>
      </c>
    </row>
    <row r="58" spans="1:60" s="1" customFormat="1" ht="27" customHeight="1" x14ac:dyDescent="0.25">
      <c r="A58" s="94">
        <v>55</v>
      </c>
      <c r="B58" s="93" t="s">
        <v>58</v>
      </c>
      <c r="C58" s="95" t="s">
        <v>120</v>
      </c>
      <c r="D58" s="28"/>
      <c r="E58" s="41"/>
      <c r="F58" s="9"/>
      <c r="G58" s="30" t="s">
        <v>7</v>
      </c>
      <c r="H58" s="61">
        <v>20</v>
      </c>
      <c r="I58" s="113">
        <v>139500</v>
      </c>
      <c r="J58" s="62">
        <v>2790000</v>
      </c>
      <c r="K58" s="38"/>
      <c r="L58" s="45"/>
      <c r="M58" s="39"/>
      <c r="N58" s="39"/>
      <c r="O58" s="61">
        <f>2+30</f>
        <v>32</v>
      </c>
      <c r="P58" s="113" t="s">
        <v>177</v>
      </c>
      <c r="Q58" s="62">
        <f>210000+4185000</f>
        <v>4395000</v>
      </c>
      <c r="R58" s="39"/>
      <c r="S58" s="45"/>
      <c r="T58" s="39"/>
      <c r="U58" s="39"/>
      <c r="V58" s="61">
        <v>60</v>
      </c>
      <c r="W58" s="113">
        <v>139500</v>
      </c>
      <c r="X58" s="62">
        <v>8370000</v>
      </c>
      <c r="Y58" s="27">
        <v>32</v>
      </c>
      <c r="Z58" s="42">
        <v>105000</v>
      </c>
      <c r="AA58" s="26">
        <f t="shared" si="25"/>
        <v>3360000</v>
      </c>
      <c r="AB58" s="61">
        <v>40</v>
      </c>
      <c r="AC58" s="113">
        <v>139500</v>
      </c>
      <c r="AD58" s="62">
        <v>5580000</v>
      </c>
      <c r="AE58" s="27">
        <v>40</v>
      </c>
      <c r="AF58" s="42">
        <v>105000</v>
      </c>
      <c r="AG58" s="26">
        <f>AE58*AF58</f>
        <v>4200000</v>
      </c>
      <c r="AH58" s="61">
        <v>65</v>
      </c>
      <c r="AI58" s="113">
        <v>139500</v>
      </c>
      <c r="AJ58" s="62">
        <v>9067500</v>
      </c>
      <c r="AK58" s="22">
        <v>51</v>
      </c>
      <c r="AL58" s="42">
        <v>105000</v>
      </c>
      <c r="AM58" s="16">
        <f>AK58*AL58</f>
        <v>5355000</v>
      </c>
      <c r="AN58" s="80">
        <v>75</v>
      </c>
      <c r="AO58" s="86">
        <v>139500</v>
      </c>
      <c r="AP58" s="82">
        <f t="shared" si="26"/>
        <v>10462500</v>
      </c>
      <c r="AQ58" s="102">
        <v>30</v>
      </c>
      <c r="AR58" s="103">
        <v>105000</v>
      </c>
      <c r="AS58" s="104">
        <f>AQ58*AR58</f>
        <v>3150000</v>
      </c>
      <c r="AT58" s="102">
        <v>30</v>
      </c>
      <c r="AU58" s="103">
        <v>105000</v>
      </c>
      <c r="AV58" s="104">
        <f>AT58*AU58</f>
        <v>3150000</v>
      </c>
      <c r="AW58" s="105"/>
      <c r="AX58" s="45"/>
      <c r="AY58" s="105"/>
      <c r="AZ58" s="105"/>
      <c r="BA58" s="45"/>
      <c r="BB58" s="105"/>
      <c r="BC58" s="102">
        <v>20</v>
      </c>
      <c r="BD58" s="103">
        <v>139500</v>
      </c>
      <c r="BE58" s="104">
        <f t="shared" si="4"/>
        <v>2790000</v>
      </c>
      <c r="BF58" s="102">
        <v>10</v>
      </c>
      <c r="BG58" s="103">
        <v>139500</v>
      </c>
      <c r="BH58" s="104">
        <f t="shared" si="5"/>
        <v>1395000</v>
      </c>
    </row>
    <row r="59" spans="1:60" s="1" customFormat="1" ht="27" customHeight="1" x14ac:dyDescent="0.25">
      <c r="A59" s="5">
        <v>56</v>
      </c>
      <c r="B59" s="21" t="s">
        <v>70</v>
      </c>
      <c r="C59" s="15" t="s">
        <v>121</v>
      </c>
      <c r="D59" s="27"/>
      <c r="E59" s="43"/>
      <c r="F59" s="39"/>
      <c r="G59" s="39"/>
      <c r="H59" s="61">
        <v>30</v>
      </c>
      <c r="I59" s="113">
        <v>234500</v>
      </c>
      <c r="J59" s="62">
        <v>7035000</v>
      </c>
      <c r="K59" s="38"/>
      <c r="L59" s="46"/>
      <c r="M59" s="38"/>
      <c r="N59" s="39"/>
      <c r="O59" s="61">
        <v>20</v>
      </c>
      <c r="P59" s="113">
        <v>234500</v>
      </c>
      <c r="Q59" s="62">
        <v>4690000</v>
      </c>
      <c r="R59" s="39"/>
      <c r="S59" s="45"/>
      <c r="T59" s="39"/>
      <c r="U59" s="39"/>
      <c r="V59" s="61">
        <v>30</v>
      </c>
      <c r="W59" s="113">
        <v>234500</v>
      </c>
      <c r="X59" s="62">
        <v>7035000</v>
      </c>
      <c r="Y59" s="39"/>
      <c r="Z59" s="45"/>
      <c r="AA59" s="39"/>
      <c r="AB59" s="61">
        <v>66</v>
      </c>
      <c r="AC59" s="113">
        <v>234500</v>
      </c>
      <c r="AD59" s="62">
        <v>15477000</v>
      </c>
      <c r="AE59" s="39"/>
      <c r="AF59" s="45"/>
      <c r="AG59" s="39"/>
      <c r="AH59" s="61">
        <v>113</v>
      </c>
      <c r="AI59" s="113">
        <v>234500</v>
      </c>
      <c r="AJ59" s="62">
        <v>26498500</v>
      </c>
      <c r="AK59" s="22">
        <v>40</v>
      </c>
      <c r="AL59" s="42">
        <v>185000</v>
      </c>
      <c r="AM59" s="16">
        <f>AK59*AL59</f>
        <v>7400000</v>
      </c>
      <c r="AN59" s="79">
        <v>51</v>
      </c>
      <c r="AO59" s="84">
        <v>234500</v>
      </c>
      <c r="AP59" s="82">
        <f t="shared" si="26"/>
        <v>11959500</v>
      </c>
      <c r="AQ59" s="102">
        <v>25</v>
      </c>
      <c r="AR59" s="103">
        <v>185000</v>
      </c>
      <c r="AS59" s="104">
        <f>AQ59*AR59</f>
        <v>4625000</v>
      </c>
      <c r="AT59" s="102">
        <v>67</v>
      </c>
      <c r="AU59" s="103">
        <v>185000</v>
      </c>
      <c r="AV59" s="104">
        <f>AT59*AU59</f>
        <v>12395000</v>
      </c>
      <c r="AW59" s="105"/>
      <c r="AX59" s="45"/>
      <c r="AY59" s="105"/>
      <c r="AZ59" s="105"/>
      <c r="BA59" s="45"/>
      <c r="BB59" s="105"/>
      <c r="BC59" s="105"/>
      <c r="BD59" s="45"/>
      <c r="BE59" s="105"/>
      <c r="BF59" s="102">
        <v>30</v>
      </c>
      <c r="BG59" s="103">
        <v>234500</v>
      </c>
      <c r="BH59" s="104">
        <f t="shared" si="5"/>
        <v>7035000</v>
      </c>
    </row>
    <row r="60" spans="1:60" s="1" customFormat="1" ht="27" customHeight="1" x14ac:dyDescent="0.25">
      <c r="A60" s="5">
        <v>57</v>
      </c>
      <c r="B60" s="21" t="s">
        <v>85</v>
      </c>
      <c r="C60" s="15" t="s">
        <v>122</v>
      </c>
      <c r="D60" s="27"/>
      <c r="E60" s="43"/>
      <c r="F60" s="39"/>
      <c r="G60" s="39"/>
      <c r="H60" s="114"/>
      <c r="I60" s="112"/>
      <c r="J60" s="115"/>
      <c r="K60" s="38"/>
      <c r="L60" s="46"/>
      <c r="M60" s="38"/>
      <c r="N60" s="39"/>
      <c r="O60" s="73"/>
      <c r="P60" s="118"/>
      <c r="Q60" s="119"/>
      <c r="R60" s="39"/>
      <c r="S60" s="45"/>
      <c r="T60" s="39"/>
      <c r="U60" s="39"/>
      <c r="V60" s="61">
        <v>150</v>
      </c>
      <c r="W60" s="113">
        <v>165000</v>
      </c>
      <c r="X60" s="62">
        <v>24750000</v>
      </c>
      <c r="Y60" s="39"/>
      <c r="Z60" s="45"/>
      <c r="AA60" s="39"/>
      <c r="AB60" s="61">
        <v>70</v>
      </c>
      <c r="AC60" s="113">
        <v>165000</v>
      </c>
      <c r="AD60" s="62">
        <v>11550000</v>
      </c>
      <c r="AE60" s="39"/>
      <c r="AF60" s="45"/>
      <c r="AG60" s="39"/>
      <c r="AH60" s="61">
        <v>80</v>
      </c>
      <c r="AI60" s="113">
        <v>165000</v>
      </c>
      <c r="AJ60" s="62">
        <v>13200000</v>
      </c>
      <c r="AK60" s="39"/>
      <c r="AL60" s="45"/>
      <c r="AM60" s="39"/>
      <c r="AN60" s="79"/>
      <c r="AO60" s="84"/>
      <c r="AP60" s="82">
        <f t="shared" si="26"/>
        <v>0</v>
      </c>
      <c r="AQ60" s="106"/>
      <c r="AR60" s="45"/>
      <c r="AS60" s="105"/>
      <c r="AT60" s="105"/>
      <c r="AU60" s="45"/>
      <c r="AV60" s="105"/>
      <c r="AW60" s="105"/>
      <c r="AX60" s="45"/>
      <c r="AY60" s="105"/>
      <c r="AZ60" s="105"/>
      <c r="BA60" s="45"/>
      <c r="BB60" s="105"/>
      <c r="BC60" s="105"/>
      <c r="BD60" s="45"/>
      <c r="BE60" s="105"/>
      <c r="BF60" s="105"/>
      <c r="BG60" s="45"/>
      <c r="BH60" s="105"/>
    </row>
    <row r="61" spans="1:60" s="1" customFormat="1" ht="27" customHeight="1" x14ac:dyDescent="0.25">
      <c r="A61" s="129" t="s">
        <v>93</v>
      </c>
      <c r="B61" s="130"/>
      <c r="C61" s="131"/>
      <c r="D61" s="27">
        <f>SUM(D4:D60)</f>
        <v>12760</v>
      </c>
      <c r="E61" s="43"/>
      <c r="F61" s="77">
        <f>SUM(F4:F60)</f>
        <v>1019191000</v>
      </c>
      <c r="G61" s="39"/>
      <c r="H61" s="61">
        <f>SUM(H4:H60)</f>
        <v>13558</v>
      </c>
      <c r="I61" s="116"/>
      <c r="J61" s="117">
        <f>SUM(J4:J60)</f>
        <v>1592953500</v>
      </c>
      <c r="K61" s="76">
        <f>SUM(K4:K60)</f>
        <v>8627</v>
      </c>
      <c r="L61" s="46"/>
      <c r="M61" s="38">
        <f>SUM(M4:M60)</f>
        <v>717846200</v>
      </c>
      <c r="N61" s="74"/>
      <c r="O61" s="73">
        <f>SUM(O4:O60)</f>
        <v>11691</v>
      </c>
      <c r="P61" s="120"/>
      <c r="Q61" s="63">
        <f>SUM(Q4:Q60)</f>
        <v>1372227000</v>
      </c>
      <c r="R61" s="27">
        <f>SUM(R4:R60)</f>
        <v>9802</v>
      </c>
      <c r="S61" s="65"/>
      <c r="T61" s="38">
        <f>SUM(T4:T60)</f>
        <v>768475530</v>
      </c>
      <c r="U61" s="74"/>
      <c r="V61" s="73">
        <f>SUM(V4:V60)</f>
        <v>15107</v>
      </c>
      <c r="W61" s="120"/>
      <c r="X61" s="121">
        <f>SUM(X4:X60)</f>
        <v>1805635500</v>
      </c>
      <c r="Y61" s="27">
        <f>SUM(Y4:Y60)</f>
        <v>6243</v>
      </c>
      <c r="Z61" s="65"/>
      <c r="AA61" s="38">
        <f>SUM(AA4:AA60)</f>
        <v>478349500</v>
      </c>
      <c r="AB61" s="73">
        <f>SUM(AB4:AB60)</f>
        <v>12998</v>
      </c>
      <c r="AC61" s="120"/>
      <c r="AD61" s="63">
        <f>SUM(AD4:AD60)</f>
        <v>1384152000</v>
      </c>
      <c r="AE61" s="27">
        <f>SUM(AE4:AE60)</f>
        <v>11962</v>
      </c>
      <c r="AF61" s="65"/>
      <c r="AG61" s="77">
        <f>SUM(AG4:AG60)</f>
        <v>1004366700</v>
      </c>
      <c r="AH61" s="73">
        <f>SUM(AH4:AH60)</f>
        <v>13177</v>
      </c>
      <c r="AI61" s="120"/>
      <c r="AJ61" s="63">
        <f>SUM(AJ4:AJ60)</f>
        <v>1440136500</v>
      </c>
      <c r="AK61" s="27">
        <f>SUM(AK4:AK60)</f>
        <v>13643</v>
      </c>
      <c r="AL61" s="65"/>
      <c r="AM61" s="75">
        <f>SUM(AM4:AM60)</f>
        <v>1243424300</v>
      </c>
      <c r="AN61" s="80">
        <f>SUM(AN4:AN60)</f>
        <v>10773</v>
      </c>
      <c r="AO61" s="86"/>
      <c r="AP61" s="81">
        <f>SUM(AP4:AP60)</f>
        <v>1235587000</v>
      </c>
      <c r="AQ61" s="107">
        <f>SUM(AQ4:AQ60)</f>
        <v>7488</v>
      </c>
      <c r="AR61" s="108"/>
      <c r="AS61" s="109">
        <f>SUM(AS4:AS60)</f>
        <v>587190100</v>
      </c>
      <c r="AT61" s="110">
        <f>SUM(AT4:AT60)</f>
        <v>8291</v>
      </c>
      <c r="AU61" s="108"/>
      <c r="AV61" s="109">
        <f>SUM(AV4:AV60)</f>
        <v>794076400</v>
      </c>
      <c r="AW61" s="110">
        <f>SUM(AW4:AW60)</f>
        <v>11642</v>
      </c>
      <c r="AX61" s="108"/>
      <c r="AY61" s="109">
        <f>SUM(AY4:AY60)</f>
        <v>986910000</v>
      </c>
      <c r="AZ61" s="110">
        <f>SUM(AZ4:AZ60)</f>
        <v>5673</v>
      </c>
      <c r="BA61" s="108"/>
      <c r="BB61" s="109">
        <f>SUM(BB4:BB60)</f>
        <v>582979500</v>
      </c>
      <c r="BC61" s="110">
        <f>SUM(BC4:BC60)</f>
        <v>14598</v>
      </c>
      <c r="BD61" s="108"/>
      <c r="BE61" s="109">
        <f>SUM(BE4:BE60)</f>
        <v>1663923000</v>
      </c>
      <c r="BF61" s="110">
        <f>SUM(BF4:BF60)</f>
        <v>16585</v>
      </c>
      <c r="BG61" s="108"/>
      <c r="BH61" s="109">
        <f>SUM(BH4:BH60)</f>
        <v>1866470500</v>
      </c>
    </row>
    <row r="62" spans="1:60" s="1" customFormat="1" ht="31.5" customHeight="1" x14ac:dyDescent="0.25">
      <c r="A62" s="2"/>
      <c r="B62" s="19"/>
      <c r="C62" s="6"/>
      <c r="D62" s="2"/>
      <c r="E62" s="49"/>
      <c r="F62" s="6"/>
      <c r="G62" s="6"/>
      <c r="H62" s="68"/>
      <c r="I62" s="12"/>
      <c r="J62" s="53"/>
      <c r="L62" s="10"/>
      <c r="O62" s="69"/>
      <c r="P62" s="66"/>
      <c r="Q62" s="54"/>
      <c r="S62" s="10"/>
      <c r="V62" s="68"/>
      <c r="W62" s="12"/>
      <c r="X62" s="53"/>
      <c r="Z62" s="10"/>
      <c r="AB62" s="68"/>
      <c r="AC62" s="12"/>
      <c r="AD62" s="53"/>
      <c r="AF62" s="10"/>
      <c r="AH62" s="68"/>
      <c r="AI62" s="12"/>
      <c r="AJ62" s="53"/>
      <c r="AL62" s="10"/>
      <c r="AN62" s="68"/>
      <c r="AO62" s="87"/>
      <c r="AP62" s="53"/>
      <c r="AQ62" s="111"/>
      <c r="AR62" s="88"/>
      <c r="AS62" s="99"/>
      <c r="AT62" s="99"/>
      <c r="AU62" s="10"/>
      <c r="AV62" s="99"/>
      <c r="AW62" s="99"/>
      <c r="AX62" s="10"/>
      <c r="AY62" s="99"/>
      <c r="AZ62" s="99"/>
      <c r="BA62" s="10"/>
      <c r="BB62" s="99"/>
      <c r="BC62" s="99"/>
      <c r="BD62" s="10"/>
      <c r="BE62" s="99"/>
      <c r="BF62" s="99"/>
      <c r="BG62" s="10"/>
      <c r="BH62" s="99"/>
    </row>
    <row r="63" spans="1:60" ht="31.5" customHeight="1" x14ac:dyDescent="0.5">
      <c r="H63" s="68"/>
      <c r="I63" s="12"/>
      <c r="J63" s="53"/>
      <c r="O63" s="69"/>
      <c r="P63" s="66"/>
      <c r="Q63" s="54"/>
      <c r="V63" s="68"/>
      <c r="W63" s="12"/>
      <c r="X63" s="53"/>
      <c r="AB63" s="68"/>
      <c r="AC63" s="12"/>
      <c r="AD63" s="53"/>
      <c r="AH63" s="68"/>
      <c r="AI63" s="12"/>
      <c r="AJ63" s="53"/>
      <c r="AN63" s="68"/>
      <c r="AO63" s="87"/>
      <c r="AP63" s="53"/>
    </row>
    <row r="64" spans="1:60" ht="31.5" customHeight="1" x14ac:dyDescent="0.5">
      <c r="H64" s="68"/>
      <c r="I64" s="12"/>
      <c r="J64" s="53"/>
      <c r="O64" s="69"/>
      <c r="P64" s="66"/>
      <c r="Q64" s="54"/>
      <c r="V64" s="68"/>
      <c r="W64" s="12"/>
      <c r="X64" s="53"/>
      <c r="AB64" s="68"/>
      <c r="AC64" s="12"/>
      <c r="AD64" s="53"/>
      <c r="AH64" s="68"/>
      <c r="AI64" s="12"/>
      <c r="AJ64" s="53"/>
      <c r="AN64" s="68"/>
      <c r="AO64" s="87"/>
      <c r="AP64" s="53"/>
    </row>
    <row r="65" spans="8:42" ht="31.5" customHeight="1" x14ac:dyDescent="0.5">
      <c r="H65" s="68"/>
      <c r="I65" s="12"/>
      <c r="J65" s="53"/>
      <c r="O65" s="69"/>
      <c r="P65" s="66"/>
      <c r="Q65" s="54"/>
      <c r="V65" s="68"/>
      <c r="W65" s="12"/>
      <c r="X65" s="53"/>
      <c r="AB65" s="68"/>
      <c r="AC65" s="12"/>
      <c r="AD65" s="53"/>
      <c r="AH65" s="68"/>
      <c r="AI65" s="12"/>
      <c r="AJ65" s="53"/>
      <c r="AN65" s="68"/>
      <c r="AO65" s="87"/>
      <c r="AP65" s="53"/>
    </row>
    <row r="66" spans="8:42" ht="31.5" customHeight="1" x14ac:dyDescent="0.5">
      <c r="H66" s="68"/>
      <c r="I66" s="12"/>
      <c r="J66" s="53"/>
      <c r="O66" s="69"/>
      <c r="P66" s="66"/>
      <c r="Q66" s="54"/>
      <c r="V66" s="68"/>
      <c r="W66" s="12"/>
      <c r="X66" s="53"/>
      <c r="AB66" s="68"/>
      <c r="AC66" s="12"/>
      <c r="AD66" s="53"/>
      <c r="AH66" s="68"/>
      <c r="AI66" s="12"/>
      <c r="AJ66" s="53"/>
      <c r="AN66" s="68"/>
      <c r="AO66" s="87"/>
      <c r="AP66" s="53"/>
    </row>
    <row r="67" spans="8:42" ht="31.5" customHeight="1" x14ac:dyDescent="0.5">
      <c r="H67" s="68"/>
      <c r="I67" s="12"/>
      <c r="J67" s="53"/>
      <c r="O67" s="69"/>
      <c r="P67" s="66"/>
      <c r="Q67" s="54"/>
      <c r="V67" s="68"/>
      <c r="W67" s="12"/>
      <c r="X67" s="53"/>
      <c r="AB67" s="68"/>
      <c r="AC67" s="12"/>
      <c r="AD67" s="53"/>
      <c r="AH67" s="68"/>
      <c r="AI67" s="12"/>
      <c r="AJ67" s="53"/>
      <c r="AN67" s="68"/>
      <c r="AO67" s="87"/>
      <c r="AP67" s="53"/>
    </row>
    <row r="68" spans="8:42" ht="31.5" customHeight="1" x14ac:dyDescent="0.5">
      <c r="H68" s="68"/>
      <c r="I68" s="12"/>
      <c r="J68" s="53"/>
      <c r="O68" s="69"/>
      <c r="P68" s="66"/>
      <c r="Q68" s="54"/>
      <c r="V68" s="68"/>
      <c r="W68" s="12"/>
      <c r="X68" s="53"/>
      <c r="AB68" s="68"/>
      <c r="AC68" s="12"/>
      <c r="AD68" s="53"/>
      <c r="AH68" s="68"/>
      <c r="AI68" s="12"/>
      <c r="AJ68" s="53"/>
      <c r="AN68" s="68"/>
      <c r="AO68" s="87"/>
      <c r="AP68" s="53"/>
    </row>
    <row r="69" spans="8:42" ht="31.5" customHeight="1" x14ac:dyDescent="0.5">
      <c r="H69" s="68"/>
      <c r="I69" s="12"/>
      <c r="J69" s="53"/>
      <c r="O69" s="69"/>
      <c r="P69" s="66"/>
      <c r="Q69" s="54"/>
      <c r="V69" s="68"/>
      <c r="W69" s="12"/>
      <c r="X69" s="53"/>
      <c r="AB69" s="68"/>
      <c r="AC69" s="12"/>
      <c r="AD69" s="53"/>
      <c r="AH69" s="68"/>
      <c r="AI69" s="12"/>
      <c r="AJ69" s="53"/>
      <c r="AN69" s="68"/>
      <c r="AO69" s="87"/>
      <c r="AP69" s="53"/>
    </row>
    <row r="70" spans="8:42" ht="31.5" customHeight="1" x14ac:dyDescent="0.5">
      <c r="H70" s="68"/>
      <c r="I70" s="12"/>
      <c r="J70" s="53"/>
      <c r="O70" s="69"/>
      <c r="P70" s="66"/>
      <c r="Q70" s="54"/>
      <c r="V70" s="68"/>
      <c r="W70" s="12"/>
      <c r="X70" s="53"/>
      <c r="AB70" s="68"/>
      <c r="AC70" s="12"/>
      <c r="AD70" s="53"/>
      <c r="AH70" s="68"/>
      <c r="AI70" s="12"/>
      <c r="AJ70" s="53"/>
      <c r="AN70" s="68"/>
      <c r="AO70" s="87"/>
      <c r="AP70" s="53"/>
    </row>
    <row r="71" spans="8:42" ht="31.5" customHeight="1" x14ac:dyDescent="0.5">
      <c r="H71" s="68"/>
      <c r="I71" s="12"/>
      <c r="J71" s="53"/>
      <c r="O71" s="69"/>
      <c r="P71" s="66"/>
      <c r="Q71" s="54"/>
      <c r="V71" s="68"/>
      <c r="W71" s="12"/>
      <c r="X71" s="53"/>
      <c r="AB71" s="68"/>
      <c r="AC71" s="12"/>
      <c r="AD71" s="53"/>
      <c r="AH71" s="68"/>
      <c r="AI71" s="12"/>
      <c r="AJ71" s="53"/>
      <c r="AN71" s="68"/>
      <c r="AO71" s="87"/>
      <c r="AP71" s="53"/>
    </row>
    <row r="72" spans="8:42" ht="31.5" customHeight="1" x14ac:dyDescent="0.5">
      <c r="H72" s="68"/>
      <c r="I72" s="12"/>
      <c r="J72" s="53"/>
      <c r="O72" s="69"/>
      <c r="P72" s="66"/>
      <c r="Q72" s="54"/>
      <c r="V72" s="68"/>
      <c r="W72" s="12"/>
      <c r="X72" s="53"/>
      <c r="AB72" s="68"/>
      <c r="AC72" s="12"/>
      <c r="AD72" s="53"/>
      <c r="AH72" s="68"/>
      <c r="AI72" s="12"/>
      <c r="AJ72" s="53"/>
      <c r="AN72" s="68"/>
      <c r="AO72" s="87"/>
      <c r="AP72" s="53"/>
    </row>
    <row r="73" spans="8:42" ht="31.5" customHeight="1" x14ac:dyDescent="0.5">
      <c r="H73" s="68"/>
      <c r="I73" s="12"/>
      <c r="J73" s="53"/>
      <c r="O73" s="69"/>
      <c r="P73" s="66"/>
      <c r="Q73" s="54"/>
      <c r="V73" s="68"/>
      <c r="W73" s="12"/>
      <c r="X73" s="53"/>
      <c r="AB73" s="68"/>
      <c r="AC73" s="12"/>
      <c r="AD73" s="53"/>
      <c r="AH73" s="68"/>
      <c r="AI73" s="12"/>
      <c r="AJ73" s="53"/>
      <c r="AN73" s="68"/>
      <c r="AO73" s="87"/>
      <c r="AP73" s="53"/>
    </row>
    <row r="74" spans="8:42" ht="31.5" customHeight="1" x14ac:dyDescent="0.5">
      <c r="H74" s="68"/>
      <c r="I74" s="12"/>
      <c r="J74" s="53"/>
      <c r="O74" s="69"/>
      <c r="P74" s="66"/>
      <c r="Q74" s="54"/>
      <c r="V74" s="68"/>
      <c r="W74" s="12"/>
      <c r="X74" s="53"/>
      <c r="AB74" s="68"/>
      <c r="AC74" s="12"/>
      <c r="AD74" s="53"/>
      <c r="AH74" s="68"/>
      <c r="AI74" s="12"/>
      <c r="AJ74" s="53"/>
      <c r="AN74" s="68"/>
      <c r="AO74" s="87"/>
      <c r="AP74" s="53"/>
    </row>
    <row r="75" spans="8:42" ht="31.5" customHeight="1" x14ac:dyDescent="0.5">
      <c r="H75" s="68"/>
      <c r="I75" s="12"/>
      <c r="J75" s="53"/>
      <c r="O75" s="69"/>
      <c r="P75" s="66"/>
      <c r="Q75" s="54"/>
      <c r="V75" s="68"/>
      <c r="W75" s="12"/>
      <c r="X75" s="53"/>
      <c r="AB75" s="68"/>
      <c r="AC75" s="12"/>
      <c r="AD75" s="53"/>
      <c r="AH75" s="68"/>
      <c r="AI75" s="12"/>
      <c r="AJ75" s="53"/>
      <c r="AN75" s="68"/>
      <c r="AO75" s="87"/>
      <c r="AP75" s="53"/>
    </row>
    <row r="76" spans="8:42" ht="31.5" customHeight="1" x14ac:dyDescent="0.5">
      <c r="H76" s="68"/>
      <c r="I76" s="12"/>
      <c r="J76" s="53"/>
      <c r="O76" s="69"/>
      <c r="P76" s="66"/>
      <c r="Q76" s="54"/>
      <c r="V76" s="68"/>
      <c r="W76" s="12"/>
      <c r="X76" s="53"/>
      <c r="AB76" s="68"/>
      <c r="AC76" s="12"/>
      <c r="AD76" s="53"/>
      <c r="AH76" s="68"/>
      <c r="AI76" s="12"/>
      <c r="AJ76" s="53"/>
      <c r="AN76" s="68"/>
      <c r="AO76" s="87"/>
      <c r="AP76" s="53"/>
    </row>
    <row r="77" spans="8:42" ht="31.5" customHeight="1" x14ac:dyDescent="0.5">
      <c r="H77" s="68"/>
      <c r="I77" s="12"/>
      <c r="J77" s="53"/>
      <c r="O77" s="69"/>
      <c r="P77" s="66"/>
      <c r="Q77" s="54"/>
      <c r="V77" s="68"/>
      <c r="W77" s="12"/>
      <c r="X77" s="53"/>
      <c r="AB77" s="68"/>
      <c r="AC77" s="12"/>
      <c r="AD77" s="53"/>
      <c r="AH77" s="68"/>
      <c r="AI77" s="12"/>
      <c r="AJ77" s="53"/>
      <c r="AN77" s="68"/>
      <c r="AO77" s="87"/>
      <c r="AP77" s="53"/>
    </row>
    <row r="78" spans="8:42" ht="31.5" customHeight="1" x14ac:dyDescent="0.5">
      <c r="H78" s="68"/>
      <c r="I78" s="12"/>
      <c r="J78" s="53"/>
      <c r="O78" s="69"/>
      <c r="P78" s="66"/>
      <c r="Q78" s="54"/>
      <c r="V78" s="68"/>
      <c r="W78" s="12"/>
      <c r="X78" s="53"/>
      <c r="AB78" s="68"/>
      <c r="AC78" s="12"/>
      <c r="AD78" s="53"/>
      <c r="AH78" s="68"/>
      <c r="AI78" s="12"/>
      <c r="AJ78" s="53"/>
      <c r="AN78" s="68"/>
      <c r="AO78" s="87"/>
      <c r="AP78" s="53"/>
    </row>
    <row r="79" spans="8:42" ht="31.5" customHeight="1" x14ac:dyDescent="0.5">
      <c r="H79" s="68"/>
      <c r="I79" s="12"/>
      <c r="J79" s="53"/>
      <c r="O79" s="69"/>
      <c r="P79" s="66"/>
      <c r="Q79" s="54"/>
      <c r="V79" s="68"/>
      <c r="W79" s="12"/>
      <c r="X79" s="53"/>
      <c r="AB79" s="68"/>
      <c r="AC79" s="12"/>
      <c r="AD79" s="53"/>
      <c r="AH79" s="68"/>
      <c r="AI79" s="12"/>
      <c r="AJ79" s="53"/>
      <c r="AN79" s="68"/>
      <c r="AO79" s="87"/>
      <c r="AP79" s="53"/>
    </row>
    <row r="80" spans="8:42" ht="31.5" customHeight="1" x14ac:dyDescent="0.5">
      <c r="H80" s="68"/>
      <c r="I80" s="12"/>
      <c r="J80" s="53"/>
      <c r="O80" s="69"/>
      <c r="P80" s="66"/>
      <c r="Q80" s="54"/>
      <c r="V80" s="68"/>
      <c r="W80" s="12"/>
      <c r="X80" s="53"/>
      <c r="AB80" s="68"/>
      <c r="AC80" s="12"/>
      <c r="AD80" s="53"/>
      <c r="AH80" s="68"/>
      <c r="AI80" s="12"/>
      <c r="AJ80" s="53"/>
      <c r="AN80" s="68"/>
      <c r="AO80" s="87"/>
      <c r="AP80" s="53"/>
    </row>
    <row r="81" spans="8:42" ht="31.5" customHeight="1" x14ac:dyDescent="0.5">
      <c r="H81" s="68"/>
      <c r="I81" s="12"/>
      <c r="J81" s="53"/>
      <c r="O81" s="69"/>
      <c r="P81" s="66"/>
      <c r="Q81" s="54"/>
      <c r="V81" s="68"/>
      <c r="W81" s="12"/>
      <c r="X81" s="53"/>
      <c r="AB81" s="68"/>
      <c r="AC81" s="12"/>
      <c r="AD81" s="53"/>
      <c r="AH81" s="68"/>
      <c r="AI81" s="12"/>
      <c r="AJ81" s="53"/>
      <c r="AN81" s="68"/>
      <c r="AO81" s="87"/>
      <c r="AP81" s="53"/>
    </row>
    <row r="82" spans="8:42" ht="31.5" customHeight="1" x14ac:dyDescent="0.5">
      <c r="H82" s="68"/>
      <c r="I82" s="12"/>
      <c r="J82" s="53"/>
      <c r="O82" s="69"/>
      <c r="P82" s="66"/>
      <c r="Q82" s="54"/>
      <c r="V82" s="68"/>
      <c r="W82" s="12"/>
      <c r="X82" s="53"/>
      <c r="AB82" s="68"/>
      <c r="AC82" s="12"/>
      <c r="AD82" s="53"/>
      <c r="AH82" s="68"/>
      <c r="AI82" s="12"/>
      <c r="AJ82" s="53"/>
      <c r="AN82" s="68"/>
      <c r="AO82" s="87"/>
      <c r="AP82" s="53"/>
    </row>
    <row r="83" spans="8:42" ht="31.5" customHeight="1" x14ac:dyDescent="0.5">
      <c r="H83" s="68"/>
      <c r="I83" s="12"/>
      <c r="J83" s="53"/>
      <c r="O83" s="69"/>
      <c r="P83" s="66"/>
      <c r="Q83" s="54"/>
      <c r="V83" s="68"/>
      <c r="W83" s="12"/>
      <c r="X83" s="53"/>
      <c r="AB83" s="68"/>
      <c r="AC83" s="12"/>
      <c r="AD83" s="53"/>
      <c r="AH83" s="68"/>
      <c r="AI83" s="12"/>
      <c r="AJ83" s="53"/>
      <c r="AN83" s="68"/>
      <c r="AO83" s="87"/>
      <c r="AP83" s="53"/>
    </row>
    <row r="84" spans="8:42" ht="31.5" customHeight="1" x14ac:dyDescent="0.5">
      <c r="H84" s="68"/>
      <c r="I84" s="12"/>
      <c r="J84" s="53"/>
      <c r="O84" s="69"/>
      <c r="P84" s="66"/>
      <c r="Q84" s="54"/>
      <c r="V84" s="68"/>
      <c r="W84" s="12"/>
      <c r="X84" s="53"/>
      <c r="AB84" s="68"/>
      <c r="AC84" s="12"/>
      <c r="AD84" s="53"/>
      <c r="AH84" s="68"/>
      <c r="AI84" s="12"/>
      <c r="AJ84" s="53"/>
      <c r="AN84" s="68"/>
      <c r="AO84" s="87"/>
      <c r="AP84" s="53"/>
    </row>
    <row r="85" spans="8:42" ht="31.5" customHeight="1" x14ac:dyDescent="0.5">
      <c r="H85" s="68"/>
      <c r="I85" s="12"/>
      <c r="J85" s="53"/>
      <c r="O85" s="69"/>
      <c r="P85" s="66"/>
      <c r="Q85" s="54"/>
      <c r="V85" s="68"/>
      <c r="W85" s="12"/>
      <c r="X85" s="53"/>
      <c r="AB85" s="68"/>
      <c r="AC85" s="12"/>
      <c r="AD85" s="53"/>
      <c r="AH85" s="68"/>
      <c r="AI85" s="12"/>
      <c r="AJ85" s="53"/>
      <c r="AN85" s="68"/>
      <c r="AO85" s="87"/>
      <c r="AP85" s="53"/>
    </row>
    <row r="86" spans="8:42" ht="31.5" customHeight="1" x14ac:dyDescent="0.5">
      <c r="H86" s="68"/>
      <c r="I86" s="12"/>
      <c r="J86" s="53"/>
      <c r="O86" s="69"/>
      <c r="P86" s="66"/>
      <c r="Q86" s="54"/>
      <c r="V86" s="68"/>
      <c r="W86" s="12"/>
      <c r="X86" s="53"/>
      <c r="AB86" s="68"/>
      <c r="AC86" s="12"/>
      <c r="AD86" s="53"/>
      <c r="AH86" s="68"/>
      <c r="AI86" s="12"/>
      <c r="AJ86" s="53"/>
      <c r="AN86" s="68"/>
      <c r="AO86" s="87"/>
      <c r="AP86" s="53"/>
    </row>
    <row r="87" spans="8:42" ht="31.5" customHeight="1" x14ac:dyDescent="0.5">
      <c r="H87" s="68"/>
      <c r="I87" s="12"/>
      <c r="J87" s="53"/>
      <c r="O87" s="69"/>
      <c r="P87" s="66"/>
      <c r="Q87" s="54"/>
      <c r="V87" s="68"/>
      <c r="W87" s="12"/>
      <c r="X87" s="53"/>
      <c r="AB87" s="68"/>
      <c r="AC87" s="12"/>
      <c r="AD87" s="53"/>
      <c r="AH87" s="68"/>
      <c r="AI87" s="12"/>
      <c r="AJ87" s="53"/>
      <c r="AN87" s="68"/>
      <c r="AO87" s="87"/>
      <c r="AP87" s="53"/>
    </row>
    <row r="88" spans="8:42" ht="31.5" customHeight="1" x14ac:dyDescent="0.5">
      <c r="H88" s="68"/>
      <c r="I88" s="12"/>
      <c r="J88" s="53"/>
      <c r="O88" s="69"/>
      <c r="P88" s="66"/>
      <c r="Q88" s="54"/>
      <c r="V88" s="68"/>
      <c r="W88" s="12"/>
      <c r="X88" s="53"/>
      <c r="AB88" s="68"/>
      <c r="AC88" s="12"/>
      <c r="AD88" s="53"/>
      <c r="AH88" s="68"/>
      <c r="AI88" s="12"/>
      <c r="AJ88" s="53"/>
      <c r="AN88" s="68"/>
      <c r="AO88" s="87"/>
      <c r="AP88" s="53"/>
    </row>
    <row r="89" spans="8:42" ht="31.5" customHeight="1" x14ac:dyDescent="0.5">
      <c r="H89" s="68"/>
      <c r="I89" s="12"/>
      <c r="J89" s="53"/>
      <c r="O89" s="69"/>
      <c r="P89" s="66"/>
      <c r="Q89" s="54"/>
      <c r="V89" s="68"/>
      <c r="W89" s="12"/>
      <c r="X89" s="53"/>
      <c r="AB89" s="68"/>
      <c r="AC89" s="12"/>
      <c r="AD89" s="53"/>
      <c r="AH89" s="68"/>
      <c r="AI89" s="12"/>
      <c r="AJ89" s="53"/>
      <c r="AN89" s="68"/>
      <c r="AO89" s="87"/>
      <c r="AP89" s="53"/>
    </row>
    <row r="90" spans="8:42" ht="31.5" customHeight="1" x14ac:dyDescent="0.5">
      <c r="H90" s="68"/>
      <c r="I90" s="12"/>
      <c r="J90" s="53"/>
      <c r="O90" s="69"/>
      <c r="P90" s="66"/>
      <c r="Q90" s="54"/>
      <c r="V90" s="68"/>
      <c r="W90" s="12"/>
      <c r="X90" s="53"/>
      <c r="AB90" s="68"/>
      <c r="AC90" s="12"/>
      <c r="AD90" s="53"/>
      <c r="AH90" s="68"/>
      <c r="AI90" s="12"/>
      <c r="AJ90" s="53"/>
      <c r="AN90" s="68"/>
      <c r="AO90" s="87"/>
      <c r="AP90" s="53"/>
    </row>
    <row r="91" spans="8:42" ht="31.5" customHeight="1" x14ac:dyDescent="0.5">
      <c r="H91" s="55">
        <v>11691</v>
      </c>
      <c r="I91" s="20"/>
      <c r="J91" s="56">
        <v>1372227000</v>
      </c>
      <c r="O91" s="70"/>
      <c r="P91" s="17"/>
      <c r="Q91" s="57"/>
      <c r="V91" s="72"/>
      <c r="W91" s="10"/>
      <c r="X91" s="52"/>
      <c r="AB91" s="72"/>
      <c r="AC91" s="10"/>
      <c r="AD91" s="52"/>
      <c r="AH91" s="72"/>
      <c r="AI91" s="10"/>
      <c r="AJ91" s="52"/>
      <c r="AN91" s="72"/>
      <c r="AO91" s="88"/>
      <c r="AP91" s="52"/>
    </row>
  </sheetData>
  <mergeCells count="23">
    <mergeCell ref="BF2:BH2"/>
    <mergeCell ref="AQ2:AS2"/>
    <mergeCell ref="AT2:AV2"/>
    <mergeCell ref="AW2:AY2"/>
    <mergeCell ref="AZ2:BB2"/>
    <mergeCell ref="BC2:BE2"/>
    <mergeCell ref="AN2:AP2"/>
    <mergeCell ref="H2:J2"/>
    <mergeCell ref="O2:Q2"/>
    <mergeCell ref="V2:X2"/>
    <mergeCell ref="AB2:AD2"/>
    <mergeCell ref="AK2:AM2"/>
    <mergeCell ref="K2:N2"/>
    <mergeCell ref="R2:U2"/>
    <mergeCell ref="AH2:AJ2"/>
    <mergeCell ref="AE2:AG2"/>
    <mergeCell ref="Y2:AA2"/>
    <mergeCell ref="A61:C61"/>
    <mergeCell ref="A1:G1"/>
    <mergeCell ref="A2:A3"/>
    <mergeCell ref="B2:B3"/>
    <mergeCell ref="C2:C3"/>
    <mergeCell ref="D2:G2"/>
  </mergeCells>
  <pageMargins left="0.6" right="0" top="0.3" bottom="0.5" header="0.3" footer="0.3"/>
  <pageSetup paperSize="9" scale="90" orientation="portrait" verticalDpi="1200" r:id="rId1"/>
  <headerFooter>
    <oddFooter xml:space="preserve">&amp;C
Page 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selection activeCell="E5" sqref="E5"/>
    </sheetView>
  </sheetViews>
  <sheetFormatPr defaultColWidth="9.140625" defaultRowHeight="39" customHeight="1" x14ac:dyDescent="0.5"/>
  <cols>
    <col min="1" max="1" width="4.5703125" style="4" customWidth="1"/>
    <col min="2" max="2" width="7.5703125" style="18" customWidth="1"/>
    <col min="3" max="3" width="43" style="1" customWidth="1"/>
    <col min="4" max="4" width="8.85546875" style="127" customWidth="1"/>
    <col min="5" max="5" width="18.28515625" style="31" customWidth="1"/>
    <col min="6" max="6" width="8.85546875" style="126" customWidth="1"/>
    <col min="7" max="7" width="18.28515625" style="1" customWidth="1"/>
    <col min="8" max="8" width="8.85546875" style="126" customWidth="1"/>
    <col min="9" max="9" width="18.28515625" style="1" customWidth="1"/>
    <col min="10" max="10" width="9.140625" style="31" customWidth="1"/>
    <col min="11" max="16384" width="9.140625" style="31"/>
  </cols>
  <sheetData>
    <row r="1" spans="1:10" s="3" customFormat="1" ht="39" customHeight="1" x14ac:dyDescent="0.25">
      <c r="A1" s="148" t="s">
        <v>179</v>
      </c>
      <c r="B1" s="148"/>
      <c r="C1" s="148"/>
      <c r="D1" s="148"/>
      <c r="E1" s="148"/>
      <c r="F1" s="148"/>
      <c r="G1" s="148"/>
      <c r="H1" s="148"/>
      <c r="I1" s="148"/>
    </row>
    <row r="2" spans="1:10" s="3" customFormat="1" ht="39" customHeight="1" x14ac:dyDescent="0.25">
      <c r="A2" s="97"/>
      <c r="B2" s="97"/>
      <c r="C2" s="97"/>
      <c r="D2" s="124"/>
      <c r="E2" s="149" t="s">
        <v>127</v>
      </c>
      <c r="F2" s="149"/>
      <c r="G2" s="149"/>
      <c r="H2" s="149"/>
      <c r="I2" s="149"/>
    </row>
    <row r="3" spans="1:10" s="3" customFormat="1" ht="39" customHeight="1" x14ac:dyDescent="0.25">
      <c r="A3" s="133" t="s">
        <v>4</v>
      </c>
      <c r="B3" s="135" t="s">
        <v>28</v>
      </c>
      <c r="C3" s="133" t="s">
        <v>1</v>
      </c>
      <c r="D3" s="150" t="s">
        <v>125</v>
      </c>
      <c r="E3" s="151"/>
      <c r="F3" s="146" t="s">
        <v>128</v>
      </c>
      <c r="G3" s="147"/>
      <c r="H3" s="146" t="s">
        <v>126</v>
      </c>
      <c r="I3" s="147"/>
    </row>
    <row r="4" spans="1:10" s="3" customFormat="1" ht="39" customHeight="1" x14ac:dyDescent="0.25">
      <c r="A4" s="134"/>
      <c r="B4" s="136"/>
      <c r="C4" s="134"/>
      <c r="D4" s="28" t="s">
        <v>2</v>
      </c>
      <c r="E4" s="8" t="s">
        <v>3</v>
      </c>
      <c r="F4" s="8" t="s">
        <v>2</v>
      </c>
      <c r="G4" s="8" t="s">
        <v>3</v>
      </c>
      <c r="H4" s="8" t="s">
        <v>2</v>
      </c>
      <c r="I4" s="8" t="s">
        <v>3</v>
      </c>
    </row>
    <row r="5" spans="1:10" s="3" customFormat="1" ht="39" customHeight="1" x14ac:dyDescent="0.25">
      <c r="A5" s="5">
        <v>1</v>
      </c>
      <c r="B5" s="21" t="s">
        <v>29</v>
      </c>
      <c r="C5" s="15" t="s">
        <v>21</v>
      </c>
      <c r="D5" s="22">
        <v>843</v>
      </c>
      <c r="E5" s="16">
        <v>30534750</v>
      </c>
      <c r="F5" s="5">
        <v>1632</v>
      </c>
      <c r="G5" s="16">
        <v>79076400</v>
      </c>
      <c r="H5" s="5">
        <v>700</v>
      </c>
      <c r="I5" s="16">
        <v>36750000</v>
      </c>
      <c r="J5" s="122"/>
    </row>
    <row r="6" spans="1:10" s="6" customFormat="1" ht="39" customHeight="1" x14ac:dyDescent="0.25">
      <c r="A6" s="5">
        <v>2</v>
      </c>
      <c r="B6" s="21" t="s">
        <v>59</v>
      </c>
      <c r="C6" s="15" t="s">
        <v>86</v>
      </c>
      <c r="D6" s="22">
        <v>6295</v>
      </c>
      <c r="E6" s="16">
        <v>236893240</v>
      </c>
      <c r="F6" s="5">
        <v>6701</v>
      </c>
      <c r="G6" s="16">
        <v>321048000</v>
      </c>
      <c r="H6" s="5">
        <v>7657</v>
      </c>
      <c r="I6" s="16">
        <v>405821000</v>
      </c>
      <c r="J6" s="122"/>
    </row>
    <row r="7" spans="1:10" s="6" customFormat="1" ht="39" customHeight="1" x14ac:dyDescent="0.25">
      <c r="A7" s="5">
        <v>3</v>
      </c>
      <c r="B7" s="21" t="s">
        <v>30</v>
      </c>
      <c r="C7" s="15" t="s">
        <v>95</v>
      </c>
      <c r="D7" s="22">
        <v>4218</v>
      </c>
      <c r="E7" s="16">
        <v>184280000</v>
      </c>
      <c r="F7" s="5">
        <v>4410</v>
      </c>
      <c r="G7" s="16">
        <v>261807600</v>
      </c>
      <c r="H7" s="5">
        <v>5302</v>
      </c>
      <c r="I7" s="16">
        <v>331375000</v>
      </c>
      <c r="J7" s="122"/>
    </row>
    <row r="8" spans="1:10" s="6" customFormat="1" ht="39" customHeight="1" x14ac:dyDescent="0.25">
      <c r="A8" s="5">
        <v>4</v>
      </c>
      <c r="B8" s="21" t="s">
        <v>64</v>
      </c>
      <c r="C8" s="15" t="s">
        <v>96</v>
      </c>
      <c r="D8" s="22">
        <v>262</v>
      </c>
      <c r="E8" s="16">
        <v>14393600</v>
      </c>
      <c r="F8" s="5">
        <v>205</v>
      </c>
      <c r="G8" s="16">
        <v>15602000</v>
      </c>
      <c r="H8" s="5">
        <v>410</v>
      </c>
      <c r="I8" s="16">
        <v>37105000</v>
      </c>
      <c r="J8" s="122"/>
    </row>
    <row r="9" spans="1:10" s="6" customFormat="1" ht="39" customHeight="1" x14ac:dyDescent="0.25">
      <c r="A9" s="5">
        <v>5</v>
      </c>
      <c r="B9" s="21" t="s">
        <v>60</v>
      </c>
      <c r="C9" s="15" t="s">
        <v>22</v>
      </c>
      <c r="D9" s="22">
        <v>52</v>
      </c>
      <c r="E9" s="16">
        <v>2482000</v>
      </c>
      <c r="F9" s="5">
        <v>783</v>
      </c>
      <c r="G9" s="16">
        <v>43480700</v>
      </c>
      <c r="H9" s="5">
        <v>500</v>
      </c>
      <c r="I9" s="16">
        <v>32000000</v>
      </c>
      <c r="J9" s="122"/>
    </row>
    <row r="10" spans="1:10" s="6" customFormat="1" ht="39" customHeight="1" x14ac:dyDescent="0.25">
      <c r="A10" s="5">
        <v>6</v>
      </c>
      <c r="B10" s="21" t="s">
        <v>31</v>
      </c>
      <c r="C10" s="15" t="s">
        <v>12</v>
      </c>
      <c r="D10" s="22">
        <v>968</v>
      </c>
      <c r="E10" s="16">
        <v>45192400</v>
      </c>
      <c r="F10" s="5">
        <v>1872</v>
      </c>
      <c r="G10" s="16">
        <v>106330800</v>
      </c>
      <c r="H10" s="5">
        <v>1850</v>
      </c>
      <c r="I10" s="16">
        <v>119325000</v>
      </c>
      <c r="J10" s="122"/>
    </row>
    <row r="11" spans="1:10" s="6" customFormat="1" ht="39" customHeight="1" x14ac:dyDescent="0.25">
      <c r="A11" s="5">
        <v>7</v>
      </c>
      <c r="B11" s="21" t="s">
        <v>32</v>
      </c>
      <c r="C11" s="15" t="s">
        <v>26</v>
      </c>
      <c r="D11" s="22">
        <v>152</v>
      </c>
      <c r="E11" s="16">
        <v>7301000</v>
      </c>
      <c r="F11" s="5">
        <v>348</v>
      </c>
      <c r="G11" s="16">
        <v>21959200</v>
      </c>
      <c r="H11" s="5">
        <v>252</v>
      </c>
      <c r="I11" s="16">
        <v>17221000</v>
      </c>
      <c r="J11" s="122"/>
    </row>
    <row r="12" spans="1:10" s="6" customFormat="1" ht="39" customHeight="1" x14ac:dyDescent="0.25">
      <c r="A12" s="5">
        <v>8</v>
      </c>
      <c r="B12" s="21" t="s">
        <v>62</v>
      </c>
      <c r="C12" s="15" t="s">
        <v>19</v>
      </c>
      <c r="D12" s="22">
        <v>130</v>
      </c>
      <c r="E12" s="16">
        <v>7371000</v>
      </c>
      <c r="F12" s="5">
        <v>620</v>
      </c>
      <c r="G12" s="16">
        <v>40190000</v>
      </c>
      <c r="H12" s="5">
        <v>400</v>
      </c>
      <c r="I12" s="16">
        <v>29000000</v>
      </c>
      <c r="J12" s="122"/>
    </row>
    <row r="13" spans="1:10" s="6" customFormat="1" ht="39" customHeight="1" x14ac:dyDescent="0.25">
      <c r="A13" s="94">
        <v>9</v>
      </c>
      <c r="B13" s="93" t="s">
        <v>61</v>
      </c>
      <c r="C13" s="96" t="s">
        <v>18</v>
      </c>
      <c r="D13" s="22">
        <v>500</v>
      </c>
      <c r="E13" s="16">
        <v>28187750</v>
      </c>
      <c r="F13" s="5">
        <v>1010</v>
      </c>
      <c r="G13" s="16">
        <v>70250000</v>
      </c>
      <c r="H13" s="5">
        <f>100+803</f>
        <v>903</v>
      </c>
      <c r="I13" s="16">
        <f>7573500+61429500</f>
        <v>69003000</v>
      </c>
      <c r="J13" s="122"/>
    </row>
    <row r="14" spans="1:10" s="6" customFormat="1" ht="39" customHeight="1" x14ac:dyDescent="0.25">
      <c r="A14" s="5">
        <v>10</v>
      </c>
      <c r="B14" s="21" t="s">
        <v>63</v>
      </c>
      <c r="C14" s="23" t="s">
        <v>23</v>
      </c>
      <c r="D14" s="22">
        <v>437</v>
      </c>
      <c r="E14" s="16">
        <v>24435570</v>
      </c>
      <c r="F14" s="5">
        <v>943</v>
      </c>
      <c r="G14" s="16">
        <v>67661700</v>
      </c>
      <c r="H14" s="5">
        <v>850</v>
      </c>
      <c r="I14" s="16">
        <v>67150000</v>
      </c>
      <c r="J14" s="122"/>
    </row>
    <row r="15" spans="1:10" s="6" customFormat="1" ht="39" customHeight="1" x14ac:dyDescent="0.25">
      <c r="A15" s="94">
        <v>11</v>
      </c>
      <c r="B15" s="93" t="s">
        <v>33</v>
      </c>
      <c r="C15" s="95" t="s">
        <v>5</v>
      </c>
      <c r="D15" s="22">
        <v>3385</v>
      </c>
      <c r="E15" s="16">
        <v>187446960</v>
      </c>
      <c r="F15" s="5">
        <v>2100</v>
      </c>
      <c r="G15" s="16">
        <v>157610000</v>
      </c>
      <c r="H15" s="5">
        <f>203+2550</f>
        <v>2753</v>
      </c>
      <c r="I15" s="16">
        <f>16062000+202725000</f>
        <v>218787000</v>
      </c>
      <c r="J15" s="122"/>
    </row>
    <row r="16" spans="1:10" s="6" customFormat="1" ht="39" customHeight="1" x14ac:dyDescent="0.25">
      <c r="A16" s="5">
        <v>12</v>
      </c>
      <c r="B16" s="21" t="s">
        <v>65</v>
      </c>
      <c r="C16" s="23" t="s">
        <v>24</v>
      </c>
      <c r="D16" s="22">
        <v>373</v>
      </c>
      <c r="E16" s="16">
        <v>26519820</v>
      </c>
      <c r="F16" s="5">
        <v>567</v>
      </c>
      <c r="G16" s="16">
        <v>51291800</v>
      </c>
      <c r="H16" s="5">
        <v>700</v>
      </c>
      <c r="I16" s="16">
        <v>70000000</v>
      </c>
      <c r="J16" s="122"/>
    </row>
    <row r="17" spans="1:10" s="6" customFormat="1" ht="39" customHeight="1" x14ac:dyDescent="0.25">
      <c r="A17" s="5">
        <v>13</v>
      </c>
      <c r="B17" s="21" t="s">
        <v>34</v>
      </c>
      <c r="C17" s="15" t="s">
        <v>13</v>
      </c>
      <c r="D17" s="22">
        <v>2531</v>
      </c>
      <c r="E17" s="16">
        <v>154332260</v>
      </c>
      <c r="F17" s="5">
        <v>2251</v>
      </c>
      <c r="G17" s="16">
        <v>194907000</v>
      </c>
      <c r="H17" s="5">
        <v>3020</v>
      </c>
      <c r="I17" s="16">
        <v>255190000</v>
      </c>
      <c r="J17" s="122"/>
    </row>
    <row r="18" spans="1:10" s="6" customFormat="1" ht="39" customHeight="1" x14ac:dyDescent="0.25">
      <c r="A18" s="5">
        <v>14</v>
      </c>
      <c r="B18" s="21" t="s">
        <v>35</v>
      </c>
      <c r="C18" s="15" t="s">
        <v>16</v>
      </c>
      <c r="D18" s="22">
        <v>3150</v>
      </c>
      <c r="E18" s="16">
        <v>203730100</v>
      </c>
      <c r="F18" s="5">
        <v>2770</v>
      </c>
      <c r="G18" s="16">
        <v>229480000</v>
      </c>
      <c r="H18" s="5">
        <v>3650</v>
      </c>
      <c r="I18" s="16">
        <v>328500000</v>
      </c>
      <c r="J18" s="122"/>
    </row>
    <row r="19" spans="1:10" s="6" customFormat="1" ht="39" customHeight="1" x14ac:dyDescent="0.25">
      <c r="A19" s="5">
        <v>15</v>
      </c>
      <c r="B19" s="21" t="s">
        <v>37</v>
      </c>
      <c r="C19" s="15" t="s">
        <v>97</v>
      </c>
      <c r="D19" s="22">
        <v>112</v>
      </c>
      <c r="E19" s="16">
        <v>7198450</v>
      </c>
      <c r="F19" s="5">
        <v>270</v>
      </c>
      <c r="G19" s="16">
        <v>22357000</v>
      </c>
      <c r="H19" s="5">
        <v>150</v>
      </c>
      <c r="I19" s="16">
        <v>15150000</v>
      </c>
      <c r="J19" s="122"/>
    </row>
    <row r="20" spans="1:10" s="6" customFormat="1" ht="39" customHeight="1" x14ac:dyDescent="0.25">
      <c r="A20" s="5">
        <v>16</v>
      </c>
      <c r="B20" s="21" t="s">
        <v>38</v>
      </c>
      <c r="C20" s="15" t="s">
        <v>98</v>
      </c>
      <c r="D20" s="22">
        <v>170</v>
      </c>
      <c r="E20" s="16">
        <v>11078900</v>
      </c>
      <c r="F20" s="5">
        <v>250</v>
      </c>
      <c r="G20" s="16">
        <v>20800000</v>
      </c>
      <c r="H20" s="5">
        <v>218</v>
      </c>
      <c r="I20" s="16">
        <v>22236000</v>
      </c>
      <c r="J20" s="122"/>
    </row>
    <row r="21" spans="1:10" s="6" customFormat="1" ht="39" customHeight="1" x14ac:dyDescent="0.25">
      <c r="A21" s="5">
        <v>17</v>
      </c>
      <c r="B21" s="21" t="s">
        <v>67</v>
      </c>
      <c r="C21" s="23" t="s">
        <v>17</v>
      </c>
      <c r="D21" s="22">
        <v>712</v>
      </c>
      <c r="E21" s="16">
        <v>68959200</v>
      </c>
      <c r="F21" s="5">
        <v>663</v>
      </c>
      <c r="G21" s="16">
        <v>82911600</v>
      </c>
      <c r="H21" s="5">
        <v>1150</v>
      </c>
      <c r="I21" s="16">
        <v>154100000</v>
      </c>
      <c r="J21" s="122"/>
    </row>
    <row r="22" spans="1:10" s="6" customFormat="1" ht="39" customHeight="1" x14ac:dyDescent="0.25">
      <c r="A22" s="5">
        <v>18</v>
      </c>
      <c r="B22" s="21" t="s">
        <v>68</v>
      </c>
      <c r="C22" s="23" t="s">
        <v>14</v>
      </c>
      <c r="D22" s="22">
        <v>280</v>
      </c>
      <c r="E22" s="16">
        <v>28599360</v>
      </c>
      <c r="F22" s="5">
        <v>440</v>
      </c>
      <c r="G22" s="16">
        <v>52750000</v>
      </c>
      <c r="H22" s="5">
        <v>500</v>
      </c>
      <c r="I22" s="16">
        <v>68000000</v>
      </c>
      <c r="J22" s="122"/>
    </row>
    <row r="23" spans="1:10" s="6" customFormat="1" ht="39" customHeight="1" x14ac:dyDescent="0.25">
      <c r="A23" s="5">
        <v>19</v>
      </c>
      <c r="B23" s="21" t="s">
        <v>36</v>
      </c>
      <c r="C23" s="15" t="s">
        <v>15</v>
      </c>
      <c r="D23" s="22">
        <v>395</v>
      </c>
      <c r="E23" s="16">
        <v>43261920</v>
      </c>
      <c r="F23" s="5">
        <v>300</v>
      </c>
      <c r="G23" s="16">
        <v>41010000</v>
      </c>
      <c r="H23" s="5">
        <v>450</v>
      </c>
      <c r="I23" s="16">
        <v>71550000</v>
      </c>
      <c r="J23" s="122"/>
    </row>
    <row r="24" spans="1:10" s="6" customFormat="1" ht="39" customHeight="1" x14ac:dyDescent="0.25">
      <c r="A24" s="94">
        <v>20</v>
      </c>
      <c r="B24" s="93" t="s">
        <v>39</v>
      </c>
      <c r="C24" s="95" t="s">
        <v>20</v>
      </c>
      <c r="D24" s="22">
        <v>1172</v>
      </c>
      <c r="E24" s="16">
        <v>93810600</v>
      </c>
      <c r="F24" s="5">
        <v>1628</v>
      </c>
      <c r="G24" s="16">
        <v>173122400</v>
      </c>
      <c r="H24" s="5">
        <f>456+1300</f>
        <v>1756</v>
      </c>
      <c r="I24" s="16">
        <f>53568000+153400000</f>
        <v>206968000</v>
      </c>
      <c r="J24" s="122"/>
    </row>
    <row r="25" spans="1:10" s="6" customFormat="1" ht="39" customHeight="1" x14ac:dyDescent="0.25">
      <c r="A25" s="94">
        <v>21</v>
      </c>
      <c r="B25" s="93" t="s">
        <v>40</v>
      </c>
      <c r="C25" s="95" t="s">
        <v>11</v>
      </c>
      <c r="D25" s="22">
        <v>3111</v>
      </c>
      <c r="E25" s="16">
        <v>252006840</v>
      </c>
      <c r="F25" s="5">
        <v>3130</v>
      </c>
      <c r="G25" s="16">
        <v>335192000</v>
      </c>
      <c r="H25" s="5">
        <f>2412+1450</f>
        <v>3862</v>
      </c>
      <c r="I25" s="16">
        <f>286548000+172550000</f>
        <v>459098000</v>
      </c>
      <c r="J25" s="122"/>
    </row>
    <row r="26" spans="1:10" s="6" customFormat="1" ht="39" customHeight="1" x14ac:dyDescent="0.25">
      <c r="A26" s="94">
        <v>22</v>
      </c>
      <c r="B26" s="93" t="s">
        <v>41</v>
      </c>
      <c r="C26" s="95" t="s">
        <v>87</v>
      </c>
      <c r="D26" s="22">
        <v>1253</v>
      </c>
      <c r="E26" s="16">
        <v>110820250</v>
      </c>
      <c r="F26" s="5">
        <v>1224</v>
      </c>
      <c r="G26" s="16">
        <v>143995700</v>
      </c>
      <c r="H26" s="5">
        <f>516+799</f>
        <v>1315</v>
      </c>
      <c r="I26" s="16">
        <f>65598000+102272000</f>
        <v>167870000</v>
      </c>
      <c r="J26" s="122"/>
    </row>
    <row r="27" spans="1:10" s="6" customFormat="1" ht="39" customHeight="1" x14ac:dyDescent="0.25">
      <c r="A27" s="5">
        <v>23</v>
      </c>
      <c r="B27" s="21" t="s">
        <v>82</v>
      </c>
      <c r="C27" s="15" t="s">
        <v>99</v>
      </c>
      <c r="D27" s="22"/>
      <c r="E27" s="16"/>
      <c r="F27" s="5">
        <v>0</v>
      </c>
      <c r="G27" s="16">
        <v>0</v>
      </c>
      <c r="H27" s="5">
        <v>3</v>
      </c>
      <c r="I27" s="16">
        <v>261000</v>
      </c>
      <c r="J27" s="122"/>
    </row>
    <row r="28" spans="1:10" s="6" customFormat="1" ht="39" customHeight="1" x14ac:dyDescent="0.25">
      <c r="A28" s="5">
        <v>24</v>
      </c>
      <c r="B28" s="21" t="s">
        <v>83</v>
      </c>
      <c r="C28" s="15" t="s">
        <v>91</v>
      </c>
      <c r="D28" s="22">
        <v>297</v>
      </c>
      <c r="E28" s="16">
        <v>28819840</v>
      </c>
      <c r="F28" s="5">
        <v>183</v>
      </c>
      <c r="G28" s="16">
        <v>23879800</v>
      </c>
      <c r="H28" s="5">
        <v>271</v>
      </c>
      <c r="I28" s="16">
        <v>37898000</v>
      </c>
      <c r="J28" s="122"/>
    </row>
    <row r="29" spans="1:10" s="6" customFormat="1" ht="39" customHeight="1" x14ac:dyDescent="0.25">
      <c r="A29" s="5">
        <v>25</v>
      </c>
      <c r="B29" s="21" t="s">
        <v>42</v>
      </c>
      <c r="C29" s="15" t="s">
        <v>8</v>
      </c>
      <c r="D29" s="22">
        <v>1103</v>
      </c>
      <c r="E29" s="16">
        <v>108030230</v>
      </c>
      <c r="F29" s="5">
        <v>1540</v>
      </c>
      <c r="G29" s="16">
        <v>190495500</v>
      </c>
      <c r="H29" s="5">
        <v>1780</v>
      </c>
      <c r="I29" s="16">
        <v>239410000</v>
      </c>
      <c r="J29" s="122"/>
    </row>
    <row r="30" spans="1:10" s="6" customFormat="1" ht="39" customHeight="1" x14ac:dyDescent="0.25">
      <c r="A30" s="5">
        <v>26</v>
      </c>
      <c r="B30" s="21" t="s">
        <v>43</v>
      </c>
      <c r="C30" s="15" t="s">
        <v>9</v>
      </c>
      <c r="D30" s="22">
        <v>4525</v>
      </c>
      <c r="E30" s="16">
        <v>451389500</v>
      </c>
      <c r="F30" s="5">
        <v>4427</v>
      </c>
      <c r="G30" s="16">
        <v>572552000</v>
      </c>
      <c r="H30" s="5">
        <v>5115</v>
      </c>
      <c r="I30" s="16">
        <v>710985000</v>
      </c>
      <c r="J30" s="122"/>
    </row>
    <row r="31" spans="1:10" s="6" customFormat="1" ht="39" customHeight="1" x14ac:dyDescent="0.25">
      <c r="A31" s="5">
        <v>27</v>
      </c>
      <c r="B31" s="21" t="s">
        <v>44</v>
      </c>
      <c r="C31" s="15" t="s">
        <v>10</v>
      </c>
      <c r="D31" s="22">
        <v>897</v>
      </c>
      <c r="E31" s="16">
        <v>105089610</v>
      </c>
      <c r="F31" s="5">
        <v>1229</v>
      </c>
      <c r="G31" s="16">
        <v>185454000</v>
      </c>
      <c r="H31" s="5">
        <v>1290</v>
      </c>
      <c r="I31" s="16">
        <v>216720000</v>
      </c>
      <c r="J31" s="122"/>
    </row>
    <row r="32" spans="1:10" s="6" customFormat="1" ht="39" customHeight="1" x14ac:dyDescent="0.25">
      <c r="A32" s="5">
        <v>28</v>
      </c>
      <c r="B32" s="21" t="s">
        <v>45</v>
      </c>
      <c r="C32" s="15" t="s">
        <v>100</v>
      </c>
      <c r="D32" s="22">
        <v>2792</v>
      </c>
      <c r="E32" s="16">
        <v>350986680</v>
      </c>
      <c r="F32" s="5">
        <v>2663</v>
      </c>
      <c r="G32" s="16">
        <v>428595000</v>
      </c>
      <c r="H32" s="5">
        <v>2967</v>
      </c>
      <c r="I32" s="16">
        <v>507357000</v>
      </c>
      <c r="J32" s="122"/>
    </row>
    <row r="33" spans="1:10" s="6" customFormat="1" ht="39" customHeight="1" x14ac:dyDescent="0.25">
      <c r="A33" s="5">
        <v>29</v>
      </c>
      <c r="B33" s="21" t="s">
        <v>46</v>
      </c>
      <c r="C33" s="15" t="s">
        <v>101</v>
      </c>
      <c r="D33" s="22">
        <v>679</v>
      </c>
      <c r="E33" s="16">
        <v>91267800</v>
      </c>
      <c r="F33" s="5">
        <v>1001</v>
      </c>
      <c r="G33" s="16">
        <v>175883000</v>
      </c>
      <c r="H33" s="5">
        <v>870</v>
      </c>
      <c r="I33" s="16">
        <v>165735000</v>
      </c>
      <c r="J33" s="122"/>
    </row>
    <row r="34" spans="1:10" s="6" customFormat="1" ht="39" customHeight="1" x14ac:dyDescent="0.25">
      <c r="A34" s="5">
        <v>30</v>
      </c>
      <c r="B34" s="21" t="s">
        <v>71</v>
      </c>
      <c r="C34" s="15" t="s">
        <v>92</v>
      </c>
      <c r="D34" s="22">
        <v>707</v>
      </c>
      <c r="E34" s="16">
        <v>107787010</v>
      </c>
      <c r="F34" s="5">
        <v>730</v>
      </c>
      <c r="G34" s="16">
        <v>138240000</v>
      </c>
      <c r="H34" s="5">
        <v>900</v>
      </c>
      <c r="I34" s="16">
        <v>185400000</v>
      </c>
      <c r="J34" s="122"/>
    </row>
    <row r="35" spans="1:10" s="6" customFormat="1" ht="39" customHeight="1" x14ac:dyDescent="0.25">
      <c r="A35" s="5">
        <v>31</v>
      </c>
      <c r="B35" s="21" t="s">
        <v>47</v>
      </c>
      <c r="C35" s="15" t="s">
        <v>102</v>
      </c>
      <c r="D35" s="22">
        <v>1225</v>
      </c>
      <c r="E35" s="16">
        <v>181227390</v>
      </c>
      <c r="F35" s="5">
        <v>820</v>
      </c>
      <c r="G35" s="16">
        <v>155160000</v>
      </c>
      <c r="H35" s="5">
        <v>1000</v>
      </c>
      <c r="I35" s="16">
        <v>206000000</v>
      </c>
      <c r="J35" s="122"/>
    </row>
    <row r="36" spans="1:10" s="6" customFormat="1" ht="39" customHeight="1" x14ac:dyDescent="0.25">
      <c r="A36" s="5">
        <v>32</v>
      </c>
      <c r="B36" s="21" t="s">
        <v>48</v>
      </c>
      <c r="C36" s="15" t="s">
        <v>103</v>
      </c>
      <c r="D36" s="22">
        <v>4220</v>
      </c>
      <c r="E36" s="16">
        <v>662597100</v>
      </c>
      <c r="F36" s="5">
        <v>2763</v>
      </c>
      <c r="G36" s="16">
        <v>553770500</v>
      </c>
      <c r="H36" s="5">
        <v>3875</v>
      </c>
      <c r="I36" s="16">
        <v>827312500</v>
      </c>
      <c r="J36" s="122"/>
    </row>
    <row r="37" spans="1:10" s="6" customFormat="1" ht="39" customHeight="1" x14ac:dyDescent="0.25">
      <c r="A37" s="5">
        <v>33</v>
      </c>
      <c r="B37" s="93" t="s">
        <v>72</v>
      </c>
      <c r="C37" s="96" t="s">
        <v>104</v>
      </c>
      <c r="D37" s="22">
        <v>712</v>
      </c>
      <c r="E37" s="16">
        <v>117500800</v>
      </c>
      <c r="F37" s="5">
        <v>565</v>
      </c>
      <c r="G37" s="16">
        <v>109475000</v>
      </c>
      <c r="H37" s="5">
        <v>1050</v>
      </c>
      <c r="I37" s="16">
        <v>228513000</v>
      </c>
      <c r="J37" s="122"/>
    </row>
    <row r="38" spans="1:10" s="6" customFormat="1" ht="39" customHeight="1" x14ac:dyDescent="0.25">
      <c r="A38" s="5">
        <v>34</v>
      </c>
      <c r="B38" s="21" t="s">
        <v>66</v>
      </c>
      <c r="C38" s="23" t="s">
        <v>105</v>
      </c>
      <c r="D38" s="22">
        <v>247</v>
      </c>
      <c r="E38" s="16">
        <v>21360600</v>
      </c>
      <c r="F38" s="5">
        <v>353</v>
      </c>
      <c r="G38" s="16">
        <v>38974700</v>
      </c>
      <c r="H38" s="5">
        <v>310</v>
      </c>
      <c r="I38" s="16">
        <v>39835000</v>
      </c>
      <c r="J38" s="122"/>
    </row>
    <row r="39" spans="1:10" s="6" customFormat="1" ht="39" customHeight="1" x14ac:dyDescent="0.25">
      <c r="A39" s="94">
        <v>35</v>
      </c>
      <c r="B39" s="93" t="s">
        <v>73</v>
      </c>
      <c r="C39" s="95" t="s">
        <v>25</v>
      </c>
      <c r="D39" s="22">
        <v>87</v>
      </c>
      <c r="E39" s="16">
        <v>16634400</v>
      </c>
      <c r="F39" s="5">
        <v>283</v>
      </c>
      <c r="G39" s="16">
        <v>63065600</v>
      </c>
      <c r="H39" s="5">
        <f>29+272</f>
        <v>301</v>
      </c>
      <c r="I39" s="16">
        <f>7093000+67184000</f>
        <v>74277000</v>
      </c>
      <c r="J39" s="122"/>
    </row>
    <row r="40" spans="1:10" s="6" customFormat="1" ht="39" customHeight="1" x14ac:dyDescent="0.25">
      <c r="A40" s="5">
        <v>36</v>
      </c>
      <c r="B40" s="21" t="s">
        <v>49</v>
      </c>
      <c r="C40" s="15" t="s">
        <v>106</v>
      </c>
      <c r="D40" s="22">
        <v>1573</v>
      </c>
      <c r="E40" s="16">
        <v>293043720</v>
      </c>
      <c r="F40" s="5">
        <v>997</v>
      </c>
      <c r="G40" s="16">
        <v>236950000</v>
      </c>
      <c r="H40" s="5">
        <v>1400</v>
      </c>
      <c r="I40" s="16">
        <v>358400000</v>
      </c>
      <c r="J40" s="122"/>
    </row>
    <row r="41" spans="1:10" s="6" customFormat="1" ht="39" customHeight="1" x14ac:dyDescent="0.25">
      <c r="A41" s="5">
        <v>37</v>
      </c>
      <c r="B41" s="21" t="s">
        <v>74</v>
      </c>
      <c r="C41" s="15" t="s">
        <v>107</v>
      </c>
      <c r="D41" s="22">
        <v>139</v>
      </c>
      <c r="E41" s="16">
        <v>27633200</v>
      </c>
      <c r="F41" s="5">
        <v>166</v>
      </c>
      <c r="G41" s="16">
        <v>37109800</v>
      </c>
      <c r="H41" s="5">
        <v>230</v>
      </c>
      <c r="I41" s="16">
        <v>59225000</v>
      </c>
      <c r="J41" s="122"/>
    </row>
    <row r="42" spans="1:10" s="6" customFormat="1" ht="39" customHeight="1" x14ac:dyDescent="0.25">
      <c r="A42" s="94">
        <v>38</v>
      </c>
      <c r="B42" s="93" t="s">
        <v>76</v>
      </c>
      <c r="C42" s="95" t="s">
        <v>27</v>
      </c>
      <c r="D42" s="22">
        <v>89</v>
      </c>
      <c r="E42" s="16">
        <v>17354090</v>
      </c>
      <c r="F42" s="5">
        <v>130</v>
      </c>
      <c r="G42" s="16">
        <v>27313000</v>
      </c>
      <c r="H42" s="5">
        <f>71+100</f>
        <v>171</v>
      </c>
      <c r="I42" s="16">
        <f>19724500+27900000</f>
        <v>47624500</v>
      </c>
      <c r="J42" s="122"/>
    </row>
    <row r="43" spans="1:10" s="6" customFormat="1" ht="39" customHeight="1" x14ac:dyDescent="0.25">
      <c r="A43" s="94">
        <v>39</v>
      </c>
      <c r="B43" s="93" t="s">
        <v>75</v>
      </c>
      <c r="C43" s="96" t="s">
        <v>108</v>
      </c>
      <c r="D43" s="22">
        <v>166</v>
      </c>
      <c r="E43" s="16">
        <v>30258480</v>
      </c>
      <c r="F43" s="5">
        <v>159</v>
      </c>
      <c r="G43" s="16">
        <v>41260500</v>
      </c>
      <c r="H43" s="5">
        <f>11+91</f>
        <v>102</v>
      </c>
      <c r="I43" s="16">
        <f>2781000+23614500</f>
        <v>26395500</v>
      </c>
      <c r="J43" s="122"/>
    </row>
    <row r="44" spans="1:10" s="6" customFormat="1" ht="39" customHeight="1" x14ac:dyDescent="0.25">
      <c r="A44" s="5">
        <v>40</v>
      </c>
      <c r="B44" s="21" t="s">
        <v>50</v>
      </c>
      <c r="C44" s="15" t="s">
        <v>88</v>
      </c>
      <c r="D44" s="22">
        <v>494</v>
      </c>
      <c r="E44" s="16">
        <v>99075580</v>
      </c>
      <c r="F44" s="5">
        <v>520</v>
      </c>
      <c r="G44" s="16">
        <v>129655000</v>
      </c>
      <c r="H44" s="5">
        <v>770</v>
      </c>
      <c r="I44" s="16">
        <v>211365000</v>
      </c>
      <c r="J44" s="122"/>
    </row>
    <row r="45" spans="1:10" s="6" customFormat="1" ht="39" customHeight="1" x14ac:dyDescent="0.25">
      <c r="A45" s="5">
        <v>41</v>
      </c>
      <c r="B45" s="21" t="s">
        <v>77</v>
      </c>
      <c r="C45" s="15" t="s">
        <v>109</v>
      </c>
      <c r="D45" s="22">
        <v>387</v>
      </c>
      <c r="E45" s="16">
        <v>78126920</v>
      </c>
      <c r="F45" s="5">
        <v>108</v>
      </c>
      <c r="G45" s="16">
        <v>30456000</v>
      </c>
      <c r="H45" s="5">
        <v>133</v>
      </c>
      <c r="I45" s="16">
        <v>37426000</v>
      </c>
      <c r="J45" s="122"/>
    </row>
    <row r="46" spans="1:10" s="6" customFormat="1" ht="39" customHeight="1" x14ac:dyDescent="0.25">
      <c r="A46" s="5">
        <v>42</v>
      </c>
      <c r="B46" s="21" t="s">
        <v>69</v>
      </c>
      <c r="C46" s="15" t="s">
        <v>110</v>
      </c>
      <c r="D46" s="22">
        <v>1130</v>
      </c>
      <c r="E46" s="16">
        <v>97035300</v>
      </c>
      <c r="F46" s="5">
        <v>1707</v>
      </c>
      <c r="G46" s="16">
        <v>193542000</v>
      </c>
      <c r="H46" s="5">
        <v>1723</v>
      </c>
      <c r="I46" s="16">
        <v>210206000</v>
      </c>
      <c r="J46" s="122"/>
    </row>
    <row r="47" spans="1:10" s="6" customFormat="1" ht="39" customHeight="1" x14ac:dyDescent="0.25">
      <c r="A47" s="94">
        <v>43</v>
      </c>
      <c r="B47" s="93" t="s">
        <v>51</v>
      </c>
      <c r="C47" s="95" t="s">
        <v>111</v>
      </c>
      <c r="D47" s="22">
        <v>458</v>
      </c>
      <c r="E47" s="16">
        <v>119054200</v>
      </c>
      <c r="F47" s="5">
        <v>230</v>
      </c>
      <c r="G47" s="16">
        <v>79031000</v>
      </c>
      <c r="H47" s="5">
        <f>117+408</f>
        <v>525</v>
      </c>
      <c r="I47" s="16">
        <f>41987000+148308000</f>
        <v>190295000</v>
      </c>
      <c r="J47" s="122"/>
    </row>
    <row r="48" spans="1:10" s="6" customFormat="1" ht="39" customHeight="1" x14ac:dyDescent="0.25">
      <c r="A48" s="5">
        <v>44</v>
      </c>
      <c r="B48" s="21" t="s">
        <v>78</v>
      </c>
      <c r="C48" s="15" t="s">
        <v>112</v>
      </c>
      <c r="D48" s="22">
        <v>221</v>
      </c>
      <c r="E48" s="16">
        <v>54330640</v>
      </c>
      <c r="F48" s="5">
        <v>189</v>
      </c>
      <c r="G48" s="16">
        <v>55969200</v>
      </c>
      <c r="H48" s="5">
        <v>369</v>
      </c>
      <c r="I48" s="16">
        <v>125644500</v>
      </c>
      <c r="J48" s="122"/>
    </row>
    <row r="49" spans="1:10" s="6" customFormat="1" ht="39" customHeight="1" x14ac:dyDescent="0.25">
      <c r="A49" s="94">
        <v>45</v>
      </c>
      <c r="B49" s="93" t="s">
        <v>52</v>
      </c>
      <c r="C49" s="95" t="s">
        <v>113</v>
      </c>
      <c r="D49" s="22">
        <v>135</v>
      </c>
      <c r="E49" s="16">
        <v>22257960</v>
      </c>
      <c r="F49" s="5">
        <v>70</v>
      </c>
      <c r="G49" s="16">
        <v>14600000</v>
      </c>
      <c r="H49" s="5">
        <f>80+150</f>
        <v>230</v>
      </c>
      <c r="I49" s="16">
        <f>17205000+33300000</f>
        <v>50505000</v>
      </c>
      <c r="J49" s="122"/>
    </row>
    <row r="50" spans="1:10" s="6" customFormat="1" ht="39" customHeight="1" x14ac:dyDescent="0.25">
      <c r="A50" s="94">
        <v>46</v>
      </c>
      <c r="B50" s="93" t="s">
        <v>53</v>
      </c>
      <c r="C50" s="95" t="s">
        <v>114</v>
      </c>
      <c r="D50" s="22">
        <v>3670</v>
      </c>
      <c r="E50" s="16">
        <v>51020200</v>
      </c>
      <c r="F50" s="5">
        <v>1600</v>
      </c>
      <c r="G50" s="16">
        <v>28040000</v>
      </c>
      <c r="H50" s="5">
        <f>504+2500</f>
        <v>3004</v>
      </c>
      <c r="I50" s="16">
        <f>10056000+50000000</f>
        <v>60056000</v>
      </c>
      <c r="J50" s="122"/>
    </row>
    <row r="51" spans="1:10" s="6" customFormat="1" ht="39" customHeight="1" x14ac:dyDescent="0.25">
      <c r="A51" s="5">
        <v>47</v>
      </c>
      <c r="B51" s="21" t="s">
        <v>54</v>
      </c>
      <c r="C51" s="15" t="s">
        <v>115</v>
      </c>
      <c r="D51" s="22">
        <v>174</v>
      </c>
      <c r="E51" s="16">
        <v>40491200</v>
      </c>
      <c r="F51" s="5">
        <v>80</v>
      </c>
      <c r="G51" s="16">
        <v>22120000</v>
      </c>
      <c r="H51" s="5">
        <v>145</v>
      </c>
      <c r="I51" s="16">
        <v>45312500</v>
      </c>
      <c r="J51" s="122"/>
    </row>
    <row r="52" spans="1:10" s="6" customFormat="1" ht="39" customHeight="1" x14ac:dyDescent="0.25">
      <c r="A52" s="94">
        <v>48</v>
      </c>
      <c r="B52" s="93" t="s">
        <v>79</v>
      </c>
      <c r="C52" s="95" t="s">
        <v>116</v>
      </c>
      <c r="D52" s="22">
        <v>260</v>
      </c>
      <c r="E52" s="16">
        <v>63612100</v>
      </c>
      <c r="F52" s="5">
        <v>230</v>
      </c>
      <c r="G52" s="16">
        <v>71935000</v>
      </c>
      <c r="H52" s="5">
        <f>96+410</f>
        <v>506</v>
      </c>
      <c r="I52" s="16">
        <f>31998000+138990000</f>
        <v>170988000</v>
      </c>
      <c r="J52" s="122"/>
    </row>
    <row r="53" spans="1:10" s="6" customFormat="1" ht="39" customHeight="1" x14ac:dyDescent="0.25">
      <c r="A53" s="5">
        <v>49</v>
      </c>
      <c r="B53" s="21" t="s">
        <v>55</v>
      </c>
      <c r="C53" s="15" t="s">
        <v>117</v>
      </c>
      <c r="D53" s="22">
        <v>1</v>
      </c>
      <c r="E53" s="16">
        <v>272900</v>
      </c>
      <c r="F53" s="5">
        <v>60</v>
      </c>
      <c r="G53" s="16">
        <v>21234000</v>
      </c>
      <c r="H53" s="5">
        <v>80</v>
      </c>
      <c r="I53" s="16">
        <v>28312000</v>
      </c>
      <c r="J53" s="122"/>
    </row>
    <row r="54" spans="1:10" s="6" customFormat="1" ht="39" customHeight="1" x14ac:dyDescent="0.25">
      <c r="A54" s="5">
        <v>50</v>
      </c>
      <c r="B54" s="21" t="s">
        <v>56</v>
      </c>
      <c r="C54" s="15" t="s">
        <v>118</v>
      </c>
      <c r="D54" s="22">
        <v>2300</v>
      </c>
      <c r="E54" s="16">
        <v>34245000</v>
      </c>
      <c r="F54" s="5">
        <v>3150</v>
      </c>
      <c r="G54" s="16">
        <v>58250000</v>
      </c>
      <c r="H54" s="5">
        <v>3900</v>
      </c>
      <c r="I54" s="16">
        <v>78000000</v>
      </c>
      <c r="J54" s="122"/>
    </row>
    <row r="55" spans="1:10" s="6" customFormat="1" ht="39" customHeight="1" x14ac:dyDescent="0.25">
      <c r="A55" s="94">
        <v>51</v>
      </c>
      <c r="B55" s="93" t="s">
        <v>57</v>
      </c>
      <c r="C55" s="95" t="s">
        <v>119</v>
      </c>
      <c r="D55" s="22">
        <v>55</v>
      </c>
      <c r="E55" s="16">
        <v>7142200</v>
      </c>
      <c r="F55" s="5">
        <v>29</v>
      </c>
      <c r="G55" s="16">
        <v>5118500</v>
      </c>
      <c r="H55" s="5">
        <f>19+71</f>
        <v>90</v>
      </c>
      <c r="I55" s="16">
        <f>3307000+12531500</f>
        <v>15838500</v>
      </c>
      <c r="J55" s="122"/>
    </row>
    <row r="56" spans="1:10" s="6" customFormat="1" ht="39" customHeight="1" x14ac:dyDescent="0.25">
      <c r="A56" s="5">
        <v>52</v>
      </c>
      <c r="B56" s="21" t="s">
        <v>80</v>
      </c>
      <c r="C56" s="15" t="s">
        <v>123</v>
      </c>
      <c r="D56" s="22">
        <v>109</v>
      </c>
      <c r="E56" s="16">
        <v>20007000</v>
      </c>
      <c r="F56" s="5">
        <v>38</v>
      </c>
      <c r="G56" s="16">
        <v>7182000</v>
      </c>
      <c r="H56" s="5">
        <v>82</v>
      </c>
      <c r="I56" s="16">
        <v>19310000</v>
      </c>
      <c r="J56" s="122"/>
    </row>
    <row r="57" spans="1:10" s="6" customFormat="1" ht="39" customHeight="1" x14ac:dyDescent="0.25">
      <c r="A57" s="5">
        <v>53</v>
      </c>
      <c r="B57" s="21" t="s">
        <v>84</v>
      </c>
      <c r="C57" s="15" t="s">
        <v>124</v>
      </c>
      <c r="D57" s="22">
        <v>14</v>
      </c>
      <c r="E57" s="16">
        <v>2512000</v>
      </c>
      <c r="F57" s="5">
        <v>99</v>
      </c>
      <c r="G57" s="16">
        <v>23250000</v>
      </c>
      <c r="H57" s="5">
        <v>191</v>
      </c>
      <c r="I57" s="16">
        <v>51785000</v>
      </c>
      <c r="J57" s="122"/>
    </row>
    <row r="58" spans="1:10" s="6" customFormat="1" ht="39" customHeight="1" x14ac:dyDescent="0.25">
      <c r="A58" s="5">
        <v>54</v>
      </c>
      <c r="B58" s="21" t="s">
        <v>81</v>
      </c>
      <c r="C58" s="15" t="s">
        <v>89</v>
      </c>
      <c r="D58" s="22">
        <v>3507</v>
      </c>
      <c r="E58" s="16">
        <v>142338610</v>
      </c>
      <c r="F58" s="5">
        <v>3829</v>
      </c>
      <c r="G58" s="16">
        <v>195614500</v>
      </c>
      <c r="H58" s="5">
        <v>4671</v>
      </c>
      <c r="I58" s="16">
        <v>259240500</v>
      </c>
      <c r="J58" s="122"/>
    </row>
    <row r="59" spans="1:10" s="1" customFormat="1" ht="39" customHeight="1" x14ac:dyDescent="0.25">
      <c r="A59" s="94">
        <v>55</v>
      </c>
      <c r="B59" s="93" t="s">
        <v>58</v>
      </c>
      <c r="C59" s="95" t="s">
        <v>120</v>
      </c>
      <c r="D59" s="22">
        <v>123</v>
      </c>
      <c r="E59" s="16">
        <v>12915000</v>
      </c>
      <c r="F59" s="5">
        <v>90</v>
      </c>
      <c r="G59" s="16">
        <v>10485000</v>
      </c>
      <c r="H59" s="5">
        <f>77+215</f>
        <v>292</v>
      </c>
      <c r="I59" s="16">
        <f>10672500+29992500</f>
        <v>40665000</v>
      </c>
      <c r="J59" s="122"/>
    </row>
    <row r="60" spans="1:10" s="1" customFormat="1" ht="39" customHeight="1" x14ac:dyDescent="0.25">
      <c r="A60" s="5">
        <v>56</v>
      </c>
      <c r="B60" s="21" t="s">
        <v>70</v>
      </c>
      <c r="C60" s="15" t="s">
        <v>121</v>
      </c>
      <c r="D60" s="22">
        <v>40</v>
      </c>
      <c r="E60" s="16">
        <v>7400000</v>
      </c>
      <c r="F60" s="5">
        <v>122</v>
      </c>
      <c r="G60" s="16">
        <v>24055000</v>
      </c>
      <c r="H60" s="5">
        <v>310</v>
      </c>
      <c r="I60" s="16">
        <v>72695000</v>
      </c>
      <c r="J60" s="122"/>
    </row>
    <row r="61" spans="1:10" s="1" customFormat="1" ht="39" customHeight="1" x14ac:dyDescent="0.25">
      <c r="A61" s="5">
        <v>57</v>
      </c>
      <c r="B61" s="21" t="s">
        <v>85</v>
      </c>
      <c r="C61" s="15" t="s">
        <v>122</v>
      </c>
      <c r="D61" s="22"/>
      <c r="E61" s="16"/>
      <c r="F61" s="5"/>
      <c r="G61" s="16"/>
      <c r="H61" s="5">
        <v>300</v>
      </c>
      <c r="I61" s="16">
        <v>49500000</v>
      </c>
      <c r="J61" s="122"/>
    </row>
    <row r="62" spans="1:10" s="3" customFormat="1" ht="39" customHeight="1" x14ac:dyDescent="0.25">
      <c r="A62" s="129" t="s">
        <v>93</v>
      </c>
      <c r="B62" s="130"/>
      <c r="C62" s="131"/>
      <c r="D62" s="128">
        <f t="shared" ref="D62:I62" si="0">SUM(D5:D61)</f>
        <v>63037</v>
      </c>
      <c r="E62" s="123">
        <f t="shared" si="0"/>
        <v>5231653230</v>
      </c>
      <c r="F62" s="128">
        <f t="shared" si="0"/>
        <v>64277</v>
      </c>
      <c r="G62" s="123">
        <f t="shared" si="0"/>
        <v>6481549500</v>
      </c>
      <c r="H62" s="128">
        <f t="shared" si="0"/>
        <v>77304</v>
      </c>
      <c r="I62" s="123">
        <f t="shared" si="0"/>
        <v>8830691500</v>
      </c>
    </row>
    <row r="63" spans="1:10" s="1" customFormat="1" ht="39" customHeight="1" x14ac:dyDescent="0.25">
      <c r="A63" s="2"/>
      <c r="B63" s="19"/>
      <c r="C63" s="6"/>
      <c r="D63" s="126"/>
      <c r="F63" s="126"/>
      <c r="H63" s="125"/>
      <c r="I63" s="6"/>
    </row>
    <row r="64" spans="1:10" ht="39" customHeight="1" x14ac:dyDescent="0.5">
      <c r="H64" s="125"/>
      <c r="I64" s="6"/>
    </row>
    <row r="65" spans="8:9" ht="39" customHeight="1" x14ac:dyDescent="0.5">
      <c r="H65" s="125"/>
      <c r="I65" s="2"/>
    </row>
    <row r="66" spans="8:9" ht="39" customHeight="1" x14ac:dyDescent="0.5">
      <c r="H66" s="125"/>
      <c r="I66" s="6"/>
    </row>
    <row r="67" spans="8:9" ht="39" customHeight="1" x14ac:dyDescent="0.5">
      <c r="H67" s="125"/>
      <c r="I67" s="31"/>
    </row>
    <row r="68" spans="8:9" ht="39" customHeight="1" x14ac:dyDescent="0.5">
      <c r="H68" s="125"/>
      <c r="I68" s="2"/>
    </row>
    <row r="69" spans="8:9" ht="39" customHeight="1" x14ac:dyDescent="0.5">
      <c r="H69" s="125"/>
      <c r="I69" s="6"/>
    </row>
    <row r="70" spans="8:9" ht="39" customHeight="1" x14ac:dyDescent="0.5">
      <c r="H70" s="125"/>
      <c r="I70" s="6"/>
    </row>
    <row r="71" spans="8:9" ht="39" customHeight="1" x14ac:dyDescent="0.5">
      <c r="H71" s="125"/>
      <c r="I71" s="6"/>
    </row>
    <row r="72" spans="8:9" ht="39" customHeight="1" x14ac:dyDescent="0.5">
      <c r="H72" s="125"/>
      <c r="I72" s="6"/>
    </row>
    <row r="73" spans="8:9" ht="39" customHeight="1" x14ac:dyDescent="0.5">
      <c r="H73" s="125"/>
      <c r="I73" s="6"/>
    </row>
    <row r="74" spans="8:9" ht="39" customHeight="1" x14ac:dyDescent="0.5">
      <c r="H74" s="125"/>
      <c r="I74" s="6"/>
    </row>
    <row r="75" spans="8:9" ht="39" customHeight="1" x14ac:dyDescent="0.5">
      <c r="H75" s="125"/>
      <c r="I75" s="6"/>
    </row>
    <row r="76" spans="8:9" ht="39" customHeight="1" x14ac:dyDescent="0.5">
      <c r="H76" s="125"/>
      <c r="I76" s="6"/>
    </row>
    <row r="77" spans="8:9" ht="39" customHeight="1" x14ac:dyDescent="0.5">
      <c r="H77" s="125"/>
      <c r="I77" s="6"/>
    </row>
    <row r="78" spans="8:9" ht="39" customHeight="1" x14ac:dyDescent="0.5">
      <c r="H78" s="125"/>
      <c r="I78" s="6"/>
    </row>
    <row r="79" spans="8:9" ht="39" customHeight="1" x14ac:dyDescent="0.5">
      <c r="H79" s="125"/>
      <c r="I79" s="6"/>
    </row>
    <row r="80" spans="8:9" ht="39" customHeight="1" x14ac:dyDescent="0.5">
      <c r="H80" s="125"/>
      <c r="I80" s="6"/>
    </row>
    <row r="81" spans="8:9" ht="39" customHeight="1" x14ac:dyDescent="0.5">
      <c r="H81" s="125"/>
      <c r="I81" s="6"/>
    </row>
    <row r="82" spans="8:9" ht="39" customHeight="1" x14ac:dyDescent="0.5">
      <c r="H82" s="125"/>
      <c r="I82" s="6"/>
    </row>
    <row r="83" spans="8:9" ht="39" customHeight="1" x14ac:dyDescent="0.5">
      <c r="H83" s="125"/>
      <c r="I83" s="6"/>
    </row>
    <row r="84" spans="8:9" ht="39" customHeight="1" x14ac:dyDescent="0.5">
      <c r="H84" s="125"/>
      <c r="I84" s="6"/>
    </row>
    <row r="85" spans="8:9" ht="39" customHeight="1" x14ac:dyDescent="0.5">
      <c r="H85" s="125"/>
      <c r="I85" s="6"/>
    </row>
    <row r="86" spans="8:9" ht="39" customHeight="1" x14ac:dyDescent="0.5">
      <c r="H86" s="125"/>
      <c r="I86" s="6"/>
    </row>
    <row r="87" spans="8:9" ht="39" customHeight="1" x14ac:dyDescent="0.5">
      <c r="H87" s="125"/>
      <c r="I87" s="6"/>
    </row>
    <row r="88" spans="8:9" ht="39" customHeight="1" x14ac:dyDescent="0.5">
      <c r="H88" s="125"/>
      <c r="I88" s="6"/>
    </row>
    <row r="89" spans="8:9" ht="39" customHeight="1" x14ac:dyDescent="0.5">
      <c r="H89" s="125"/>
      <c r="I89" s="6"/>
    </row>
    <row r="90" spans="8:9" ht="39" customHeight="1" x14ac:dyDescent="0.5">
      <c r="H90" s="125"/>
      <c r="I90" s="6"/>
    </row>
    <row r="91" spans="8:9" ht="39" customHeight="1" x14ac:dyDescent="0.5">
      <c r="H91" s="125"/>
      <c r="I91" s="6"/>
    </row>
  </sheetData>
  <mergeCells count="9">
    <mergeCell ref="F3:G3"/>
    <mergeCell ref="A62:C62"/>
    <mergeCell ref="H3:I3"/>
    <mergeCell ref="A1:I1"/>
    <mergeCell ref="E2:I2"/>
    <mergeCell ref="D3:E3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E(2021)&amp;(H1-2022)Compare</vt:lpstr>
      <vt:lpstr>E(2021)&amp;(H1-22)Summary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Administrator</cp:lastModifiedBy>
  <cp:lastPrinted>2021-06-24T03:59:57Z</cp:lastPrinted>
  <dcterms:created xsi:type="dcterms:W3CDTF">2016-09-09T02:25:40Z</dcterms:created>
  <dcterms:modified xsi:type="dcterms:W3CDTF">2022-07-15T07:37:11Z</dcterms:modified>
</cp:coreProperties>
</file>