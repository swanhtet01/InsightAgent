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-105" windowWidth="19425" windowHeight="10305" tabRatio="578"/>
  </bookViews>
  <sheets>
    <sheet name="M(2021)&amp;(H1-22)Compare" sheetId="104" r:id="rId1"/>
    <sheet name="M (2021)&amp;(H1-22) (Summary)" sheetId="108" r:id="rId2"/>
  </sheets>
  <definedNames>
    <definedName name="_xlnm._FilterDatabase" localSheetId="0" hidden="1">'M(2021)&amp;(H1-22)Compare'!$C$1:$C$61</definedName>
    <definedName name="apple">#REF!</definedName>
  </definedNames>
  <calcPr calcId="144525"/>
  <fileRecoveryPr autoRecover="0"/>
</workbook>
</file>

<file path=xl/calcChain.xml><?xml version="1.0" encoding="utf-8"?>
<calcChain xmlns="http://schemas.openxmlformats.org/spreadsheetml/2006/main">
  <c r="D63" i="108" l="1"/>
  <c r="E63" i="108"/>
  <c r="F63" i="108"/>
  <c r="G63" i="108"/>
  <c r="H63" i="108"/>
  <c r="I63" i="108"/>
  <c r="E41" i="108"/>
  <c r="D41" i="108"/>
  <c r="I38" i="108"/>
  <c r="H38" i="108"/>
  <c r="E38" i="108"/>
  <c r="D38" i="108"/>
  <c r="AQ125" i="104"/>
  <c r="BF63" i="104"/>
  <c r="BE63" i="104"/>
  <c r="BC63" i="104"/>
  <c r="AT63" i="104"/>
  <c r="AQ63" i="104"/>
  <c r="BH61" i="104"/>
  <c r="AY61" i="104"/>
  <c r="AW61" i="104"/>
  <c r="AV60" i="104"/>
  <c r="BH59" i="104"/>
  <c r="BB59" i="104"/>
  <c r="AY59" i="104"/>
  <c r="AW59" i="104"/>
  <c r="AV59" i="104"/>
  <c r="AS59" i="104"/>
  <c r="AY58" i="104"/>
  <c r="AS58" i="104"/>
  <c r="BB57" i="104"/>
  <c r="AY57" i="104"/>
  <c r="BH56" i="104"/>
  <c r="AS56" i="104"/>
  <c r="BH55" i="104"/>
  <c r="BB55" i="104"/>
  <c r="AY55" i="104"/>
  <c r="BH54" i="104"/>
  <c r="BH53" i="104"/>
  <c r="AY53" i="104"/>
  <c r="AW53" i="104"/>
  <c r="BH52" i="104"/>
  <c r="AS52" i="104"/>
  <c r="BH51" i="104"/>
  <c r="AV51" i="104"/>
  <c r="BH50" i="104"/>
  <c r="AY50" i="104"/>
  <c r="AS50" i="104"/>
  <c r="BH49" i="104"/>
  <c r="AV49" i="104"/>
  <c r="BH48" i="104"/>
  <c r="BB47" i="104"/>
  <c r="AY47" i="104"/>
  <c r="AW47" i="104"/>
  <c r="AV47" i="104"/>
  <c r="BH46" i="104"/>
  <c r="BB46" i="104"/>
  <c r="BH45" i="104"/>
  <c r="BB45" i="104"/>
  <c r="AV45" i="104"/>
  <c r="AS45" i="104"/>
  <c r="BB44" i="104"/>
  <c r="AV43" i="104"/>
  <c r="BH42" i="104"/>
  <c r="BB42" i="104"/>
  <c r="BH41" i="104"/>
  <c r="BB41" i="104"/>
  <c r="AY41" i="104"/>
  <c r="AW41" i="104"/>
  <c r="AV41" i="104"/>
  <c r="AS41" i="104"/>
  <c r="BH40" i="104"/>
  <c r="AV40" i="104"/>
  <c r="BH39" i="104"/>
  <c r="BH38" i="104"/>
  <c r="BB38" i="104"/>
  <c r="BH37" i="104"/>
  <c r="BB37" i="104"/>
  <c r="AZ37" i="104"/>
  <c r="AY37" i="104"/>
  <c r="AW37" i="104"/>
  <c r="AV37" i="104"/>
  <c r="AS37" i="104"/>
  <c r="BH36" i="104"/>
  <c r="BB36" i="104"/>
  <c r="AY36" i="104"/>
  <c r="AV36" i="104"/>
  <c r="BH35" i="104"/>
  <c r="BB35" i="104"/>
  <c r="AV35" i="104"/>
  <c r="BH34" i="104"/>
  <c r="AV34" i="104"/>
  <c r="BH33" i="104"/>
  <c r="BB33" i="104"/>
  <c r="AY33" i="104"/>
  <c r="AW33" i="104"/>
  <c r="AV33" i="104"/>
  <c r="AS33" i="104"/>
  <c r="BH32" i="104"/>
  <c r="BB32" i="104"/>
  <c r="AY32" i="104"/>
  <c r="AV32" i="104"/>
  <c r="AS32" i="104"/>
  <c r="BH31" i="104"/>
  <c r="BB31" i="104"/>
  <c r="AY31" i="104"/>
  <c r="AW31" i="104"/>
  <c r="AV31" i="104"/>
  <c r="AS31" i="104"/>
  <c r="BH30" i="104"/>
  <c r="BB30" i="104"/>
  <c r="AY30" i="104"/>
  <c r="AV30" i="104"/>
  <c r="AS30" i="104"/>
  <c r="BB29" i="104"/>
  <c r="AV29" i="104"/>
  <c r="BH27" i="104"/>
  <c r="BB27" i="104"/>
  <c r="AY27" i="104"/>
  <c r="AW27" i="104"/>
  <c r="AV27" i="104"/>
  <c r="AS27" i="104"/>
  <c r="BH26" i="104"/>
  <c r="BB26" i="104"/>
  <c r="AZ26" i="104"/>
  <c r="AZ63" i="104" s="1"/>
  <c r="AY26" i="104"/>
  <c r="AV26" i="104"/>
  <c r="AS26" i="104"/>
  <c r="BH25" i="104"/>
  <c r="BB25" i="104"/>
  <c r="AY25" i="104"/>
  <c r="AV25" i="104"/>
  <c r="AS25" i="104"/>
  <c r="BH23" i="104"/>
  <c r="BB23" i="104"/>
  <c r="AY23" i="104"/>
  <c r="AW23" i="104"/>
  <c r="BH22" i="104"/>
  <c r="BB22" i="104"/>
  <c r="AV21" i="104"/>
  <c r="AV20" i="104"/>
  <c r="BH19" i="104"/>
  <c r="BB19" i="104"/>
  <c r="AY19" i="104"/>
  <c r="AW19" i="104"/>
  <c r="AV19" i="104"/>
  <c r="AS19" i="104"/>
  <c r="BH18" i="104"/>
  <c r="BB18" i="104"/>
  <c r="AY18" i="104"/>
  <c r="AW18" i="104"/>
  <c r="AV18" i="104"/>
  <c r="AS18" i="104"/>
  <c r="BH17" i="104"/>
  <c r="BB17" i="104"/>
  <c r="AV17" i="104"/>
  <c r="BH16" i="104"/>
  <c r="BB16" i="104"/>
  <c r="AY16" i="104"/>
  <c r="AV16" i="104"/>
  <c r="AS16" i="104"/>
  <c r="BH15" i="104"/>
  <c r="BB15" i="104"/>
  <c r="AV15" i="104"/>
  <c r="BH14" i="104"/>
  <c r="BB14" i="104"/>
  <c r="AY14" i="104"/>
  <c r="AV14" i="104"/>
  <c r="AS14" i="104"/>
  <c r="AY13" i="104"/>
  <c r="BH12" i="104"/>
  <c r="BB12" i="104"/>
  <c r="AY12" i="104"/>
  <c r="BH11" i="104"/>
  <c r="BB11" i="104"/>
  <c r="AY11" i="104"/>
  <c r="AW11" i="104"/>
  <c r="AS11" i="104"/>
  <c r="BH10" i="104"/>
  <c r="BB10" i="104"/>
  <c r="AY10" i="104"/>
  <c r="AV10" i="104"/>
  <c r="AS10" i="104"/>
  <c r="BH9" i="104"/>
  <c r="BH8" i="104"/>
  <c r="BB8" i="104"/>
  <c r="AY8" i="104"/>
  <c r="AW8" i="104"/>
  <c r="AS8" i="104"/>
  <c r="AS63" i="104" s="1"/>
  <c r="BH7" i="104"/>
  <c r="BH63" i="104" s="1"/>
  <c r="BB7" i="104"/>
  <c r="AY7" i="104"/>
  <c r="AW7" i="104"/>
  <c r="AW63" i="104" s="1"/>
  <c r="AV7" i="104"/>
  <c r="AS7" i="104"/>
  <c r="BB6" i="104"/>
  <c r="BB63" i="104" s="1"/>
  <c r="AY6" i="104"/>
  <c r="AY63" i="104" s="1"/>
  <c r="AV6" i="104"/>
  <c r="AV63" i="104" s="1"/>
  <c r="AS6" i="104"/>
  <c r="O38" i="104"/>
  <c r="Q38" i="104"/>
  <c r="R41" i="104"/>
  <c r="T41" i="104"/>
  <c r="AS125" i="104" l="1"/>
  <c r="AN63" i="104"/>
  <c r="AP7" i="104"/>
  <c r="AP8" i="104"/>
  <c r="AP9" i="104"/>
  <c r="AP10" i="104"/>
  <c r="AP11" i="104"/>
  <c r="AP12" i="104"/>
  <c r="AP13" i="104"/>
  <c r="AP14" i="104"/>
  <c r="AP15" i="104"/>
  <c r="AP16" i="104"/>
  <c r="AP17" i="104"/>
  <c r="AP18" i="104"/>
  <c r="AP19" i="104"/>
  <c r="AP20" i="104"/>
  <c r="AP21" i="104"/>
  <c r="AP22" i="104"/>
  <c r="AP23" i="104"/>
  <c r="AP24" i="104"/>
  <c r="AP25" i="104"/>
  <c r="AP26" i="104"/>
  <c r="AP27" i="104"/>
  <c r="AP28" i="104"/>
  <c r="AP29" i="104"/>
  <c r="AP30" i="104"/>
  <c r="AP31" i="104"/>
  <c r="AP32" i="104"/>
  <c r="AP33" i="104"/>
  <c r="AP34" i="104"/>
  <c r="AP35" i="104"/>
  <c r="AP36" i="104"/>
  <c r="AP37" i="104"/>
  <c r="AP38" i="104"/>
  <c r="AP39" i="104"/>
  <c r="AP40" i="104"/>
  <c r="AP41" i="104"/>
  <c r="AP42" i="104"/>
  <c r="AP43" i="104"/>
  <c r="AP44" i="104"/>
  <c r="AP45" i="104"/>
  <c r="AP46" i="104"/>
  <c r="AP47" i="104"/>
  <c r="AP48" i="104"/>
  <c r="AP49" i="104"/>
  <c r="AP50" i="104"/>
  <c r="AP51" i="104"/>
  <c r="AP52" i="104"/>
  <c r="AP53" i="104"/>
  <c r="AP54" i="104"/>
  <c r="AP55" i="104"/>
  <c r="AP56" i="104"/>
  <c r="AP57" i="104"/>
  <c r="AP58" i="104"/>
  <c r="AP59" i="104"/>
  <c r="AP60" i="104"/>
  <c r="AP61" i="104"/>
  <c r="AP62" i="104"/>
  <c r="AP6" i="104"/>
  <c r="AP63" i="104" l="1"/>
  <c r="AJ60" i="104"/>
  <c r="AJ59" i="104"/>
  <c r="AJ58" i="104"/>
  <c r="AJ57" i="104"/>
  <c r="AJ56" i="104"/>
  <c r="AJ55" i="104"/>
  <c r="AJ53" i="104"/>
  <c r="AJ52" i="104"/>
  <c r="AJ51" i="104"/>
  <c r="AJ50" i="104"/>
  <c r="AJ49" i="104"/>
  <c r="AJ48" i="104"/>
  <c r="AJ47" i="104"/>
  <c r="AJ45" i="104"/>
  <c r="AJ42" i="104"/>
  <c r="AJ41" i="104"/>
  <c r="AJ39" i="104"/>
  <c r="AJ38" i="104"/>
  <c r="AJ37" i="104"/>
  <c r="AJ36" i="104"/>
  <c r="AJ35" i="104"/>
  <c r="AJ34" i="104"/>
  <c r="AJ33" i="104"/>
  <c r="AJ32" i="104"/>
  <c r="AJ31" i="104"/>
  <c r="AJ30" i="104"/>
  <c r="AJ29" i="104"/>
  <c r="AH27" i="104"/>
  <c r="AH63" i="104" s="1"/>
  <c r="AJ26" i="104"/>
  <c r="AJ25" i="104"/>
  <c r="AJ24" i="104"/>
  <c r="AJ23" i="104"/>
  <c r="AJ22" i="104"/>
  <c r="AJ21" i="104"/>
  <c r="AJ19" i="104"/>
  <c r="AJ18" i="104"/>
  <c r="AJ17" i="104"/>
  <c r="AJ16" i="104"/>
  <c r="AJ15" i="104"/>
  <c r="AJ14" i="104"/>
  <c r="AJ13" i="104"/>
  <c r="AJ11" i="104"/>
  <c r="AJ10" i="104"/>
  <c r="AJ8" i="104"/>
  <c r="AJ7" i="104"/>
  <c r="AB63" i="104"/>
  <c r="V63" i="104"/>
  <c r="O63" i="104"/>
  <c r="H63" i="104"/>
  <c r="J60" i="104"/>
  <c r="AD59" i="104"/>
  <c r="X59" i="104"/>
  <c r="Q59" i="104"/>
  <c r="J59" i="104"/>
  <c r="AD58" i="104"/>
  <c r="X58" i="104"/>
  <c r="AD57" i="104"/>
  <c r="AD56" i="104"/>
  <c r="AD55" i="104"/>
  <c r="X55" i="104"/>
  <c r="Q55" i="104"/>
  <c r="J55" i="104"/>
  <c r="X54" i="104"/>
  <c r="Q54" i="104"/>
  <c r="J54" i="104"/>
  <c r="AD53" i="104"/>
  <c r="X53" i="104"/>
  <c r="Q53" i="104"/>
  <c r="J53" i="104"/>
  <c r="AD52" i="104"/>
  <c r="X52" i="104"/>
  <c r="Q52" i="104"/>
  <c r="AD51" i="104"/>
  <c r="X51" i="104"/>
  <c r="J51" i="104"/>
  <c r="Q50" i="104"/>
  <c r="AD49" i="104"/>
  <c r="X49" i="104"/>
  <c r="Q49" i="104"/>
  <c r="J49" i="104"/>
  <c r="AD48" i="104"/>
  <c r="X48" i="104"/>
  <c r="Q48" i="104"/>
  <c r="J48" i="104"/>
  <c r="AD47" i="104"/>
  <c r="X47" i="104"/>
  <c r="J47" i="104"/>
  <c r="X46" i="104"/>
  <c r="Q46" i="104"/>
  <c r="J46" i="104"/>
  <c r="AD45" i="104"/>
  <c r="X45" i="104"/>
  <c r="Q45" i="104"/>
  <c r="J45" i="104"/>
  <c r="X44" i="104"/>
  <c r="Q44" i="104"/>
  <c r="J44" i="104"/>
  <c r="AD43" i="104"/>
  <c r="X43" i="104"/>
  <c r="Q43" i="104"/>
  <c r="J43" i="104"/>
  <c r="X42" i="104"/>
  <c r="Q42" i="104"/>
  <c r="J42" i="104"/>
  <c r="AD41" i="104"/>
  <c r="X41" i="104"/>
  <c r="Q41" i="104"/>
  <c r="J41" i="104"/>
  <c r="AD40" i="104"/>
  <c r="X40" i="104"/>
  <c r="Q40" i="104"/>
  <c r="J40" i="104"/>
  <c r="AD39" i="104"/>
  <c r="J39" i="104"/>
  <c r="J38" i="104"/>
  <c r="AD38" i="104"/>
  <c r="X38" i="104"/>
  <c r="AD37" i="104"/>
  <c r="X37" i="104"/>
  <c r="Q37" i="104"/>
  <c r="J37" i="104"/>
  <c r="AD36" i="104"/>
  <c r="X36" i="104"/>
  <c r="Q36" i="104"/>
  <c r="J36" i="104"/>
  <c r="AD35" i="104"/>
  <c r="X35" i="104"/>
  <c r="Q35" i="104"/>
  <c r="J35" i="104"/>
  <c r="AD34" i="104"/>
  <c r="X34" i="104"/>
  <c r="Q34" i="104"/>
  <c r="J34" i="104"/>
  <c r="AD33" i="104"/>
  <c r="X33" i="104"/>
  <c r="Q33" i="104"/>
  <c r="J33" i="104"/>
  <c r="AD32" i="104"/>
  <c r="X32" i="104"/>
  <c r="Q32" i="104"/>
  <c r="J32" i="104"/>
  <c r="AD31" i="104"/>
  <c r="X31" i="104"/>
  <c r="Q31" i="104"/>
  <c r="J31" i="104"/>
  <c r="AD30" i="104"/>
  <c r="X30" i="104"/>
  <c r="Q30" i="104"/>
  <c r="J30" i="104"/>
  <c r="X29" i="104"/>
  <c r="J29" i="104"/>
  <c r="AD27" i="104"/>
  <c r="X27" i="104"/>
  <c r="Q27" i="104"/>
  <c r="J27" i="104"/>
  <c r="AD26" i="104"/>
  <c r="X26" i="104"/>
  <c r="Q26" i="104"/>
  <c r="J26" i="104"/>
  <c r="AD25" i="104"/>
  <c r="X25" i="104"/>
  <c r="Q25" i="104"/>
  <c r="J25" i="104"/>
  <c r="X24" i="104"/>
  <c r="J24" i="104"/>
  <c r="AD23" i="104"/>
  <c r="X23" i="104"/>
  <c r="Q23" i="104"/>
  <c r="J23" i="104"/>
  <c r="AD22" i="104"/>
  <c r="X22" i="104"/>
  <c r="Q22" i="104"/>
  <c r="J22" i="104"/>
  <c r="X21" i="104"/>
  <c r="Q21" i="104"/>
  <c r="AD19" i="104"/>
  <c r="X19" i="104"/>
  <c r="Q19" i="104"/>
  <c r="J19" i="104"/>
  <c r="AD18" i="104"/>
  <c r="X18" i="104"/>
  <c r="Q18" i="104"/>
  <c r="J18" i="104"/>
  <c r="AD17" i="104"/>
  <c r="Q17" i="104"/>
  <c r="AD16" i="104"/>
  <c r="X16" i="104"/>
  <c r="Q16" i="104"/>
  <c r="J16" i="104"/>
  <c r="AD15" i="104"/>
  <c r="X15" i="104"/>
  <c r="Q15" i="104"/>
  <c r="J15" i="104"/>
  <c r="AD14" i="104"/>
  <c r="X14" i="104"/>
  <c r="Q14" i="104"/>
  <c r="J14" i="104"/>
  <c r="X13" i="104"/>
  <c r="J13" i="104"/>
  <c r="AD11" i="104"/>
  <c r="X11" i="104"/>
  <c r="Q11" i="104"/>
  <c r="J11" i="104"/>
  <c r="AD10" i="104"/>
  <c r="X10" i="104"/>
  <c r="J10" i="104"/>
  <c r="AD9" i="104"/>
  <c r="X9" i="104"/>
  <c r="J9" i="104"/>
  <c r="AD8" i="104"/>
  <c r="X8" i="104"/>
  <c r="Q8" i="104"/>
  <c r="J8" i="104"/>
  <c r="AD7" i="104"/>
  <c r="X7" i="104"/>
  <c r="Q7" i="104"/>
  <c r="J7" i="104"/>
  <c r="AD6" i="104"/>
  <c r="X6" i="104"/>
  <c r="Q6" i="104"/>
  <c r="D63" i="104"/>
  <c r="K63" i="104"/>
  <c r="Y63" i="104"/>
  <c r="AE63" i="104"/>
  <c r="AK63" i="104"/>
  <c r="AJ27" i="104" l="1"/>
  <c r="AJ63" i="104" s="1"/>
  <c r="AD63" i="104"/>
  <c r="J63" i="104"/>
  <c r="Q63" i="104"/>
  <c r="X63" i="104"/>
  <c r="AG60" i="104" l="1"/>
  <c r="AG57" i="104"/>
  <c r="AG52" i="104"/>
  <c r="AG51" i="104"/>
  <c r="AG55" i="104"/>
  <c r="AG49" i="104"/>
  <c r="AG48" i="104"/>
  <c r="AG47" i="104"/>
  <c r="AG45" i="104"/>
  <c r="AG41" i="104"/>
  <c r="AG39" i="104"/>
  <c r="AG38" i="104"/>
  <c r="AG37" i="104"/>
  <c r="AG36" i="104"/>
  <c r="AG35" i="104"/>
  <c r="AG34" i="104"/>
  <c r="AG33" i="104"/>
  <c r="AG32" i="104"/>
  <c r="AG31" i="104"/>
  <c r="AG30" i="104"/>
  <c r="AG26" i="104"/>
  <c r="AG24" i="104"/>
  <c r="AG23" i="104"/>
  <c r="AG22" i="104"/>
  <c r="AG19" i="104"/>
  <c r="AG18" i="104"/>
  <c r="AG16" i="104"/>
  <c r="AG14" i="104"/>
  <c r="AG11" i="104"/>
  <c r="AG8" i="104"/>
  <c r="AG59" i="104"/>
  <c r="AG7" i="104"/>
  <c r="AM61" i="104"/>
  <c r="AM59" i="104"/>
  <c r="AM55" i="104"/>
  <c r="AM51" i="104"/>
  <c r="AM50" i="104"/>
  <c r="AM49" i="104"/>
  <c r="AM48" i="104"/>
  <c r="AM47" i="104"/>
  <c r="AM9" i="104"/>
  <c r="AM45" i="104"/>
  <c r="AM43" i="104"/>
  <c r="AM42" i="104"/>
  <c r="AM41" i="104"/>
  <c r="AM40" i="104"/>
  <c r="AM38" i="104"/>
  <c r="AM37" i="104"/>
  <c r="AM36" i="104"/>
  <c r="AM35" i="104"/>
  <c r="AM34" i="104"/>
  <c r="AM33" i="104"/>
  <c r="AM32" i="104"/>
  <c r="AM31" i="104"/>
  <c r="AM30" i="104"/>
  <c r="AM27" i="104"/>
  <c r="AM26" i="104"/>
  <c r="AM25" i="104"/>
  <c r="AM24" i="104"/>
  <c r="AM23" i="104"/>
  <c r="AM19" i="104"/>
  <c r="AM18" i="104"/>
  <c r="AM17" i="104"/>
  <c r="AM16" i="104"/>
  <c r="AM15" i="104"/>
  <c r="AM14" i="104"/>
  <c r="AM13" i="104"/>
  <c r="AM11" i="104"/>
  <c r="AM10" i="104"/>
  <c r="AM8" i="104"/>
  <c r="AM7" i="104"/>
  <c r="AM6" i="104"/>
  <c r="AA53" i="104"/>
  <c r="AA47" i="104"/>
  <c r="AA41" i="104"/>
  <c r="AA37" i="104"/>
  <c r="AA36" i="104"/>
  <c r="AA35" i="104"/>
  <c r="AA34" i="104"/>
  <c r="AA33" i="104"/>
  <c r="AA32" i="104"/>
  <c r="AA31" i="104"/>
  <c r="AA30" i="104"/>
  <c r="AA27" i="104"/>
  <c r="AA26" i="104"/>
  <c r="AA25" i="104"/>
  <c r="AA22" i="104"/>
  <c r="AA19" i="104"/>
  <c r="AA18" i="104"/>
  <c r="AA16" i="104"/>
  <c r="AA11" i="104"/>
  <c r="AA8" i="104"/>
  <c r="AA59" i="104"/>
  <c r="AA7" i="104"/>
  <c r="R57" i="104"/>
  <c r="T57" i="104" s="1"/>
  <c r="R53" i="104"/>
  <c r="T53" i="104" s="1"/>
  <c r="R52" i="104"/>
  <c r="T52" i="104" s="1"/>
  <c r="T55" i="104"/>
  <c r="T51" i="104"/>
  <c r="T54" i="104"/>
  <c r="R49" i="104"/>
  <c r="T49" i="104" s="1"/>
  <c r="R48" i="104"/>
  <c r="T48" i="104" s="1"/>
  <c r="R47" i="104"/>
  <c r="T47" i="104" s="1"/>
  <c r="R46" i="104"/>
  <c r="T46" i="104" s="1"/>
  <c r="T45" i="104"/>
  <c r="T42" i="104"/>
  <c r="T39" i="104"/>
  <c r="R38" i="104"/>
  <c r="T38" i="104" s="1"/>
  <c r="T37" i="104"/>
  <c r="R36" i="104"/>
  <c r="T36" i="104" s="1"/>
  <c r="R35" i="104"/>
  <c r="T35" i="104" s="1"/>
  <c r="R34" i="104"/>
  <c r="T34" i="104" s="1"/>
  <c r="R33" i="104"/>
  <c r="T33" i="104" s="1"/>
  <c r="T32" i="104"/>
  <c r="R31" i="104"/>
  <c r="T31" i="104" s="1"/>
  <c r="R30" i="104"/>
  <c r="T30" i="104" s="1"/>
  <c r="R27" i="104"/>
  <c r="T27" i="104" s="1"/>
  <c r="R26" i="104"/>
  <c r="T26" i="104" s="1"/>
  <c r="R25" i="104"/>
  <c r="T25" i="104" s="1"/>
  <c r="T9" i="104"/>
  <c r="T24" i="104"/>
  <c r="T23" i="104"/>
  <c r="R22" i="104"/>
  <c r="T22" i="104" s="1"/>
  <c r="T21" i="104"/>
  <c r="T20" i="104"/>
  <c r="R19" i="104"/>
  <c r="T19" i="104" s="1"/>
  <c r="R18" i="104"/>
  <c r="T18" i="104" s="1"/>
  <c r="T17" i="104"/>
  <c r="R16" i="104"/>
  <c r="T16" i="104" s="1"/>
  <c r="R15" i="104"/>
  <c r="T15" i="104" s="1"/>
  <c r="R11" i="104"/>
  <c r="T11" i="104" s="1"/>
  <c r="T10" i="104"/>
  <c r="R8" i="104"/>
  <c r="T8" i="104" s="1"/>
  <c r="R59" i="104"/>
  <c r="T59" i="104" s="1"/>
  <c r="R7" i="104"/>
  <c r="T7" i="104" s="1"/>
  <c r="R6" i="104"/>
  <c r="M59" i="104"/>
  <c r="M57" i="104"/>
  <c r="M48" i="104"/>
  <c r="M47" i="104"/>
  <c r="M46" i="104"/>
  <c r="M45" i="104"/>
  <c r="M44" i="104"/>
  <c r="M43" i="104"/>
  <c r="M41" i="104"/>
  <c r="M37" i="104"/>
  <c r="M36" i="104"/>
  <c r="M35" i="104"/>
  <c r="M34" i="104"/>
  <c r="M33" i="104"/>
  <c r="M32" i="104"/>
  <c r="M31" i="104"/>
  <c r="M27" i="104"/>
  <c r="M26" i="104"/>
  <c r="M22" i="104"/>
  <c r="M19" i="104"/>
  <c r="M18" i="104"/>
  <c r="M16" i="104"/>
  <c r="M14" i="104"/>
  <c r="M8" i="104"/>
  <c r="M7" i="104"/>
  <c r="M6" i="104"/>
  <c r="F59" i="104"/>
  <c r="F56" i="104"/>
  <c r="F57" i="104"/>
  <c r="F55" i="104"/>
  <c r="F51" i="104"/>
  <c r="F50" i="104"/>
  <c r="F49" i="104"/>
  <c r="F48" i="104"/>
  <c r="F45" i="104"/>
  <c r="F41" i="104"/>
  <c r="F39" i="104"/>
  <c r="F38" i="104"/>
  <c r="F37" i="104"/>
  <c r="F36" i="104"/>
  <c r="F34" i="104"/>
  <c r="F33" i="104"/>
  <c r="F32" i="104"/>
  <c r="F31" i="104"/>
  <c r="F30" i="104"/>
  <c r="F27" i="104"/>
  <c r="F26" i="104"/>
  <c r="F25" i="104"/>
  <c r="F24" i="104"/>
  <c r="F19" i="104"/>
  <c r="F18" i="104"/>
  <c r="F16" i="104"/>
  <c r="F12" i="104"/>
  <c r="F11" i="104"/>
  <c r="F8" i="104"/>
  <c r="F7" i="104"/>
  <c r="M63" i="104" l="1"/>
  <c r="AG63" i="104"/>
  <c r="AM63" i="104"/>
  <c r="F63" i="104"/>
  <c r="R63" i="104"/>
  <c r="AA63" i="104"/>
  <c r="T6" i="104"/>
  <c r="T63" i="104" s="1"/>
</calcChain>
</file>

<file path=xl/sharedStrings.xml><?xml version="1.0" encoding="utf-8"?>
<sst xmlns="http://schemas.openxmlformats.org/spreadsheetml/2006/main" count="324" uniqueCount="149">
  <si>
    <t>Total</t>
  </si>
  <si>
    <t>Remark</t>
  </si>
  <si>
    <t>Description</t>
  </si>
  <si>
    <t>Qty</t>
  </si>
  <si>
    <t>Amount</t>
  </si>
  <si>
    <t>No</t>
  </si>
  <si>
    <t>6.00-14 (8PR) With Tube (Lug)</t>
  </si>
  <si>
    <t>8.25-20 (18PR) With Tube &amp; Flap (Lug)747</t>
  </si>
  <si>
    <t>Sale Price</t>
  </si>
  <si>
    <t>7.00-16 (14PR) With Tube &amp; Flap (Rib)</t>
  </si>
  <si>
    <t>7.00-16 (14PR) With Tube &amp; Flap (Lug)</t>
  </si>
  <si>
    <t>7.50-16 (16PR) With Tube &amp; Flap (Rib)</t>
  </si>
  <si>
    <t>8.25-16 (18PR) With Tube &amp; Flap (Lug)747</t>
  </si>
  <si>
    <t>6.50-16 (12PR) With Tube &amp; Flap (Lug)</t>
  </si>
  <si>
    <t>8.25-16 (18PR) With Tube &amp; Flap (Lug)713</t>
  </si>
  <si>
    <t>5.50-13 (12PR) With Tube (Lug)</t>
  </si>
  <si>
    <t>6.00-15 (10PR) With Tube (Rib)</t>
  </si>
  <si>
    <t>7.00-15 (14PR) With Tube &amp; Flap (Rib)</t>
  </si>
  <si>
    <t>7.50-16 (16PR) With Tube &amp; Flap (Lug)713</t>
  </si>
  <si>
    <t>7.50-16 (16PR) With Tube &amp; Flap (Lug)747</t>
  </si>
  <si>
    <t>8.25-16 (14PR) With Tube &amp; Flap (Rib)H.W</t>
  </si>
  <si>
    <t>8.25-16 (18PR) With Tube &amp; Flap (Lug)737</t>
  </si>
  <si>
    <t>9.00-20 (18PR) With Tube &amp; Flap (Lug)747</t>
  </si>
  <si>
    <t>11.00-20 (18PR) With Tube &amp; Flap (Lug)747</t>
  </si>
  <si>
    <t>7.50-15 (16PR) With Tube &amp; Flap (Rib)</t>
  </si>
  <si>
    <t>6.00-15 (10PR) With Tube (Lug)</t>
  </si>
  <si>
    <t>7.00-15 (10PR) With Tube (Grip)</t>
  </si>
  <si>
    <t>9.00-20 (18PR) With Tube &amp; Flap (Lug)737</t>
  </si>
  <si>
    <t>5.00-12 (10PR) With Tube (R/L)</t>
  </si>
  <si>
    <t>10.00-20 (18PR) With Tube &amp; Flap (Lug)747</t>
  </si>
  <si>
    <t>4.00-8 (6PR) With Tube (Lug) (YT-713)</t>
  </si>
  <si>
    <t>12.4-24 (12PR) With Tube (AG)</t>
  </si>
  <si>
    <t>8.00-18 (8PR) With Tube (AG)</t>
  </si>
  <si>
    <t>4.00-8 (6PR) With Tube (Rib) (YT-748)</t>
  </si>
  <si>
    <t>6.00-13 (10PR) With Tube (Lug)</t>
  </si>
  <si>
    <t>6.00-13 (10PR) With Tube (Rib)</t>
  </si>
  <si>
    <t>6.50-16 (12PR) With Tube &amp; Flap (Rib)</t>
  </si>
  <si>
    <t>5.00-12 (8PR) With Tube (Rib)</t>
  </si>
  <si>
    <t>5.50-13 (8PR) With Tube (Rib)</t>
  </si>
  <si>
    <t>6.00-14 (8PR) With Tube (Rib)</t>
  </si>
  <si>
    <t>6.50-14 (10PR) With Tube (Rib)</t>
  </si>
  <si>
    <t>6.50-15 (12PR) With Tube (Rib)</t>
  </si>
  <si>
    <t>8.25-20 (16PR) With Tube &amp; Flap (Rib)</t>
  </si>
  <si>
    <t>8.25-20 (18PR) With Tube &amp; Flap (Lug)737</t>
  </si>
  <si>
    <t>10.00-20 (18PR) With Tube &amp; Flap (Lug)737</t>
  </si>
  <si>
    <t>6.00-12 (8PR) With Tube (AG)</t>
  </si>
  <si>
    <t>6.00-13 (8PR) With Tube (Rib) H.W</t>
  </si>
  <si>
    <t>7.00-16 (12PR) With Tube &amp; Flap (Rib)H.W</t>
  </si>
  <si>
    <t>6.50-20 (8PR) With Tube (AG)</t>
  </si>
  <si>
    <t>9.00-20 (16PR) With Tube &amp; Flap (Lug)746</t>
  </si>
  <si>
    <t>6.00-16 (10PR) With Tube (AG)</t>
  </si>
  <si>
    <t>9.00-20 (16PR) With Tube &amp; Flap (Rib)</t>
  </si>
  <si>
    <t>7.50-16(10PR)  With Tube( AG)</t>
  </si>
  <si>
    <t>6.50-15 (12PR) With Tube (Lug)</t>
  </si>
  <si>
    <t>11.2-24 (12PR) With Tube (AG)</t>
  </si>
  <si>
    <t>12.4-24 (8PR) With Tube (AG)</t>
  </si>
  <si>
    <t>9.5-24 (12PR) (AG-357)</t>
  </si>
  <si>
    <t>Code</t>
  </si>
  <si>
    <t>001</t>
  </si>
  <si>
    <t>003</t>
  </si>
  <si>
    <t>006</t>
  </si>
  <si>
    <t>007</t>
  </si>
  <si>
    <t>011</t>
  </si>
  <si>
    <t>013</t>
  </si>
  <si>
    <t>014</t>
  </si>
  <si>
    <t>019</t>
  </si>
  <si>
    <t>015</t>
  </si>
  <si>
    <t>016</t>
  </si>
  <si>
    <t>020</t>
  </si>
  <si>
    <t>021</t>
  </si>
  <si>
    <t>022</t>
  </si>
  <si>
    <t>025</t>
  </si>
  <si>
    <t>026</t>
  </si>
  <si>
    <t>027</t>
  </si>
  <si>
    <t>028</t>
  </si>
  <si>
    <t>029</t>
  </si>
  <si>
    <t>031</t>
  </si>
  <si>
    <t>032</t>
  </si>
  <si>
    <t>036</t>
  </si>
  <si>
    <t>040</t>
  </si>
  <si>
    <t>043</t>
  </si>
  <si>
    <t>045</t>
  </si>
  <si>
    <t>046</t>
  </si>
  <si>
    <t>047</t>
  </si>
  <si>
    <t>049</t>
  </si>
  <si>
    <t>050</t>
  </si>
  <si>
    <t>051</t>
  </si>
  <si>
    <t>055</t>
  </si>
  <si>
    <t>002</t>
  </si>
  <si>
    <t>005</t>
  </si>
  <si>
    <t>009</t>
  </si>
  <si>
    <t>008</t>
  </si>
  <si>
    <t>010</t>
  </si>
  <si>
    <t>004</t>
  </si>
  <si>
    <t>012</t>
  </si>
  <si>
    <t>034</t>
  </si>
  <si>
    <t>017</t>
  </si>
  <si>
    <t>018</t>
  </si>
  <si>
    <t>042</t>
  </si>
  <si>
    <t>056</t>
  </si>
  <si>
    <t>030</t>
  </si>
  <si>
    <t>033</t>
  </si>
  <si>
    <t>035</t>
  </si>
  <si>
    <t>037</t>
  </si>
  <si>
    <t>039</t>
  </si>
  <si>
    <t>038</t>
  </si>
  <si>
    <t>7.00-16 (12PR) With Tube &amp; Flap (Rib)727</t>
  </si>
  <si>
    <t>041</t>
  </si>
  <si>
    <t>044</t>
  </si>
  <si>
    <t>048</t>
  </si>
  <si>
    <t>052</t>
  </si>
  <si>
    <t>054</t>
  </si>
  <si>
    <t>11.2-24 (8PR) With Tube  (AG)</t>
  </si>
  <si>
    <t>5.00-12 (12PR) With Tube (Lug) (YT-747)</t>
  </si>
  <si>
    <t>9.5-24 (8PR) With Tube (AG-357)</t>
  </si>
  <si>
    <t>023</t>
  </si>
  <si>
    <t>024</t>
  </si>
  <si>
    <t>7.00-16 (12PR) With Tube (Grip)</t>
  </si>
  <si>
    <t>053</t>
  </si>
  <si>
    <t>8.3-24 (8PR) With Tube (AG) (YT-357)</t>
  </si>
  <si>
    <t>Sale (H1-2021)</t>
  </si>
  <si>
    <t>Date-4-7-2022</t>
  </si>
  <si>
    <t>7.50-16 (10PR)  With Tube ( AG)</t>
  </si>
  <si>
    <t>057</t>
  </si>
  <si>
    <t>7.50-16 (14PR) With Tube Grip (YT-723)</t>
  </si>
  <si>
    <t>7.50-16 (14PR) With Tube (Grip) (YT-723)</t>
  </si>
  <si>
    <t>Sale (H1-2022)</t>
  </si>
  <si>
    <t>45000
47500</t>
  </si>
  <si>
    <t>52000
54500</t>
  </si>
  <si>
    <t>53500
56000</t>
  </si>
  <si>
    <t>72000
75500</t>
  </si>
  <si>
    <t>76000
80000</t>
  </si>
  <si>
    <t>113000
118500</t>
  </si>
  <si>
    <t>101000
119000</t>
  </si>
  <si>
    <t>106000
111500</t>
  </si>
  <si>
    <t>118000
124000</t>
  </si>
  <si>
    <t>148000
155500</t>
  </si>
  <si>
    <t>185000
194000</t>
  </si>
  <si>
    <t>194000
213500</t>
  </si>
  <si>
    <t>217500
228500</t>
  </si>
  <si>
    <t>106000
121900</t>
  </si>
  <si>
    <t>288000
302500</t>
  </si>
  <si>
    <t>47000
49500</t>
  </si>
  <si>
    <t>203500
213000</t>
  </si>
  <si>
    <t>183000
183000</t>
  </si>
  <si>
    <t>216500
228500</t>
  </si>
  <si>
    <t>Sale (H2-2021)</t>
  </si>
  <si>
    <r>
      <t xml:space="preserve">Yangon Tyre (Nylon) Sale U Mg Mg </t>
    </r>
    <r>
      <rPr>
        <b/>
        <sz val="11"/>
        <color rgb="FF00B050"/>
        <rFont val="Pyidaungsu"/>
        <family val="2"/>
      </rPr>
      <t>{ (2021) &amp; (H1-2022) } Compare</t>
    </r>
  </si>
  <si>
    <t>Yangon Tyre (Nylon) Sale U Mg Mg { (2021) &amp; (H1-2022) } 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</si>
</sst>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&quot;$&quot;* #,##0.0_);_(&quot;$&quot;* \(#,##0.0\);_(&quot;$&quot;* &quot;-&quot;?_);_(@_)"/>
    <numFmt numFmtId="167" formatCode="mmmm\-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Pyidaungsu"/>
      <family val="2"/>
    </font>
    <font>
      <sz val="11"/>
      <color rgb="FF3F0FEF"/>
      <name val="Pyidaungsu"/>
      <family val="2"/>
    </font>
    <font>
      <b/>
      <sz val="11"/>
      <color rgb="FF3F0FEF"/>
      <name val="Pyidaungsu"/>
      <family val="2"/>
    </font>
    <font>
      <sz val="11"/>
      <color rgb="FF1A10DE"/>
      <name val="Pyidaungsu"/>
      <family val="2"/>
    </font>
    <font>
      <b/>
      <sz val="11"/>
      <color rgb="FF1A10DE"/>
      <name val="Pyidaungsu"/>
      <family val="2"/>
    </font>
    <font>
      <b/>
      <sz val="11"/>
      <color rgb="FF00B050"/>
      <name val="Pyidaungsu"/>
      <family val="2"/>
    </font>
    <font>
      <b/>
      <sz val="11"/>
      <color rgb="FFFF0000"/>
      <name val="Pyidaungsu"/>
      <family val="2"/>
    </font>
    <font>
      <b/>
      <sz val="11"/>
      <color rgb="FF0000FF"/>
      <name val="Pyidaungsu"/>
      <family val="2"/>
    </font>
    <font>
      <sz val="11"/>
      <color rgb="FF0000FF"/>
      <name val="Pyidaungsu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45">
    <xf numFmtId="0" fontId="0" fillId="0" borderId="0" xfId="0"/>
    <xf numFmtId="0" fontId="6" fillId="0" borderId="0" xfId="0" applyFont="1" applyAlignment="1">
      <alignment vertical="center"/>
    </xf>
    <xf numFmtId="164" fontId="6" fillId="0" borderId="2" xfId="1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164" fontId="7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9" fontId="6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 readingOrder="1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vertical="center" wrapText="1" readingOrder="1"/>
    </xf>
    <xf numFmtId="0" fontId="4" fillId="0" borderId="0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right" vertical="center" wrapText="1" readingOrder="1"/>
    </xf>
    <xf numFmtId="0" fontId="6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37" fontId="9" fillId="0" borderId="2" xfId="0" applyNumberFormat="1" applyFont="1" applyFill="1" applyBorder="1" applyAlignment="1">
      <alignment horizontal="center" vertical="center" wrapText="1"/>
    </xf>
    <xf numFmtId="37" fontId="3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37" fontId="3" fillId="0" borderId="0" xfId="1" applyNumberFormat="1" applyFont="1" applyFill="1" applyBorder="1" applyAlignment="1">
      <alignment horizontal="center" vertical="center"/>
    </xf>
    <xf numFmtId="37" fontId="9" fillId="0" borderId="0" xfId="0" applyNumberFormat="1" applyFont="1" applyFill="1" applyAlignment="1">
      <alignment horizontal="center" vertical="center"/>
    </xf>
    <xf numFmtId="37" fontId="3" fillId="0" borderId="2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37" fontId="3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164" fontId="6" fillId="0" borderId="2" xfId="1" applyNumberFormat="1" applyFont="1" applyFill="1" applyBorder="1" applyAlignment="1">
      <alignment vertical="center"/>
    </xf>
    <xf numFmtId="37" fontId="3" fillId="0" borderId="2" xfId="0" applyNumberFormat="1" applyFont="1" applyFill="1" applyBorder="1" applyAlignment="1">
      <alignment vertical="center"/>
    </xf>
    <xf numFmtId="3" fontId="6" fillId="0" borderId="2" xfId="0" applyNumberFormat="1" applyFont="1" applyFill="1" applyBorder="1" applyAlignment="1">
      <alignment vertical="center"/>
    </xf>
    <xf numFmtId="9" fontId="6" fillId="0" borderId="2" xfId="0" applyNumberFormat="1" applyFont="1" applyFill="1" applyBorder="1" applyAlignment="1">
      <alignment vertical="center"/>
    </xf>
    <xf numFmtId="164" fontId="6" fillId="0" borderId="2" xfId="0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37" fontId="3" fillId="0" borderId="0" xfId="0" applyNumberFormat="1" applyFont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2" borderId="2" xfId="0" applyNumberFormat="1" applyFont="1" applyFill="1" applyBorder="1" applyAlignment="1">
      <alignment horizontal="center" vertical="center" wrapText="1" readingOrder="1"/>
    </xf>
    <xf numFmtId="3" fontId="6" fillId="2" borderId="2" xfId="0" applyNumberFormat="1" applyFont="1" applyFill="1" applyBorder="1" applyAlignment="1">
      <alignment horizontal="right" vertical="center" wrapText="1" readingOrder="1"/>
    </xf>
    <xf numFmtId="0" fontId="6" fillId="2" borderId="2" xfId="0" applyFont="1" applyFill="1" applyBorder="1" applyAlignment="1">
      <alignment vertical="center"/>
    </xf>
    <xf numFmtId="3" fontId="6" fillId="2" borderId="2" xfId="0" applyNumberFormat="1" applyFont="1" applyFill="1" applyBorder="1" applyAlignment="1">
      <alignment vertical="center"/>
    </xf>
    <xf numFmtId="37" fontId="9" fillId="2" borderId="2" xfId="0" applyNumberFormat="1" applyFont="1" applyFill="1" applyBorder="1" applyAlignment="1">
      <alignment horizontal="center" vertical="center" wrapText="1" readingOrder="1"/>
    </xf>
    <xf numFmtId="37" fontId="3" fillId="2" borderId="2" xfId="0" applyNumberFormat="1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vertical="center"/>
    </xf>
    <xf numFmtId="0" fontId="7" fillId="2" borderId="2" xfId="1" applyNumberFormat="1" applyFont="1" applyFill="1" applyBorder="1" applyAlignment="1">
      <alignment horizontal="center" vertical="center" wrapText="1" readingOrder="1"/>
    </xf>
    <xf numFmtId="37" fontId="9" fillId="2" borderId="2" xfId="1" applyNumberFormat="1" applyFont="1" applyFill="1" applyBorder="1" applyAlignment="1">
      <alignment horizontal="center" vertical="center" wrapText="1" readingOrder="1"/>
    </xf>
    <xf numFmtId="164" fontId="7" fillId="2" borderId="2" xfId="1" applyNumberFormat="1" applyFont="1" applyFill="1" applyBorder="1" applyAlignment="1">
      <alignment horizontal="center" vertical="center" wrapText="1" readingOrder="1"/>
    </xf>
    <xf numFmtId="37" fontId="3" fillId="2" borderId="2" xfId="0" applyNumberFormat="1" applyFont="1" applyFill="1" applyBorder="1" applyAlignment="1">
      <alignment vertical="center"/>
    </xf>
    <xf numFmtId="49" fontId="4" fillId="0" borderId="6" xfId="0" applyNumberFormat="1" applyFont="1" applyFill="1" applyBorder="1" applyAlignment="1">
      <alignment horizontal="center" vertical="center" wrapText="1" readingOrder="1"/>
    </xf>
    <xf numFmtId="0" fontId="4" fillId="0" borderId="4" xfId="0" applyNumberFormat="1" applyFont="1" applyFill="1" applyBorder="1" applyAlignment="1">
      <alignment vertical="center" wrapText="1" readingOrder="1"/>
    </xf>
    <xf numFmtId="164" fontId="6" fillId="2" borderId="2" xfId="1" applyNumberFormat="1" applyFont="1" applyFill="1" applyBorder="1" applyAlignment="1">
      <alignment horizontal="center" vertical="center" wrapText="1" readingOrder="1"/>
    </xf>
    <xf numFmtId="0" fontId="9" fillId="2" borderId="2" xfId="0" applyNumberFormat="1" applyFont="1" applyFill="1" applyBorder="1" applyAlignment="1">
      <alignment horizontal="center" vertical="center" wrapText="1" readingOrder="1"/>
    </xf>
    <xf numFmtId="0" fontId="3" fillId="2" borderId="2" xfId="0" applyNumberFormat="1" applyFont="1" applyFill="1" applyBorder="1" applyAlignment="1">
      <alignment horizontal="center" vertical="center" wrapText="1" readingOrder="1"/>
    </xf>
    <xf numFmtId="0" fontId="9" fillId="0" borderId="0" xfId="0" applyNumberFormat="1" applyFont="1" applyFill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4" fontId="6" fillId="2" borderId="2" xfId="0" applyNumberFormat="1" applyFont="1" applyFill="1" applyBorder="1" applyAlignment="1">
      <alignment vertical="center"/>
    </xf>
    <xf numFmtId="0" fontId="4" fillId="0" borderId="5" xfId="0" applyNumberFormat="1" applyFont="1" applyFill="1" applyBorder="1" applyAlignment="1">
      <alignment horizontal="left" vertical="center" wrapText="1" readingOrder="1"/>
    </xf>
    <xf numFmtId="49" fontId="4" fillId="0" borderId="5" xfId="0" applyNumberFormat="1" applyFont="1" applyFill="1" applyBorder="1" applyAlignment="1">
      <alignment horizontal="center" vertical="center" wrapText="1" readingOrder="1"/>
    </xf>
    <xf numFmtId="0" fontId="4" fillId="0" borderId="5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0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0" fillId="0" borderId="2" xfId="0" applyNumberFormat="1" applyFont="1" applyFill="1" applyBorder="1" applyAlignment="1">
      <alignment horizontal="center" vertical="center" wrapText="1" readingOrder="1"/>
    </xf>
    <xf numFmtId="0" fontId="9" fillId="0" borderId="2" xfId="0" applyNumberFormat="1" applyFont="1" applyFill="1" applyBorder="1" applyAlignment="1">
      <alignment horizontal="center" vertical="center" wrapText="1" readingOrder="1"/>
    </xf>
    <xf numFmtId="0" fontId="11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3" fontId="11" fillId="0" borderId="2" xfId="0" applyNumberFormat="1" applyFont="1" applyFill="1" applyBorder="1" applyAlignment="1">
      <alignment horizontal="right" vertical="center" wrapText="1" readingOrder="1"/>
    </xf>
    <xf numFmtId="0" fontId="11" fillId="0" borderId="0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3" fontId="10" fillId="0" borderId="2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164" fontId="10" fillId="0" borderId="0" xfId="1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0" fillId="0" borderId="2" xfId="1" applyNumberFormat="1" applyFont="1" applyFill="1" applyBorder="1" applyAlignment="1">
      <alignment horizontal="center" vertical="center" wrapText="1" readingOrder="1"/>
    </xf>
    <xf numFmtId="0" fontId="9" fillId="0" borderId="2" xfId="1" applyNumberFormat="1" applyFont="1" applyFill="1" applyBorder="1" applyAlignment="1">
      <alignment horizontal="center" vertical="center" wrapText="1" readingOrder="1"/>
    </xf>
    <xf numFmtId="164" fontId="10" fillId="0" borderId="2" xfId="1" applyNumberFormat="1" applyFont="1" applyFill="1" applyBorder="1" applyAlignment="1">
      <alignment horizontal="center" vertical="center" wrapText="1" readingOrder="1"/>
    </xf>
    <xf numFmtId="0" fontId="10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64" fontId="11" fillId="0" borderId="0" xfId="1" applyNumberFormat="1" applyFont="1" applyFill="1" applyBorder="1" applyAlignment="1">
      <alignment horizontal="right" vertical="center"/>
    </xf>
    <xf numFmtId="0" fontId="11" fillId="0" borderId="0" xfId="0" applyNumberFormat="1" applyFont="1" applyFill="1" applyAlignment="1">
      <alignment horizontal="center" vertical="center"/>
    </xf>
    <xf numFmtId="0" fontId="4" fillId="0" borderId="2" xfId="0" applyNumberFormat="1" applyFont="1" applyFill="1" applyBorder="1" applyAlignment="1">
      <alignment horizontal="left" vertical="center" wrapText="1" readingOrder="1"/>
    </xf>
    <xf numFmtId="49" fontId="7" fillId="0" borderId="0" xfId="0" applyNumberFormat="1" applyFont="1" applyFill="1" applyAlignment="1">
      <alignment vertical="center"/>
    </xf>
    <xf numFmtId="164" fontId="7" fillId="0" borderId="0" xfId="1" applyNumberFormat="1" applyFont="1" applyFill="1" applyAlignment="1">
      <alignment vertical="center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6" fillId="0" borderId="0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 readingOrder="1"/>
    </xf>
    <xf numFmtId="0" fontId="6" fillId="0" borderId="2" xfId="0" applyNumberFormat="1" applyFont="1" applyFill="1" applyBorder="1" applyAlignment="1">
      <alignment vertical="center" wrapText="1" readingOrder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 readingOrder="1"/>
    </xf>
    <xf numFmtId="0" fontId="6" fillId="0" borderId="5" xfId="0" applyNumberFormat="1" applyFont="1" applyFill="1" applyBorder="1" applyAlignment="1">
      <alignment horizontal="left" vertical="center" wrapText="1" readingOrder="1"/>
    </xf>
    <xf numFmtId="0" fontId="6" fillId="0" borderId="2" xfId="0" applyNumberFormat="1" applyFont="1" applyFill="1" applyBorder="1" applyAlignment="1">
      <alignment horizontal="left" vertical="center" wrapText="1" readingOrder="1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vertical="center" wrapText="1" readingOrder="1"/>
    </xf>
    <xf numFmtId="49" fontId="6" fillId="0" borderId="0" xfId="0" applyNumberFormat="1" applyFont="1" applyFill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164" fontId="6" fillId="0" borderId="0" xfId="1" applyNumberFormat="1" applyFont="1" applyFill="1" applyAlignment="1">
      <alignment horizontal="center" vertical="center"/>
    </xf>
    <xf numFmtId="164" fontId="7" fillId="0" borderId="0" xfId="1" applyNumberFormat="1" applyFont="1" applyFill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 wrapText="1" readingOrder="1"/>
    </xf>
    <xf numFmtId="164" fontId="6" fillId="0" borderId="2" xfId="1" applyNumberFormat="1" applyFont="1" applyFill="1" applyBorder="1" applyAlignment="1">
      <alignment horizontal="center" vertical="center" wrapText="1" readingOrder="1"/>
    </xf>
    <xf numFmtId="164" fontId="6" fillId="0" borderId="0" xfId="1" applyNumberFormat="1" applyFont="1" applyFill="1" applyAlignment="1">
      <alignment vertical="center"/>
    </xf>
    <xf numFmtId="164" fontId="7" fillId="0" borderId="2" xfId="1" applyNumberFormat="1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167" fontId="10" fillId="0" borderId="2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67" fontId="6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167" fontId="7" fillId="2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67" fontId="7" fillId="0" borderId="2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167" fontId="7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</cellXfs>
  <cellStyles count="6">
    <cellStyle name="Comma" xfId="1" builtinId="3"/>
    <cellStyle name="Comma 2" xfId="2"/>
    <cellStyle name="Comma 2 2" xfId="4"/>
    <cellStyle name="Comma 2 3" xfId="5"/>
    <cellStyle name="Normal" xfId="0" builtinId="0"/>
    <cellStyle name="Style 1" xfId="3"/>
  </cellStyles>
  <dxfs count="0"/>
  <tableStyles count="0" defaultTableStyle="TableStyleMedium2" defaultPivotStyle="PivotStyleLight16"/>
  <colors>
    <mruColors>
      <color rgb="FF99FF33"/>
      <color rgb="FF3F0FEF"/>
      <color rgb="FF1A10DE"/>
      <color rgb="FF009900"/>
      <color rgb="FF006600"/>
      <color rgb="FFFFFF99"/>
      <color rgb="FFCCFFCC"/>
      <color rgb="FFFFFFCC"/>
      <color rgb="FFFFFFFF"/>
      <color rgb="FF749E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0FEF"/>
  </sheetPr>
  <dimension ref="A1:BI126"/>
  <sheetViews>
    <sheetView tabSelected="1" zoomScale="80" zoomScaleNormal="80" workbookViewId="0">
      <selection activeCell="F16" sqref="F16"/>
    </sheetView>
  </sheetViews>
  <sheetFormatPr defaultColWidth="9.140625" defaultRowHeight="23.25" customHeight="1" x14ac:dyDescent="0.25"/>
  <cols>
    <col min="1" max="1" width="6" style="22" customWidth="1"/>
    <col min="2" max="2" width="7.7109375" style="37" customWidth="1"/>
    <col min="3" max="3" width="39.85546875" style="20" customWidth="1"/>
    <col min="4" max="4" width="6.42578125" style="7" customWidth="1"/>
    <col min="5" max="5" width="8.7109375" style="36" customWidth="1"/>
    <col min="6" max="6" width="14.140625" style="3" customWidth="1"/>
    <col min="7" max="7" width="10.5703125" style="3" customWidth="1"/>
    <col min="8" max="8" width="5.5703125" style="48" customWidth="1"/>
    <col min="9" max="9" width="7.85546875" style="49" customWidth="1"/>
    <col min="10" max="10" width="12.140625" style="1" customWidth="1"/>
    <col min="11" max="11" width="6.42578125" style="7" customWidth="1"/>
    <col min="12" max="12" width="8.7109375" style="13" customWidth="1"/>
    <col min="13" max="13" width="11.85546875" style="3" customWidth="1"/>
    <col min="14" max="14" width="9.140625" style="3" customWidth="1"/>
    <col min="15" max="15" width="5.5703125" style="1" customWidth="1"/>
    <col min="16" max="16" width="7.85546875" style="12" customWidth="1"/>
    <col min="17" max="17" width="12.140625" style="1" customWidth="1"/>
    <col min="18" max="18" width="6.42578125" style="7" customWidth="1"/>
    <col min="19" max="19" width="8.7109375" style="13" customWidth="1"/>
    <col min="20" max="20" width="14" style="3" customWidth="1"/>
    <col min="21" max="21" width="8.7109375" style="3" customWidth="1"/>
    <col min="22" max="22" width="5.5703125" style="1" customWidth="1"/>
    <col min="23" max="23" width="7.85546875" style="12" customWidth="1"/>
    <col min="24" max="24" width="12.140625" style="1" customWidth="1"/>
    <col min="25" max="25" width="6.42578125" style="7" customWidth="1"/>
    <col min="26" max="26" width="8.7109375" style="13" customWidth="1"/>
    <col min="27" max="27" width="13.42578125" style="3" customWidth="1"/>
    <col min="28" max="28" width="5.5703125" style="1" customWidth="1"/>
    <col min="29" max="29" width="7.85546875" style="12" customWidth="1"/>
    <col min="30" max="30" width="12.140625" style="1" customWidth="1"/>
    <col min="31" max="31" width="6.42578125" style="3" customWidth="1"/>
    <col min="32" max="32" width="9" style="36" customWidth="1"/>
    <col min="33" max="33" width="13.7109375" style="3" customWidth="1"/>
    <col min="34" max="34" width="5.5703125" style="1" customWidth="1"/>
    <col min="35" max="35" width="7.85546875" style="12" customWidth="1"/>
    <col min="36" max="36" width="12.140625" style="1" customWidth="1"/>
    <col min="37" max="37" width="6.42578125" style="7" customWidth="1"/>
    <col min="38" max="38" width="9" style="36" customWidth="1"/>
    <col min="39" max="39" width="11.85546875" style="3" customWidth="1"/>
    <col min="40" max="40" width="5.5703125" style="1" customWidth="1"/>
    <col min="41" max="41" width="7.85546875" style="69" customWidth="1"/>
    <col min="42" max="42" width="13.85546875" style="1" customWidth="1"/>
    <col min="43" max="43" width="5.42578125" style="99" customWidth="1"/>
    <col min="44" max="44" width="7.7109375" style="97" customWidth="1"/>
    <col min="45" max="45" width="12.85546875" style="76" customWidth="1"/>
    <col min="46" max="46" width="5.42578125" style="76" customWidth="1"/>
    <col min="47" max="47" width="7.7109375" style="13" customWidth="1"/>
    <col min="48" max="48" width="12.85546875" style="76" customWidth="1"/>
    <col min="49" max="49" width="5.42578125" style="76" customWidth="1"/>
    <col min="50" max="50" width="7.7109375" style="13" customWidth="1"/>
    <col min="51" max="51" width="12.85546875" style="76" customWidth="1"/>
    <col min="52" max="52" width="5.42578125" style="76" customWidth="1"/>
    <col min="53" max="53" width="7.7109375" style="13" customWidth="1"/>
    <col min="54" max="54" width="12.85546875" style="76" customWidth="1"/>
    <col min="55" max="55" width="5.42578125" style="76" customWidth="1"/>
    <col min="56" max="56" width="7.7109375" style="13" customWidth="1"/>
    <col min="57" max="57" width="12.85546875" style="76" customWidth="1"/>
    <col min="58" max="58" width="5.42578125" style="76" customWidth="1"/>
    <col min="59" max="59" width="7.7109375" style="13" customWidth="1"/>
    <col min="60" max="60" width="12.85546875" style="76" customWidth="1"/>
    <col min="61" max="16384" width="9.140625" style="3"/>
  </cols>
  <sheetData>
    <row r="1" spans="1:61" ht="23.25" customHeight="1" x14ac:dyDescent="0.25">
      <c r="A1" s="17"/>
      <c r="B1" s="38"/>
      <c r="C1" s="23"/>
      <c r="D1" s="4"/>
      <c r="E1" s="30"/>
      <c r="F1" s="28"/>
      <c r="G1" s="5"/>
      <c r="H1" s="29"/>
      <c r="I1" s="31"/>
      <c r="J1" s="29"/>
      <c r="O1" s="6"/>
      <c r="P1" s="14"/>
      <c r="Q1" s="6"/>
      <c r="V1" s="6"/>
      <c r="W1" s="14"/>
      <c r="X1" s="6"/>
      <c r="AB1" s="6"/>
      <c r="AC1" s="14"/>
      <c r="AD1" s="6"/>
      <c r="AH1" s="6"/>
      <c r="AI1" s="14"/>
      <c r="AJ1" s="6"/>
      <c r="AN1" s="6"/>
      <c r="AO1" s="67"/>
      <c r="AP1" s="6"/>
    </row>
    <row r="2" spans="1:61" s="6" customFormat="1" ht="23.25" customHeight="1" x14ac:dyDescent="0.25">
      <c r="A2" s="135" t="s">
        <v>147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74"/>
      <c r="AR2" s="74"/>
      <c r="AS2" s="74"/>
      <c r="AT2" s="75"/>
      <c r="AU2" s="14"/>
      <c r="AV2" s="75"/>
      <c r="AW2" s="75"/>
      <c r="AX2" s="14"/>
      <c r="AY2" s="75"/>
      <c r="AZ2" s="75"/>
      <c r="BA2" s="14"/>
      <c r="BB2" s="75"/>
      <c r="BC2" s="75"/>
      <c r="BD2" s="14"/>
      <c r="BE2" s="75"/>
      <c r="BF2" s="75"/>
      <c r="BG2" s="14"/>
      <c r="BH2" s="75"/>
    </row>
    <row r="3" spans="1:61" s="6" customFormat="1" ht="23.25" customHeight="1" x14ac:dyDescent="0.25">
      <c r="A3" s="21"/>
      <c r="B3" s="39"/>
      <c r="C3" s="21"/>
      <c r="D3" s="29"/>
      <c r="E3" s="31"/>
      <c r="H3" s="29"/>
      <c r="I3" s="31"/>
      <c r="K3" s="29"/>
      <c r="L3" s="13"/>
      <c r="M3" s="3"/>
      <c r="N3" s="3"/>
      <c r="P3" s="14"/>
      <c r="R3" s="29"/>
      <c r="S3" s="14"/>
      <c r="W3" s="14"/>
      <c r="Y3" s="29"/>
      <c r="Z3" s="14"/>
      <c r="AC3" s="14"/>
      <c r="AF3" s="31"/>
      <c r="AI3" s="14"/>
      <c r="AK3" s="29"/>
      <c r="AL3" s="31"/>
      <c r="AO3" s="67"/>
      <c r="AQ3" s="77"/>
      <c r="AR3" s="78"/>
      <c r="AS3" s="77"/>
      <c r="AT3" s="76"/>
      <c r="AU3" s="13"/>
      <c r="AV3" s="76"/>
      <c r="AW3" s="76"/>
      <c r="AX3" s="13"/>
      <c r="AY3" s="76"/>
      <c r="AZ3" s="76"/>
      <c r="BA3" s="13"/>
      <c r="BB3" s="76"/>
      <c r="BC3" s="76"/>
      <c r="BD3" s="13"/>
      <c r="BE3" s="76"/>
      <c r="BF3" s="76"/>
      <c r="BG3" s="13"/>
      <c r="BH3" s="76"/>
    </row>
    <row r="4" spans="1:61" ht="27" customHeight="1" x14ac:dyDescent="0.25">
      <c r="A4" s="132" t="s">
        <v>5</v>
      </c>
      <c r="B4" s="133" t="s">
        <v>57</v>
      </c>
      <c r="C4" s="132" t="s">
        <v>2</v>
      </c>
      <c r="D4" s="131">
        <v>44197</v>
      </c>
      <c r="E4" s="131"/>
      <c r="F4" s="131"/>
      <c r="G4" s="131"/>
      <c r="H4" s="134">
        <v>44562</v>
      </c>
      <c r="I4" s="134"/>
      <c r="J4" s="134"/>
      <c r="K4" s="131">
        <v>44593</v>
      </c>
      <c r="L4" s="131"/>
      <c r="M4" s="131"/>
      <c r="N4" s="131"/>
      <c r="O4" s="134">
        <v>44593</v>
      </c>
      <c r="P4" s="134"/>
      <c r="Q4" s="134"/>
      <c r="R4" s="131">
        <v>44621</v>
      </c>
      <c r="S4" s="131"/>
      <c r="T4" s="131"/>
      <c r="U4" s="131"/>
      <c r="V4" s="134">
        <v>44621</v>
      </c>
      <c r="W4" s="134"/>
      <c r="X4" s="134"/>
      <c r="Y4" s="131">
        <v>44652</v>
      </c>
      <c r="Z4" s="131"/>
      <c r="AA4" s="131"/>
      <c r="AB4" s="134">
        <v>44652</v>
      </c>
      <c r="AC4" s="134"/>
      <c r="AD4" s="134"/>
      <c r="AE4" s="131">
        <v>44682</v>
      </c>
      <c r="AF4" s="131"/>
      <c r="AG4" s="131"/>
      <c r="AH4" s="134">
        <v>44682</v>
      </c>
      <c r="AI4" s="134"/>
      <c r="AJ4" s="134"/>
      <c r="AK4" s="131">
        <v>44713</v>
      </c>
      <c r="AL4" s="131"/>
      <c r="AM4" s="131"/>
      <c r="AN4" s="134">
        <v>44713</v>
      </c>
      <c r="AO4" s="134"/>
      <c r="AP4" s="134"/>
      <c r="AQ4" s="127">
        <v>44378</v>
      </c>
      <c r="AR4" s="127"/>
      <c r="AS4" s="127"/>
      <c r="AT4" s="127">
        <v>44409</v>
      </c>
      <c r="AU4" s="127"/>
      <c r="AV4" s="127"/>
      <c r="AW4" s="127">
        <v>44440</v>
      </c>
      <c r="AX4" s="127"/>
      <c r="AY4" s="127"/>
      <c r="AZ4" s="127">
        <v>44470</v>
      </c>
      <c r="BA4" s="127"/>
      <c r="BB4" s="127"/>
      <c r="BC4" s="127">
        <v>44501</v>
      </c>
      <c r="BD4" s="127"/>
      <c r="BE4" s="127"/>
      <c r="BF4" s="127">
        <v>44531</v>
      </c>
      <c r="BG4" s="127"/>
      <c r="BH4" s="127"/>
    </row>
    <row r="5" spans="1:61" s="6" customFormat="1" ht="38.25" customHeight="1" x14ac:dyDescent="0.25">
      <c r="A5" s="132"/>
      <c r="B5" s="133"/>
      <c r="C5" s="132"/>
      <c r="D5" s="33" t="s">
        <v>3</v>
      </c>
      <c r="E5" s="24" t="s">
        <v>8</v>
      </c>
      <c r="F5" s="11" t="s">
        <v>4</v>
      </c>
      <c r="G5" s="11" t="s">
        <v>1</v>
      </c>
      <c r="H5" s="50" t="s">
        <v>3</v>
      </c>
      <c r="I5" s="55" t="s">
        <v>8</v>
      </c>
      <c r="J5" s="50" t="s">
        <v>4</v>
      </c>
      <c r="K5" s="33" t="s">
        <v>3</v>
      </c>
      <c r="L5" s="24" t="s">
        <v>8</v>
      </c>
      <c r="M5" s="11" t="s">
        <v>4</v>
      </c>
      <c r="N5" s="11" t="s">
        <v>1</v>
      </c>
      <c r="O5" s="50" t="s">
        <v>3</v>
      </c>
      <c r="P5" s="55" t="s">
        <v>8</v>
      </c>
      <c r="Q5" s="50" t="s">
        <v>4</v>
      </c>
      <c r="R5" s="33" t="s">
        <v>3</v>
      </c>
      <c r="S5" s="24" t="s">
        <v>8</v>
      </c>
      <c r="T5" s="11" t="s">
        <v>4</v>
      </c>
      <c r="U5" s="11" t="s">
        <v>1</v>
      </c>
      <c r="V5" s="50" t="s">
        <v>3</v>
      </c>
      <c r="W5" s="55" t="s">
        <v>8</v>
      </c>
      <c r="X5" s="50" t="s">
        <v>4</v>
      </c>
      <c r="Y5" s="33" t="s">
        <v>3</v>
      </c>
      <c r="Z5" s="24" t="s">
        <v>8</v>
      </c>
      <c r="AA5" s="11" t="s">
        <v>4</v>
      </c>
      <c r="AB5" s="50" t="s">
        <v>3</v>
      </c>
      <c r="AC5" s="55" t="s">
        <v>8</v>
      </c>
      <c r="AD5" s="50" t="s">
        <v>4</v>
      </c>
      <c r="AE5" s="33" t="s">
        <v>3</v>
      </c>
      <c r="AF5" s="24" t="s">
        <v>8</v>
      </c>
      <c r="AG5" s="11" t="s">
        <v>4</v>
      </c>
      <c r="AH5" s="50" t="s">
        <v>3</v>
      </c>
      <c r="AI5" s="55" t="s">
        <v>8</v>
      </c>
      <c r="AJ5" s="50" t="s">
        <v>4</v>
      </c>
      <c r="AK5" s="33" t="s">
        <v>3</v>
      </c>
      <c r="AL5" s="24" t="s">
        <v>8</v>
      </c>
      <c r="AM5" s="11" t="s">
        <v>4</v>
      </c>
      <c r="AN5" s="50" t="s">
        <v>3</v>
      </c>
      <c r="AO5" s="65" t="s">
        <v>8</v>
      </c>
      <c r="AP5" s="50" t="s">
        <v>4</v>
      </c>
      <c r="AQ5" s="79" t="s">
        <v>3</v>
      </c>
      <c r="AR5" s="80" t="s">
        <v>8</v>
      </c>
      <c r="AS5" s="79" t="s">
        <v>4</v>
      </c>
      <c r="AT5" s="79" t="s">
        <v>3</v>
      </c>
      <c r="AU5" s="80" t="s">
        <v>8</v>
      </c>
      <c r="AV5" s="79" t="s">
        <v>4</v>
      </c>
      <c r="AW5" s="79" t="s">
        <v>3</v>
      </c>
      <c r="AX5" s="80" t="s">
        <v>8</v>
      </c>
      <c r="AY5" s="79" t="s">
        <v>4</v>
      </c>
      <c r="AZ5" s="79" t="s">
        <v>3</v>
      </c>
      <c r="BA5" s="80" t="s">
        <v>8</v>
      </c>
      <c r="BB5" s="79" t="s">
        <v>4</v>
      </c>
      <c r="BC5" s="79" t="s">
        <v>3</v>
      </c>
      <c r="BD5" s="80" t="s">
        <v>8</v>
      </c>
      <c r="BE5" s="79" t="s">
        <v>4</v>
      </c>
      <c r="BF5" s="79" t="s">
        <v>3</v>
      </c>
      <c r="BG5" s="80" t="s">
        <v>8</v>
      </c>
      <c r="BH5" s="79" t="s">
        <v>4</v>
      </c>
    </row>
    <row r="6" spans="1:61" s="6" customFormat="1" ht="24.75" customHeight="1" x14ac:dyDescent="0.25">
      <c r="A6" s="27">
        <v>1</v>
      </c>
      <c r="B6" s="26" t="s">
        <v>58</v>
      </c>
      <c r="C6" s="16" t="s">
        <v>37</v>
      </c>
      <c r="D6" s="33"/>
      <c r="E6" s="24"/>
      <c r="F6" s="11"/>
      <c r="G6" s="11"/>
      <c r="H6" s="50"/>
      <c r="I6" s="55"/>
      <c r="J6" s="50"/>
      <c r="K6" s="8">
        <v>130</v>
      </c>
      <c r="L6" s="25">
        <v>36500</v>
      </c>
      <c r="M6" s="18">
        <f>K6*L6*98%</f>
        <v>4650100</v>
      </c>
      <c r="N6" s="10">
        <v>0.02</v>
      </c>
      <c r="O6" s="51">
        <v>127</v>
      </c>
      <c r="P6" s="56">
        <v>52500</v>
      </c>
      <c r="Q6" s="52">
        <f>O6*P6</f>
        <v>6667500</v>
      </c>
      <c r="R6" s="19">
        <f>50+30+20</f>
        <v>100</v>
      </c>
      <c r="S6" s="25">
        <v>36500</v>
      </c>
      <c r="T6" s="2">
        <f t="shared" ref="T6:T11" si="0">R6*S6*98%</f>
        <v>3577000</v>
      </c>
      <c r="U6" s="10">
        <v>0.02</v>
      </c>
      <c r="V6" s="51">
        <v>23</v>
      </c>
      <c r="W6" s="56">
        <v>52500</v>
      </c>
      <c r="X6" s="52">
        <f t="shared" ref="X6:X11" si="1">V6*W6</f>
        <v>1207500</v>
      </c>
      <c r="Y6" s="33"/>
      <c r="Z6" s="24"/>
      <c r="AA6" s="11"/>
      <c r="AB6" s="51">
        <v>50</v>
      </c>
      <c r="AC6" s="56">
        <v>52500</v>
      </c>
      <c r="AD6" s="52">
        <f t="shared" ref="AD6:AD11" si="2">AB6*AC6</f>
        <v>2625000</v>
      </c>
      <c r="AE6" s="33"/>
      <c r="AF6" s="24"/>
      <c r="AG6" s="11"/>
      <c r="AH6" s="50"/>
      <c r="AI6" s="55"/>
      <c r="AJ6" s="50"/>
      <c r="AK6" s="8">
        <v>40</v>
      </c>
      <c r="AL6" s="25">
        <v>40200</v>
      </c>
      <c r="AM6" s="18">
        <f t="shared" ref="AM6:AM11" si="3">AK6*AL6</f>
        <v>1608000</v>
      </c>
      <c r="AN6" s="50">
        <v>50</v>
      </c>
      <c r="AO6" s="65">
        <v>52500</v>
      </c>
      <c r="AP6" s="64">
        <f>AN6*AO6</f>
        <v>2625000</v>
      </c>
      <c r="AQ6" s="81">
        <v>60</v>
      </c>
      <c r="AR6" s="82">
        <v>40200</v>
      </c>
      <c r="AS6" s="83">
        <f>AQ6*AR6</f>
        <v>2412000</v>
      </c>
      <c r="AT6" s="81">
        <v>50</v>
      </c>
      <c r="AU6" s="82">
        <v>40200</v>
      </c>
      <c r="AV6" s="83">
        <f>AT6*AU6</f>
        <v>2010000</v>
      </c>
      <c r="AW6" s="81">
        <v>20</v>
      </c>
      <c r="AX6" s="82">
        <v>45000</v>
      </c>
      <c r="AY6" s="83">
        <f t="shared" ref="AY6:AY14" si="4">AW6*AX6</f>
        <v>900000</v>
      </c>
      <c r="AZ6" s="81">
        <v>60</v>
      </c>
      <c r="BA6" s="82">
        <v>52500</v>
      </c>
      <c r="BB6" s="83">
        <f t="shared" ref="BB6:BB25" si="5">AZ6*BA6</f>
        <v>3150000</v>
      </c>
      <c r="BC6" s="81">
        <v>8</v>
      </c>
      <c r="BD6" s="82">
        <v>52500</v>
      </c>
      <c r="BE6" s="83">
        <v>420000</v>
      </c>
      <c r="BF6" s="81"/>
      <c r="BG6" s="82"/>
      <c r="BH6" s="81"/>
      <c r="BI6" s="102"/>
    </row>
    <row r="7" spans="1:61" s="9" customFormat="1" ht="23.25" customHeight="1" x14ac:dyDescent="0.25">
      <c r="A7" s="15">
        <v>2</v>
      </c>
      <c r="B7" s="26" t="s">
        <v>88</v>
      </c>
      <c r="C7" s="16" t="s">
        <v>28</v>
      </c>
      <c r="D7" s="8">
        <v>1030</v>
      </c>
      <c r="E7" s="25">
        <v>37000</v>
      </c>
      <c r="F7" s="18">
        <f>D7*E7*98%</f>
        <v>37347800</v>
      </c>
      <c r="G7" s="10">
        <v>0.02</v>
      </c>
      <c r="H7" s="51">
        <v>518</v>
      </c>
      <c r="I7" s="56">
        <v>53000</v>
      </c>
      <c r="J7" s="52">
        <f>H7*I7</f>
        <v>27454000</v>
      </c>
      <c r="K7" s="8">
        <v>390</v>
      </c>
      <c r="L7" s="25">
        <v>37000</v>
      </c>
      <c r="M7" s="18">
        <f>K7*L7*98%</f>
        <v>14141400</v>
      </c>
      <c r="N7" s="10">
        <v>0.02</v>
      </c>
      <c r="O7" s="51">
        <v>293</v>
      </c>
      <c r="P7" s="56">
        <v>53000</v>
      </c>
      <c r="Q7" s="52">
        <f>O7*P7</f>
        <v>15529000</v>
      </c>
      <c r="R7" s="19">
        <f>20+30+30+30+10+20+30+8+30+30+20+15+15+15+10</f>
        <v>313</v>
      </c>
      <c r="S7" s="25">
        <v>37000</v>
      </c>
      <c r="T7" s="2">
        <f t="shared" si="0"/>
        <v>11349380</v>
      </c>
      <c r="U7" s="10">
        <v>0.02</v>
      </c>
      <c r="V7" s="51">
        <v>416</v>
      </c>
      <c r="W7" s="56">
        <v>53000</v>
      </c>
      <c r="X7" s="52">
        <f t="shared" si="1"/>
        <v>22048000</v>
      </c>
      <c r="Y7" s="19">
        <v>267</v>
      </c>
      <c r="Z7" s="25">
        <v>37000</v>
      </c>
      <c r="AA7" s="2">
        <f>Y7*Z7</f>
        <v>9879000</v>
      </c>
      <c r="AB7" s="51">
        <v>262</v>
      </c>
      <c r="AC7" s="56">
        <v>53000</v>
      </c>
      <c r="AD7" s="52">
        <f t="shared" si="2"/>
        <v>13886000</v>
      </c>
      <c r="AE7" s="19">
        <v>603</v>
      </c>
      <c r="AF7" s="25">
        <v>40700</v>
      </c>
      <c r="AG7" s="2">
        <f>AE7*AF7</f>
        <v>24542100</v>
      </c>
      <c r="AH7" s="51">
        <v>262</v>
      </c>
      <c r="AI7" s="56">
        <v>53000</v>
      </c>
      <c r="AJ7" s="52">
        <f>AH7*AI7</f>
        <v>13886000</v>
      </c>
      <c r="AK7" s="8">
        <v>555</v>
      </c>
      <c r="AL7" s="25">
        <v>40700</v>
      </c>
      <c r="AM7" s="18">
        <f t="shared" si="3"/>
        <v>22588500</v>
      </c>
      <c r="AN7" s="51">
        <v>150</v>
      </c>
      <c r="AO7" s="66">
        <v>53000</v>
      </c>
      <c r="AP7" s="64">
        <f t="shared" ref="AP7:AP62" si="6">AN7*AO7</f>
        <v>7950000</v>
      </c>
      <c r="AQ7" s="81">
        <v>300</v>
      </c>
      <c r="AR7" s="82">
        <v>40700</v>
      </c>
      <c r="AS7" s="83">
        <f>AQ7*AR7</f>
        <v>12210000</v>
      </c>
      <c r="AT7" s="81">
        <v>150</v>
      </c>
      <c r="AU7" s="82">
        <v>40700</v>
      </c>
      <c r="AV7" s="83">
        <f>AT7*AU7</f>
        <v>6105000</v>
      </c>
      <c r="AW7" s="81">
        <f>160+60</f>
        <v>220</v>
      </c>
      <c r="AX7" s="82" t="s">
        <v>127</v>
      </c>
      <c r="AY7" s="83">
        <f>7200000+2850000</f>
        <v>10050000</v>
      </c>
      <c r="AZ7" s="81">
        <v>295</v>
      </c>
      <c r="BA7" s="82">
        <v>53000</v>
      </c>
      <c r="BB7" s="83">
        <f t="shared" si="5"/>
        <v>15635000</v>
      </c>
      <c r="BC7" s="81">
        <v>429</v>
      </c>
      <c r="BD7" s="82">
        <v>53000</v>
      </c>
      <c r="BE7" s="83">
        <v>22737000</v>
      </c>
      <c r="BF7" s="81">
        <v>360</v>
      </c>
      <c r="BG7" s="82">
        <v>53000</v>
      </c>
      <c r="BH7" s="83">
        <f t="shared" ref="BH7:BH61" si="7">BF7*BG7</f>
        <v>19080000</v>
      </c>
      <c r="BI7" s="102"/>
    </row>
    <row r="8" spans="1:61" s="9" customFormat="1" ht="23.25" customHeight="1" x14ac:dyDescent="0.25">
      <c r="A8" s="27">
        <v>3</v>
      </c>
      <c r="B8" s="26" t="s">
        <v>59</v>
      </c>
      <c r="C8" s="16" t="s">
        <v>45</v>
      </c>
      <c r="D8" s="8">
        <v>265</v>
      </c>
      <c r="E8" s="25">
        <v>42500</v>
      </c>
      <c r="F8" s="18">
        <f>D8*E8*98%</f>
        <v>11037250</v>
      </c>
      <c r="G8" s="10">
        <v>0.02</v>
      </c>
      <c r="H8" s="51">
        <v>199</v>
      </c>
      <c r="I8" s="56">
        <v>62500</v>
      </c>
      <c r="J8" s="52">
        <f>H8*I8</f>
        <v>12437500</v>
      </c>
      <c r="K8" s="8">
        <v>80</v>
      </c>
      <c r="L8" s="25">
        <v>42500</v>
      </c>
      <c r="M8" s="18">
        <f>K8*L8*98%</f>
        <v>3332000</v>
      </c>
      <c r="N8" s="10">
        <v>0.02</v>
      </c>
      <c r="O8" s="51">
        <v>41</v>
      </c>
      <c r="P8" s="56">
        <v>62500</v>
      </c>
      <c r="Q8" s="52">
        <f>O8*P8</f>
        <v>2562500</v>
      </c>
      <c r="R8" s="19">
        <f>8+30+30+15+25</f>
        <v>108</v>
      </c>
      <c r="S8" s="25">
        <v>42500</v>
      </c>
      <c r="T8" s="2">
        <f t="shared" si="0"/>
        <v>4498200</v>
      </c>
      <c r="U8" s="10">
        <v>0.02</v>
      </c>
      <c r="V8" s="51">
        <v>250</v>
      </c>
      <c r="W8" s="56">
        <v>62500</v>
      </c>
      <c r="X8" s="52">
        <f t="shared" si="1"/>
        <v>15625000</v>
      </c>
      <c r="Y8" s="19">
        <v>150</v>
      </c>
      <c r="Z8" s="25">
        <v>42500</v>
      </c>
      <c r="AA8" s="2">
        <f>Y8*Z8</f>
        <v>6375000</v>
      </c>
      <c r="AB8" s="51">
        <v>100</v>
      </c>
      <c r="AC8" s="56">
        <v>62500</v>
      </c>
      <c r="AD8" s="52">
        <f t="shared" si="2"/>
        <v>6250000</v>
      </c>
      <c r="AE8" s="19">
        <v>270</v>
      </c>
      <c r="AF8" s="25">
        <v>46800</v>
      </c>
      <c r="AG8" s="2">
        <f>AE8*AF8</f>
        <v>12636000</v>
      </c>
      <c r="AH8" s="51">
        <v>139</v>
      </c>
      <c r="AI8" s="56">
        <v>62500</v>
      </c>
      <c r="AJ8" s="52">
        <f>AH8*AI8</f>
        <v>8687500</v>
      </c>
      <c r="AK8" s="8">
        <v>130</v>
      </c>
      <c r="AL8" s="25">
        <v>46800</v>
      </c>
      <c r="AM8" s="18">
        <f t="shared" si="3"/>
        <v>6084000</v>
      </c>
      <c r="AN8" s="51">
        <v>211</v>
      </c>
      <c r="AO8" s="66">
        <v>62500</v>
      </c>
      <c r="AP8" s="64">
        <f t="shared" si="6"/>
        <v>13187500</v>
      </c>
      <c r="AQ8" s="81">
        <v>150</v>
      </c>
      <c r="AR8" s="82">
        <v>46800</v>
      </c>
      <c r="AS8" s="83">
        <f>AQ8*AR8</f>
        <v>7020000</v>
      </c>
      <c r="AT8" s="81"/>
      <c r="AU8" s="82"/>
      <c r="AV8" s="83"/>
      <c r="AW8" s="81">
        <f>100+20</f>
        <v>120</v>
      </c>
      <c r="AX8" s="82" t="s">
        <v>128</v>
      </c>
      <c r="AY8" s="83">
        <f>5200000+1090000</f>
        <v>6290000</v>
      </c>
      <c r="AZ8" s="81">
        <v>195</v>
      </c>
      <c r="BA8" s="82">
        <v>62500</v>
      </c>
      <c r="BB8" s="83">
        <f t="shared" si="5"/>
        <v>12187500</v>
      </c>
      <c r="BC8" s="81">
        <v>120</v>
      </c>
      <c r="BD8" s="82">
        <v>62500</v>
      </c>
      <c r="BE8" s="83">
        <v>7500000</v>
      </c>
      <c r="BF8" s="81">
        <v>140</v>
      </c>
      <c r="BG8" s="82">
        <v>62500</v>
      </c>
      <c r="BH8" s="83">
        <f t="shared" si="7"/>
        <v>8750000</v>
      </c>
      <c r="BI8" s="102"/>
    </row>
    <row r="9" spans="1:61" s="9" customFormat="1" ht="23.25" customHeight="1" x14ac:dyDescent="0.25">
      <c r="A9" s="15">
        <v>4</v>
      </c>
      <c r="B9" s="26" t="s">
        <v>93</v>
      </c>
      <c r="C9" s="40" t="s">
        <v>50</v>
      </c>
      <c r="D9" s="8"/>
      <c r="E9" s="25"/>
      <c r="F9" s="18"/>
      <c r="G9" s="10"/>
      <c r="H9" s="51">
        <v>9</v>
      </c>
      <c r="I9" s="56">
        <v>90500</v>
      </c>
      <c r="J9" s="52">
        <f>H9*I9</f>
        <v>814500</v>
      </c>
      <c r="K9" s="8"/>
      <c r="L9" s="25"/>
      <c r="M9" s="18"/>
      <c r="N9" s="10"/>
      <c r="O9" s="51"/>
      <c r="P9" s="56"/>
      <c r="Q9" s="52"/>
      <c r="R9" s="19">
        <v>4</v>
      </c>
      <c r="S9" s="25">
        <v>52000</v>
      </c>
      <c r="T9" s="2">
        <f t="shared" si="0"/>
        <v>203840</v>
      </c>
      <c r="U9" s="10">
        <v>0.02</v>
      </c>
      <c r="V9" s="51">
        <v>9</v>
      </c>
      <c r="W9" s="56">
        <v>90500</v>
      </c>
      <c r="X9" s="52">
        <f t="shared" si="1"/>
        <v>814500</v>
      </c>
      <c r="Y9" s="19"/>
      <c r="Z9" s="25"/>
      <c r="AA9" s="2"/>
      <c r="AB9" s="51">
        <v>50</v>
      </c>
      <c r="AC9" s="56">
        <v>90500</v>
      </c>
      <c r="AD9" s="52">
        <f t="shared" si="2"/>
        <v>4525000</v>
      </c>
      <c r="AE9" s="19"/>
      <c r="AF9" s="25"/>
      <c r="AG9" s="2"/>
      <c r="AH9" s="51"/>
      <c r="AI9" s="56"/>
      <c r="AJ9" s="52"/>
      <c r="AK9" s="8">
        <v>76</v>
      </c>
      <c r="AL9" s="25">
        <v>62400</v>
      </c>
      <c r="AM9" s="18">
        <f t="shared" si="3"/>
        <v>4742400</v>
      </c>
      <c r="AN9" s="51">
        <v>12</v>
      </c>
      <c r="AO9" s="66">
        <v>90500</v>
      </c>
      <c r="AP9" s="64">
        <f t="shared" si="6"/>
        <v>1086000</v>
      </c>
      <c r="AQ9" s="85"/>
      <c r="AR9" s="35"/>
      <c r="AS9" s="85"/>
      <c r="AT9" s="81"/>
      <c r="AU9" s="82"/>
      <c r="AV9" s="83"/>
      <c r="AW9" s="81"/>
      <c r="AX9" s="82"/>
      <c r="AY9" s="83"/>
      <c r="AZ9" s="81"/>
      <c r="BA9" s="82"/>
      <c r="BB9" s="83"/>
      <c r="BC9" s="81">
        <v>10</v>
      </c>
      <c r="BD9" s="82">
        <v>90500</v>
      </c>
      <c r="BE9" s="83">
        <v>905000</v>
      </c>
      <c r="BF9" s="81">
        <v>10</v>
      </c>
      <c r="BG9" s="82">
        <v>90500</v>
      </c>
      <c r="BH9" s="83">
        <f t="shared" si="7"/>
        <v>905000</v>
      </c>
      <c r="BI9" s="102"/>
    </row>
    <row r="10" spans="1:61" s="9" customFormat="1" ht="23.25" customHeight="1" x14ac:dyDescent="0.25">
      <c r="A10" s="27">
        <v>5</v>
      </c>
      <c r="B10" s="26" t="s">
        <v>89</v>
      </c>
      <c r="C10" s="40" t="s">
        <v>38</v>
      </c>
      <c r="D10" s="8"/>
      <c r="E10" s="25"/>
      <c r="F10" s="18"/>
      <c r="G10" s="10"/>
      <c r="H10" s="51">
        <v>50</v>
      </c>
      <c r="I10" s="56">
        <v>64000</v>
      </c>
      <c r="J10" s="52">
        <f>H10*I10</f>
        <v>3200000</v>
      </c>
      <c r="K10" s="8"/>
      <c r="L10" s="25"/>
      <c r="M10" s="18"/>
      <c r="N10" s="10"/>
      <c r="O10" s="51"/>
      <c r="P10" s="56"/>
      <c r="Q10" s="52"/>
      <c r="R10" s="19">
        <v>1</v>
      </c>
      <c r="S10" s="25">
        <v>43500</v>
      </c>
      <c r="T10" s="2">
        <f t="shared" si="0"/>
        <v>42630</v>
      </c>
      <c r="U10" s="10">
        <v>0.02</v>
      </c>
      <c r="V10" s="51">
        <v>78</v>
      </c>
      <c r="W10" s="56">
        <v>64000</v>
      </c>
      <c r="X10" s="52">
        <f t="shared" si="1"/>
        <v>4992000</v>
      </c>
      <c r="Y10" s="19"/>
      <c r="Z10" s="25"/>
      <c r="AA10" s="2"/>
      <c r="AB10" s="51">
        <v>41</v>
      </c>
      <c r="AC10" s="56">
        <v>64000</v>
      </c>
      <c r="AD10" s="52">
        <f t="shared" si="2"/>
        <v>2624000</v>
      </c>
      <c r="AE10" s="19"/>
      <c r="AF10" s="25"/>
      <c r="AG10" s="2"/>
      <c r="AH10" s="51">
        <v>31</v>
      </c>
      <c r="AI10" s="56">
        <v>64000</v>
      </c>
      <c r="AJ10" s="52">
        <f>AH10*AI10</f>
        <v>1984000</v>
      </c>
      <c r="AK10" s="8">
        <v>40</v>
      </c>
      <c r="AL10" s="25">
        <v>47900</v>
      </c>
      <c r="AM10" s="18">
        <f t="shared" si="3"/>
        <v>1916000</v>
      </c>
      <c r="AN10" s="51"/>
      <c r="AO10" s="66"/>
      <c r="AP10" s="64">
        <f t="shared" si="6"/>
        <v>0</v>
      </c>
      <c r="AQ10" s="81">
        <v>16</v>
      </c>
      <c r="AR10" s="82">
        <v>47900</v>
      </c>
      <c r="AS10" s="83">
        <f>AQ10*AR10</f>
        <v>766400</v>
      </c>
      <c r="AT10" s="81">
        <v>50</v>
      </c>
      <c r="AU10" s="82">
        <v>47900</v>
      </c>
      <c r="AV10" s="83">
        <f>AT10*AU10</f>
        <v>2395000</v>
      </c>
      <c r="AW10" s="81">
        <v>30</v>
      </c>
      <c r="AX10" s="82">
        <v>53000</v>
      </c>
      <c r="AY10" s="83">
        <f t="shared" si="4"/>
        <v>1590000</v>
      </c>
      <c r="AZ10" s="81">
        <v>43</v>
      </c>
      <c r="BA10" s="82">
        <v>64000</v>
      </c>
      <c r="BB10" s="83">
        <f t="shared" si="5"/>
        <v>2752000</v>
      </c>
      <c r="BC10" s="81">
        <v>75</v>
      </c>
      <c r="BD10" s="82">
        <v>64000</v>
      </c>
      <c r="BE10" s="83">
        <v>4800000</v>
      </c>
      <c r="BF10" s="81">
        <v>30</v>
      </c>
      <c r="BG10" s="82">
        <v>64000</v>
      </c>
      <c r="BH10" s="83">
        <f t="shared" si="7"/>
        <v>1920000</v>
      </c>
      <c r="BI10" s="102"/>
    </row>
    <row r="11" spans="1:61" s="9" customFormat="1" ht="23.25" customHeight="1" x14ac:dyDescent="0.25">
      <c r="A11" s="15">
        <v>6</v>
      </c>
      <c r="B11" s="26" t="s">
        <v>60</v>
      </c>
      <c r="C11" s="16" t="s">
        <v>15</v>
      </c>
      <c r="D11" s="8">
        <v>80</v>
      </c>
      <c r="E11" s="25">
        <v>44000</v>
      </c>
      <c r="F11" s="18">
        <f>D11*E11*98%</f>
        <v>3449600</v>
      </c>
      <c r="G11" s="10">
        <v>0.02</v>
      </c>
      <c r="H11" s="51">
        <v>193</v>
      </c>
      <c r="I11" s="56">
        <v>64500</v>
      </c>
      <c r="J11" s="52">
        <f>H11*I11</f>
        <v>12448500</v>
      </c>
      <c r="K11" s="8"/>
      <c r="L11" s="25"/>
      <c r="M11" s="18"/>
      <c r="N11" s="10"/>
      <c r="O11" s="51">
        <v>134</v>
      </c>
      <c r="P11" s="56">
        <v>64500</v>
      </c>
      <c r="Q11" s="52">
        <f>O11*P11</f>
        <v>8643000</v>
      </c>
      <c r="R11" s="19">
        <f>19+11+25+31+2+10+25</f>
        <v>123</v>
      </c>
      <c r="S11" s="25">
        <v>44000</v>
      </c>
      <c r="T11" s="2">
        <f t="shared" si="0"/>
        <v>5303760</v>
      </c>
      <c r="U11" s="10">
        <v>0.02</v>
      </c>
      <c r="V11" s="51">
        <v>200</v>
      </c>
      <c r="W11" s="56">
        <v>64500</v>
      </c>
      <c r="X11" s="52">
        <f t="shared" si="1"/>
        <v>12900000</v>
      </c>
      <c r="Y11" s="19">
        <v>78</v>
      </c>
      <c r="Z11" s="25">
        <v>44000</v>
      </c>
      <c r="AA11" s="2">
        <f>Y11*Z11</f>
        <v>3432000</v>
      </c>
      <c r="AB11" s="51">
        <v>151</v>
      </c>
      <c r="AC11" s="56">
        <v>64500</v>
      </c>
      <c r="AD11" s="52">
        <f t="shared" si="2"/>
        <v>9739500</v>
      </c>
      <c r="AE11" s="19">
        <v>340</v>
      </c>
      <c r="AF11" s="25">
        <v>48400</v>
      </c>
      <c r="AG11" s="2">
        <f>AE11*AF11</f>
        <v>16456000</v>
      </c>
      <c r="AH11" s="51">
        <v>72</v>
      </c>
      <c r="AI11" s="56">
        <v>64500</v>
      </c>
      <c r="AJ11" s="52">
        <f>AH11*AI11</f>
        <v>4644000</v>
      </c>
      <c r="AK11" s="8">
        <v>92</v>
      </c>
      <c r="AL11" s="25">
        <v>48400</v>
      </c>
      <c r="AM11" s="18">
        <f t="shared" si="3"/>
        <v>4452800</v>
      </c>
      <c r="AN11" s="51"/>
      <c r="AO11" s="66"/>
      <c r="AP11" s="64">
        <f t="shared" si="6"/>
        <v>0</v>
      </c>
      <c r="AQ11" s="81">
        <v>180</v>
      </c>
      <c r="AR11" s="82">
        <v>48400</v>
      </c>
      <c r="AS11" s="83">
        <f>AQ11*AR11</f>
        <v>8712000</v>
      </c>
      <c r="AT11" s="81"/>
      <c r="AU11" s="82"/>
      <c r="AV11" s="83"/>
      <c r="AW11" s="81">
        <f>60+40</f>
        <v>100</v>
      </c>
      <c r="AX11" s="82" t="s">
        <v>129</v>
      </c>
      <c r="AY11" s="83">
        <f>3210000+2240000</f>
        <v>5450000</v>
      </c>
      <c r="AZ11" s="81">
        <v>111</v>
      </c>
      <c r="BA11" s="82">
        <v>64500</v>
      </c>
      <c r="BB11" s="83">
        <f t="shared" si="5"/>
        <v>7159500</v>
      </c>
      <c r="BC11" s="81">
        <v>148</v>
      </c>
      <c r="BD11" s="82">
        <v>64500</v>
      </c>
      <c r="BE11" s="83">
        <v>9546000</v>
      </c>
      <c r="BF11" s="81">
        <v>111</v>
      </c>
      <c r="BG11" s="82">
        <v>64500</v>
      </c>
      <c r="BH11" s="83">
        <f t="shared" si="7"/>
        <v>7159500</v>
      </c>
      <c r="BI11" s="102"/>
    </row>
    <row r="12" spans="1:61" s="9" customFormat="1" ht="23.25" customHeight="1" x14ac:dyDescent="0.25">
      <c r="A12" s="27">
        <v>7</v>
      </c>
      <c r="B12" s="26" t="s">
        <v>61</v>
      </c>
      <c r="C12" s="16" t="s">
        <v>46</v>
      </c>
      <c r="D12" s="8">
        <v>50</v>
      </c>
      <c r="E12" s="25">
        <v>49000</v>
      </c>
      <c r="F12" s="18">
        <f>D12*E12*98%</f>
        <v>2401000</v>
      </c>
      <c r="G12" s="10">
        <v>0.02</v>
      </c>
      <c r="H12" s="51"/>
      <c r="I12" s="56"/>
      <c r="J12" s="52"/>
      <c r="K12" s="8"/>
      <c r="L12" s="25"/>
      <c r="M12" s="18"/>
      <c r="N12" s="10"/>
      <c r="O12" s="51"/>
      <c r="P12" s="56"/>
      <c r="Q12" s="52"/>
      <c r="R12" s="19"/>
      <c r="S12" s="25"/>
      <c r="T12" s="2"/>
      <c r="U12" s="10"/>
      <c r="V12" s="51"/>
      <c r="W12" s="56"/>
      <c r="X12" s="52"/>
      <c r="Y12" s="19"/>
      <c r="Z12" s="25"/>
      <c r="AA12" s="2"/>
      <c r="AB12" s="51"/>
      <c r="AC12" s="56"/>
      <c r="AD12" s="52"/>
      <c r="AE12" s="19"/>
      <c r="AF12" s="25"/>
      <c r="AG12" s="2"/>
      <c r="AH12" s="51"/>
      <c r="AI12" s="56"/>
      <c r="AJ12" s="52"/>
      <c r="AK12" s="8"/>
      <c r="AL12" s="25"/>
      <c r="AM12" s="18"/>
      <c r="AN12" s="51"/>
      <c r="AO12" s="66"/>
      <c r="AP12" s="64">
        <f t="shared" si="6"/>
        <v>0</v>
      </c>
      <c r="AQ12" s="85"/>
      <c r="AR12" s="35"/>
      <c r="AS12" s="85"/>
      <c r="AT12" s="81"/>
      <c r="AU12" s="82"/>
      <c r="AV12" s="83"/>
      <c r="AW12" s="81">
        <v>20</v>
      </c>
      <c r="AX12" s="82">
        <v>62500</v>
      </c>
      <c r="AY12" s="83">
        <f t="shared" si="4"/>
        <v>1250000</v>
      </c>
      <c r="AZ12" s="81">
        <v>30</v>
      </c>
      <c r="BA12" s="82">
        <v>68500</v>
      </c>
      <c r="BB12" s="83">
        <f t="shared" si="5"/>
        <v>2055000</v>
      </c>
      <c r="BC12" s="81"/>
      <c r="BD12" s="82"/>
      <c r="BE12" s="83"/>
      <c r="BF12" s="81">
        <v>50</v>
      </c>
      <c r="BG12" s="82">
        <v>68500</v>
      </c>
      <c r="BH12" s="83">
        <f t="shared" si="7"/>
        <v>3425000</v>
      </c>
      <c r="BI12" s="102"/>
    </row>
    <row r="13" spans="1:61" s="9" customFormat="1" ht="23.25" customHeight="1" x14ac:dyDescent="0.25">
      <c r="A13" s="15">
        <v>8</v>
      </c>
      <c r="B13" s="26" t="s">
        <v>91</v>
      </c>
      <c r="C13" s="16" t="s">
        <v>35</v>
      </c>
      <c r="D13" s="8"/>
      <c r="E13" s="25"/>
      <c r="F13" s="18"/>
      <c r="G13" s="10"/>
      <c r="H13" s="51">
        <v>67</v>
      </c>
      <c r="I13" s="56">
        <v>72500</v>
      </c>
      <c r="J13" s="52">
        <f>H13*I13</f>
        <v>4857500</v>
      </c>
      <c r="K13" s="8"/>
      <c r="L13" s="25"/>
      <c r="M13" s="18"/>
      <c r="N13" s="10"/>
      <c r="O13" s="51"/>
      <c r="P13" s="56"/>
      <c r="Q13" s="52"/>
      <c r="R13" s="19"/>
      <c r="S13" s="25"/>
      <c r="T13" s="2"/>
      <c r="U13" s="10"/>
      <c r="V13" s="51">
        <v>33</v>
      </c>
      <c r="W13" s="56">
        <v>72500</v>
      </c>
      <c r="X13" s="52">
        <f>V13*W13</f>
        <v>2392500</v>
      </c>
      <c r="Y13" s="19"/>
      <c r="Z13" s="25"/>
      <c r="AA13" s="2"/>
      <c r="AB13" s="51"/>
      <c r="AC13" s="56"/>
      <c r="AD13" s="52"/>
      <c r="AE13" s="19"/>
      <c r="AF13" s="25"/>
      <c r="AG13" s="2"/>
      <c r="AH13" s="51">
        <v>19</v>
      </c>
      <c r="AI13" s="56">
        <v>72500</v>
      </c>
      <c r="AJ13" s="52">
        <f t="shared" ref="AJ13:AJ19" si="8">AH13*AI13</f>
        <v>1377500</v>
      </c>
      <c r="AK13" s="8">
        <v>100</v>
      </c>
      <c r="AL13" s="25">
        <v>56700</v>
      </c>
      <c r="AM13" s="18">
        <f t="shared" ref="AM13:AM19" si="9">AK13*AL13</f>
        <v>5670000</v>
      </c>
      <c r="AN13" s="51">
        <v>19</v>
      </c>
      <c r="AO13" s="66">
        <v>72500</v>
      </c>
      <c r="AP13" s="64">
        <f t="shared" si="6"/>
        <v>1377500</v>
      </c>
      <c r="AQ13" s="85"/>
      <c r="AR13" s="35"/>
      <c r="AS13" s="85"/>
      <c r="AT13" s="85"/>
      <c r="AU13" s="35"/>
      <c r="AV13" s="85"/>
      <c r="AW13" s="81">
        <v>20</v>
      </c>
      <c r="AX13" s="82">
        <v>66000</v>
      </c>
      <c r="AY13" s="83">
        <f t="shared" si="4"/>
        <v>1320000</v>
      </c>
      <c r="AZ13" s="81"/>
      <c r="BA13" s="82"/>
      <c r="BB13" s="83"/>
      <c r="BC13" s="81">
        <v>40</v>
      </c>
      <c r="BD13" s="82">
        <v>72500</v>
      </c>
      <c r="BE13" s="83">
        <v>2900000</v>
      </c>
      <c r="BF13" s="81"/>
      <c r="BG13" s="82"/>
      <c r="BH13" s="83"/>
      <c r="BI13" s="102"/>
    </row>
    <row r="14" spans="1:61" s="9" customFormat="1" ht="23.25" customHeight="1" x14ac:dyDescent="0.25">
      <c r="A14" s="27">
        <v>9</v>
      </c>
      <c r="B14" s="26" t="s">
        <v>90</v>
      </c>
      <c r="C14" s="16" t="s">
        <v>34</v>
      </c>
      <c r="D14" s="8"/>
      <c r="E14" s="25"/>
      <c r="F14" s="18"/>
      <c r="G14" s="10"/>
      <c r="H14" s="51">
        <v>88</v>
      </c>
      <c r="I14" s="56">
        <v>76500</v>
      </c>
      <c r="J14" s="52">
        <f>H14*I14</f>
        <v>6732000</v>
      </c>
      <c r="K14" s="8">
        <v>26</v>
      </c>
      <c r="L14" s="25">
        <v>54500</v>
      </c>
      <c r="M14" s="18">
        <f>K14*L14*98%</f>
        <v>1388660</v>
      </c>
      <c r="N14" s="10">
        <v>0.02</v>
      </c>
      <c r="O14" s="51">
        <v>51</v>
      </c>
      <c r="P14" s="56">
        <v>76500</v>
      </c>
      <c r="Q14" s="52">
        <f t="shared" ref="Q14:Q19" si="10">O14*P14</f>
        <v>3901500</v>
      </c>
      <c r="R14" s="19"/>
      <c r="S14" s="25"/>
      <c r="T14" s="2"/>
      <c r="U14" s="10"/>
      <c r="V14" s="51">
        <v>31</v>
      </c>
      <c r="W14" s="56">
        <v>76500</v>
      </c>
      <c r="X14" s="52">
        <f>V14*W14</f>
        <v>2371500</v>
      </c>
      <c r="Y14" s="19"/>
      <c r="Z14" s="25"/>
      <c r="AA14" s="2"/>
      <c r="AB14" s="51">
        <v>50</v>
      </c>
      <c r="AC14" s="56">
        <v>76500</v>
      </c>
      <c r="AD14" s="52">
        <f t="shared" ref="AD14:AD19" si="11">AB14*AC14</f>
        <v>3825000</v>
      </c>
      <c r="AE14" s="19">
        <v>105</v>
      </c>
      <c r="AF14" s="25">
        <v>60000</v>
      </c>
      <c r="AG14" s="2">
        <f>AE14*AF14</f>
        <v>6300000</v>
      </c>
      <c r="AH14" s="51">
        <v>30</v>
      </c>
      <c r="AI14" s="56">
        <v>76500</v>
      </c>
      <c r="AJ14" s="52">
        <f t="shared" si="8"/>
        <v>2295000</v>
      </c>
      <c r="AK14" s="8">
        <v>25</v>
      </c>
      <c r="AL14" s="25">
        <v>60000</v>
      </c>
      <c r="AM14" s="18">
        <f t="shared" si="9"/>
        <v>1500000</v>
      </c>
      <c r="AN14" s="51"/>
      <c r="AO14" s="66"/>
      <c r="AP14" s="64">
        <f t="shared" si="6"/>
        <v>0</v>
      </c>
      <c r="AQ14" s="81">
        <v>70</v>
      </c>
      <c r="AR14" s="82">
        <v>60000</v>
      </c>
      <c r="AS14" s="83">
        <f>AQ14*AR14</f>
        <v>4200000</v>
      </c>
      <c r="AT14" s="81">
        <v>50</v>
      </c>
      <c r="AU14" s="82">
        <v>60000</v>
      </c>
      <c r="AV14" s="83">
        <f t="shared" ref="AV14:AV21" si="12">AT14*AU14</f>
        <v>3000000</v>
      </c>
      <c r="AW14" s="81">
        <v>50</v>
      </c>
      <c r="AX14" s="82">
        <v>69500</v>
      </c>
      <c r="AY14" s="83">
        <f t="shared" si="4"/>
        <v>3475000</v>
      </c>
      <c r="AZ14" s="81">
        <v>30</v>
      </c>
      <c r="BA14" s="82">
        <v>76500</v>
      </c>
      <c r="BB14" s="83">
        <f t="shared" si="5"/>
        <v>2295000</v>
      </c>
      <c r="BC14" s="81">
        <v>30</v>
      </c>
      <c r="BD14" s="82">
        <v>76500</v>
      </c>
      <c r="BE14" s="83">
        <v>2295000</v>
      </c>
      <c r="BF14" s="81">
        <v>30</v>
      </c>
      <c r="BG14" s="82">
        <v>76500</v>
      </c>
      <c r="BH14" s="83">
        <f t="shared" si="7"/>
        <v>2295000</v>
      </c>
      <c r="BI14" s="102"/>
    </row>
    <row r="15" spans="1:61" s="9" customFormat="1" ht="23.25" customHeight="1" x14ac:dyDescent="0.25">
      <c r="A15" s="15">
        <v>10</v>
      </c>
      <c r="B15" s="26" t="s">
        <v>92</v>
      </c>
      <c r="C15" s="40" t="s">
        <v>39</v>
      </c>
      <c r="D15" s="8"/>
      <c r="E15" s="25"/>
      <c r="F15" s="18"/>
      <c r="G15" s="10"/>
      <c r="H15" s="51">
        <v>20</v>
      </c>
      <c r="I15" s="56">
        <v>79000</v>
      </c>
      <c r="J15" s="52">
        <f>H15*I15</f>
        <v>1580000</v>
      </c>
      <c r="K15" s="8"/>
      <c r="L15" s="25"/>
      <c r="M15" s="18"/>
      <c r="N15" s="10"/>
      <c r="O15" s="51">
        <v>62</v>
      </c>
      <c r="P15" s="56">
        <v>79000</v>
      </c>
      <c r="Q15" s="52">
        <f t="shared" si="10"/>
        <v>4898000</v>
      </c>
      <c r="R15" s="19">
        <f>30+16+20</f>
        <v>66</v>
      </c>
      <c r="S15" s="25">
        <v>53500</v>
      </c>
      <c r="T15" s="2">
        <f t="shared" ref="T15:T27" si="13">R15*S15*98%</f>
        <v>3460380</v>
      </c>
      <c r="U15" s="10">
        <v>0.02</v>
      </c>
      <c r="V15" s="51">
        <v>56</v>
      </c>
      <c r="W15" s="56">
        <v>79000</v>
      </c>
      <c r="X15" s="52">
        <f>V15*W15</f>
        <v>4424000</v>
      </c>
      <c r="Y15" s="19"/>
      <c r="Z15" s="25"/>
      <c r="AA15" s="2"/>
      <c r="AB15" s="51">
        <v>12</v>
      </c>
      <c r="AC15" s="56">
        <v>79000</v>
      </c>
      <c r="AD15" s="52">
        <f t="shared" si="11"/>
        <v>948000</v>
      </c>
      <c r="AE15" s="19"/>
      <c r="AF15" s="25"/>
      <c r="AG15" s="2"/>
      <c r="AH15" s="51">
        <v>10</v>
      </c>
      <c r="AI15" s="56">
        <v>79000</v>
      </c>
      <c r="AJ15" s="52">
        <f t="shared" si="8"/>
        <v>790000</v>
      </c>
      <c r="AK15" s="8">
        <v>80</v>
      </c>
      <c r="AL15" s="25">
        <v>58900</v>
      </c>
      <c r="AM15" s="18">
        <f t="shared" si="9"/>
        <v>4712000</v>
      </c>
      <c r="AN15" s="51">
        <v>19</v>
      </c>
      <c r="AO15" s="66">
        <v>79000</v>
      </c>
      <c r="AP15" s="64">
        <f t="shared" si="6"/>
        <v>1501000</v>
      </c>
      <c r="AQ15" s="85"/>
      <c r="AR15" s="35"/>
      <c r="AS15" s="85"/>
      <c r="AT15" s="81">
        <v>50</v>
      </c>
      <c r="AU15" s="82">
        <v>58900</v>
      </c>
      <c r="AV15" s="83">
        <f t="shared" si="12"/>
        <v>2945000</v>
      </c>
      <c r="AW15" s="81"/>
      <c r="AX15" s="82"/>
      <c r="AY15" s="83"/>
      <c r="AZ15" s="81">
        <v>90</v>
      </c>
      <c r="BA15" s="82">
        <v>79000</v>
      </c>
      <c r="BB15" s="83">
        <f t="shared" si="5"/>
        <v>7110000</v>
      </c>
      <c r="BC15" s="81">
        <v>59</v>
      </c>
      <c r="BD15" s="82">
        <v>79000</v>
      </c>
      <c r="BE15" s="83">
        <v>4661000</v>
      </c>
      <c r="BF15" s="81">
        <v>61</v>
      </c>
      <c r="BG15" s="82">
        <v>79000</v>
      </c>
      <c r="BH15" s="83">
        <f t="shared" si="7"/>
        <v>4819000</v>
      </c>
      <c r="BI15" s="102"/>
    </row>
    <row r="16" spans="1:61" s="9" customFormat="1" ht="23.25" customHeight="1" x14ac:dyDescent="0.25">
      <c r="A16" s="27">
        <v>11</v>
      </c>
      <c r="B16" s="26" t="s">
        <v>62</v>
      </c>
      <c r="C16" s="16" t="s">
        <v>6</v>
      </c>
      <c r="D16" s="8">
        <v>275</v>
      </c>
      <c r="E16" s="25">
        <v>54000</v>
      </c>
      <c r="F16" s="18">
        <f>D16*E16*98%</f>
        <v>14553000</v>
      </c>
      <c r="G16" s="10">
        <v>0.02</v>
      </c>
      <c r="H16" s="51">
        <v>50</v>
      </c>
      <c r="I16" s="56">
        <v>79500</v>
      </c>
      <c r="J16" s="52">
        <f>H16*I16</f>
        <v>3975000</v>
      </c>
      <c r="K16" s="8">
        <v>100</v>
      </c>
      <c r="L16" s="25">
        <v>54000</v>
      </c>
      <c r="M16" s="18">
        <f>K16*L16*98%</f>
        <v>5292000</v>
      </c>
      <c r="N16" s="10">
        <v>0.02</v>
      </c>
      <c r="O16" s="51">
        <v>120</v>
      </c>
      <c r="P16" s="56">
        <v>79500</v>
      </c>
      <c r="Q16" s="52">
        <f t="shared" si="10"/>
        <v>9540000</v>
      </c>
      <c r="R16" s="19">
        <f>30+30+20+10+20+20+10+15</f>
        <v>155</v>
      </c>
      <c r="S16" s="25">
        <v>54000</v>
      </c>
      <c r="T16" s="2">
        <f t="shared" si="13"/>
        <v>8202600</v>
      </c>
      <c r="U16" s="10">
        <v>0.02</v>
      </c>
      <c r="V16" s="51">
        <v>128</v>
      </c>
      <c r="W16" s="56">
        <v>79500</v>
      </c>
      <c r="X16" s="52">
        <f>V16*W16</f>
        <v>10176000</v>
      </c>
      <c r="Y16" s="19">
        <v>230</v>
      </c>
      <c r="Z16" s="25">
        <v>54000</v>
      </c>
      <c r="AA16" s="2">
        <f>Y16*Z16</f>
        <v>12420000</v>
      </c>
      <c r="AB16" s="51">
        <v>50</v>
      </c>
      <c r="AC16" s="56">
        <v>79500</v>
      </c>
      <c r="AD16" s="52">
        <f t="shared" si="11"/>
        <v>3975000</v>
      </c>
      <c r="AE16" s="19">
        <v>115</v>
      </c>
      <c r="AF16" s="25">
        <v>59400</v>
      </c>
      <c r="AG16" s="2">
        <f>AE16*AF16</f>
        <v>6831000</v>
      </c>
      <c r="AH16" s="51">
        <v>101</v>
      </c>
      <c r="AI16" s="56">
        <v>79500</v>
      </c>
      <c r="AJ16" s="52">
        <f t="shared" si="8"/>
        <v>8029500</v>
      </c>
      <c r="AK16" s="8">
        <v>100</v>
      </c>
      <c r="AL16" s="25">
        <v>59400</v>
      </c>
      <c r="AM16" s="18">
        <f t="shared" si="9"/>
        <v>5940000</v>
      </c>
      <c r="AN16" s="51">
        <v>31</v>
      </c>
      <c r="AO16" s="66">
        <v>79500</v>
      </c>
      <c r="AP16" s="64">
        <f t="shared" si="6"/>
        <v>2464500</v>
      </c>
      <c r="AQ16" s="81">
        <v>20</v>
      </c>
      <c r="AR16" s="82">
        <v>59400</v>
      </c>
      <c r="AS16" s="83">
        <f>AQ16*AR16</f>
        <v>1188000</v>
      </c>
      <c r="AT16" s="81">
        <v>70</v>
      </c>
      <c r="AU16" s="82">
        <v>59400</v>
      </c>
      <c r="AV16" s="83">
        <f t="shared" si="12"/>
        <v>4158000</v>
      </c>
      <c r="AW16" s="81">
        <v>20</v>
      </c>
      <c r="AX16" s="82">
        <v>69000</v>
      </c>
      <c r="AY16" s="83">
        <f>AW16*AX16</f>
        <v>1380000</v>
      </c>
      <c r="AZ16" s="81">
        <v>105</v>
      </c>
      <c r="BA16" s="82">
        <v>79500</v>
      </c>
      <c r="BB16" s="83">
        <f t="shared" si="5"/>
        <v>8347500</v>
      </c>
      <c r="BC16" s="81">
        <v>50</v>
      </c>
      <c r="BD16" s="82">
        <v>79500</v>
      </c>
      <c r="BE16" s="83">
        <v>3975000</v>
      </c>
      <c r="BF16" s="81">
        <v>179</v>
      </c>
      <c r="BG16" s="82">
        <v>79500</v>
      </c>
      <c r="BH16" s="83">
        <f t="shared" si="7"/>
        <v>14230500</v>
      </c>
      <c r="BI16" s="102"/>
    </row>
    <row r="17" spans="1:61" s="9" customFormat="1" ht="23.25" customHeight="1" x14ac:dyDescent="0.25">
      <c r="A17" s="15">
        <v>12</v>
      </c>
      <c r="B17" s="26" t="s">
        <v>94</v>
      </c>
      <c r="C17" s="40" t="s">
        <v>40</v>
      </c>
      <c r="D17" s="8"/>
      <c r="E17" s="25"/>
      <c r="F17" s="18"/>
      <c r="G17" s="10"/>
      <c r="H17" s="51"/>
      <c r="I17" s="56"/>
      <c r="J17" s="52"/>
      <c r="K17" s="8"/>
      <c r="L17" s="25"/>
      <c r="M17" s="18"/>
      <c r="N17" s="10"/>
      <c r="O17" s="51">
        <v>30</v>
      </c>
      <c r="P17" s="56">
        <v>100000</v>
      </c>
      <c r="Q17" s="52">
        <f t="shared" si="10"/>
        <v>3000000</v>
      </c>
      <c r="R17" s="19">
        <v>4</v>
      </c>
      <c r="S17" s="25">
        <v>68500</v>
      </c>
      <c r="T17" s="2">
        <f t="shared" si="13"/>
        <v>268520</v>
      </c>
      <c r="U17" s="10">
        <v>0.02</v>
      </c>
      <c r="V17" s="51"/>
      <c r="W17" s="56"/>
      <c r="X17" s="52"/>
      <c r="Y17" s="19"/>
      <c r="Z17" s="25"/>
      <c r="AA17" s="2"/>
      <c r="AB17" s="51">
        <v>18</v>
      </c>
      <c r="AC17" s="56">
        <v>100000</v>
      </c>
      <c r="AD17" s="52">
        <f t="shared" si="11"/>
        <v>1800000</v>
      </c>
      <c r="AE17" s="19"/>
      <c r="AF17" s="25"/>
      <c r="AG17" s="2"/>
      <c r="AH17" s="51">
        <v>32</v>
      </c>
      <c r="AI17" s="56">
        <v>100000</v>
      </c>
      <c r="AJ17" s="52">
        <f t="shared" si="8"/>
        <v>3200000</v>
      </c>
      <c r="AK17" s="8">
        <v>74</v>
      </c>
      <c r="AL17" s="25">
        <v>75400</v>
      </c>
      <c r="AM17" s="18">
        <f t="shared" si="9"/>
        <v>5579600</v>
      </c>
      <c r="AN17" s="51"/>
      <c r="AO17" s="66"/>
      <c r="AP17" s="64">
        <f t="shared" si="6"/>
        <v>0</v>
      </c>
      <c r="AQ17" s="85"/>
      <c r="AR17" s="35"/>
      <c r="AS17" s="85"/>
      <c r="AT17" s="81">
        <v>30</v>
      </c>
      <c r="AU17" s="82">
        <v>75400</v>
      </c>
      <c r="AV17" s="83">
        <f t="shared" si="12"/>
        <v>2262000</v>
      </c>
      <c r="AW17" s="81"/>
      <c r="AX17" s="82"/>
      <c r="AY17" s="83"/>
      <c r="AZ17" s="81">
        <v>15</v>
      </c>
      <c r="BA17" s="82">
        <v>100000</v>
      </c>
      <c r="BB17" s="83">
        <f t="shared" si="5"/>
        <v>1500000</v>
      </c>
      <c r="BC17" s="81">
        <v>20</v>
      </c>
      <c r="BD17" s="82">
        <v>100000</v>
      </c>
      <c r="BE17" s="83">
        <v>2000000</v>
      </c>
      <c r="BF17" s="81">
        <v>50</v>
      </c>
      <c r="BG17" s="82">
        <v>100000</v>
      </c>
      <c r="BH17" s="83">
        <f t="shared" si="7"/>
        <v>5000000</v>
      </c>
      <c r="BI17" s="102"/>
    </row>
    <row r="18" spans="1:61" s="9" customFormat="1" ht="23.25" customHeight="1" x14ac:dyDescent="0.25">
      <c r="A18" s="27">
        <v>13</v>
      </c>
      <c r="B18" s="26" t="s">
        <v>63</v>
      </c>
      <c r="C18" s="16" t="s">
        <v>16</v>
      </c>
      <c r="D18" s="8">
        <v>304</v>
      </c>
      <c r="E18" s="25">
        <v>59500</v>
      </c>
      <c r="F18" s="18">
        <f>D18*E18*98%</f>
        <v>17726240</v>
      </c>
      <c r="G18" s="10">
        <v>0.02</v>
      </c>
      <c r="H18" s="51">
        <v>270</v>
      </c>
      <c r="I18" s="56">
        <v>84500</v>
      </c>
      <c r="J18" s="52">
        <f>H18*I18</f>
        <v>22815000</v>
      </c>
      <c r="K18" s="8">
        <v>296</v>
      </c>
      <c r="L18" s="25">
        <v>59500</v>
      </c>
      <c r="M18" s="18">
        <f>K18*L18*98%</f>
        <v>17259760</v>
      </c>
      <c r="N18" s="10">
        <v>0.02</v>
      </c>
      <c r="O18" s="51">
        <v>80</v>
      </c>
      <c r="P18" s="56">
        <v>84500</v>
      </c>
      <c r="Q18" s="52">
        <f t="shared" si="10"/>
        <v>6760000</v>
      </c>
      <c r="R18" s="19">
        <f>20+15+35+50+6</f>
        <v>126</v>
      </c>
      <c r="S18" s="25">
        <v>59500</v>
      </c>
      <c r="T18" s="2">
        <f t="shared" si="13"/>
        <v>7347060</v>
      </c>
      <c r="U18" s="10">
        <v>0.02</v>
      </c>
      <c r="V18" s="51">
        <v>250</v>
      </c>
      <c r="W18" s="56">
        <v>84500</v>
      </c>
      <c r="X18" s="52">
        <f>V18*W18</f>
        <v>21125000</v>
      </c>
      <c r="Y18" s="19">
        <v>220</v>
      </c>
      <c r="Z18" s="25">
        <v>59500</v>
      </c>
      <c r="AA18" s="2">
        <f>Y18*Z18</f>
        <v>13090000</v>
      </c>
      <c r="AB18" s="51">
        <v>119</v>
      </c>
      <c r="AC18" s="56">
        <v>84500</v>
      </c>
      <c r="AD18" s="52">
        <f t="shared" si="11"/>
        <v>10055500</v>
      </c>
      <c r="AE18" s="19">
        <v>230</v>
      </c>
      <c r="AF18" s="25">
        <v>65500</v>
      </c>
      <c r="AG18" s="2">
        <f>AE18*AF18</f>
        <v>15065000</v>
      </c>
      <c r="AH18" s="51">
        <v>31</v>
      </c>
      <c r="AI18" s="56">
        <v>84500</v>
      </c>
      <c r="AJ18" s="52">
        <f t="shared" si="8"/>
        <v>2619500</v>
      </c>
      <c r="AK18" s="8">
        <v>300</v>
      </c>
      <c r="AL18" s="25">
        <v>65500</v>
      </c>
      <c r="AM18" s="18">
        <f t="shared" si="9"/>
        <v>19650000</v>
      </c>
      <c r="AN18" s="51">
        <v>100</v>
      </c>
      <c r="AO18" s="66">
        <v>84500</v>
      </c>
      <c r="AP18" s="64">
        <f t="shared" si="6"/>
        <v>8450000</v>
      </c>
      <c r="AQ18" s="81">
        <v>50</v>
      </c>
      <c r="AR18" s="82">
        <v>65500</v>
      </c>
      <c r="AS18" s="83">
        <f>AQ18*AR18</f>
        <v>3275000</v>
      </c>
      <c r="AT18" s="81">
        <v>100</v>
      </c>
      <c r="AU18" s="82">
        <v>65500</v>
      </c>
      <c r="AV18" s="83">
        <f t="shared" si="12"/>
        <v>6550000</v>
      </c>
      <c r="AW18" s="81">
        <f>100+30</f>
        <v>130</v>
      </c>
      <c r="AX18" s="82" t="s">
        <v>130</v>
      </c>
      <c r="AY18" s="83">
        <f>7200000+2265000</f>
        <v>9465000</v>
      </c>
      <c r="AZ18" s="81">
        <v>75</v>
      </c>
      <c r="BA18" s="82">
        <v>84500</v>
      </c>
      <c r="BB18" s="83">
        <f t="shared" si="5"/>
        <v>6337500</v>
      </c>
      <c r="BC18" s="81">
        <v>220</v>
      </c>
      <c r="BD18" s="82">
        <v>84500</v>
      </c>
      <c r="BE18" s="83">
        <v>18590000</v>
      </c>
      <c r="BF18" s="81">
        <v>180</v>
      </c>
      <c r="BG18" s="82">
        <v>84500</v>
      </c>
      <c r="BH18" s="83">
        <f t="shared" si="7"/>
        <v>15210000</v>
      </c>
      <c r="BI18" s="102"/>
    </row>
    <row r="19" spans="1:61" s="9" customFormat="1" ht="23.25" customHeight="1" x14ac:dyDescent="0.25">
      <c r="A19" s="15">
        <v>14</v>
      </c>
      <c r="B19" s="26" t="s">
        <v>64</v>
      </c>
      <c r="C19" s="16" t="s">
        <v>25</v>
      </c>
      <c r="D19" s="8">
        <v>420</v>
      </c>
      <c r="E19" s="25">
        <v>62500</v>
      </c>
      <c r="F19" s="18">
        <f>D19*E19*98%</f>
        <v>25725000</v>
      </c>
      <c r="G19" s="10">
        <v>0.02</v>
      </c>
      <c r="H19" s="51">
        <v>379</v>
      </c>
      <c r="I19" s="56">
        <v>90000</v>
      </c>
      <c r="J19" s="52">
        <f>H19*I19</f>
        <v>34110000</v>
      </c>
      <c r="K19" s="8">
        <v>300</v>
      </c>
      <c r="L19" s="25">
        <v>62500</v>
      </c>
      <c r="M19" s="18">
        <f>K19*L19*98%</f>
        <v>18375000</v>
      </c>
      <c r="N19" s="10">
        <v>0.02</v>
      </c>
      <c r="O19" s="51">
        <v>200</v>
      </c>
      <c r="P19" s="56">
        <v>90000</v>
      </c>
      <c r="Q19" s="52">
        <f t="shared" si="10"/>
        <v>18000000</v>
      </c>
      <c r="R19" s="19">
        <f>20+20+20+30+10+30+20+20+40+30+4+10+20+20+20+10+20+25+30+5</f>
        <v>404</v>
      </c>
      <c r="S19" s="25">
        <v>62500</v>
      </c>
      <c r="T19" s="2">
        <f t="shared" si="13"/>
        <v>24745000</v>
      </c>
      <c r="U19" s="10">
        <v>0.02</v>
      </c>
      <c r="V19" s="51">
        <v>345</v>
      </c>
      <c r="W19" s="56">
        <v>90000</v>
      </c>
      <c r="X19" s="52">
        <f>V19*W19</f>
        <v>31050000</v>
      </c>
      <c r="Y19" s="19">
        <v>166</v>
      </c>
      <c r="Z19" s="25">
        <v>62500</v>
      </c>
      <c r="AA19" s="2">
        <f>Y19*Z19</f>
        <v>10375000</v>
      </c>
      <c r="AB19" s="51">
        <v>143</v>
      </c>
      <c r="AC19" s="56">
        <v>90000</v>
      </c>
      <c r="AD19" s="52">
        <f t="shared" si="11"/>
        <v>12870000</v>
      </c>
      <c r="AE19" s="19">
        <v>399</v>
      </c>
      <c r="AF19" s="25">
        <v>68800</v>
      </c>
      <c r="AG19" s="2">
        <f>AE19*AF19</f>
        <v>27451200</v>
      </c>
      <c r="AH19" s="51">
        <v>62</v>
      </c>
      <c r="AI19" s="56">
        <v>90000</v>
      </c>
      <c r="AJ19" s="52">
        <f t="shared" si="8"/>
        <v>5580000</v>
      </c>
      <c r="AK19" s="8">
        <v>385</v>
      </c>
      <c r="AL19" s="25">
        <v>68800</v>
      </c>
      <c r="AM19" s="18">
        <f t="shared" si="9"/>
        <v>26488000</v>
      </c>
      <c r="AN19" s="51">
        <v>150</v>
      </c>
      <c r="AO19" s="66">
        <v>90000</v>
      </c>
      <c r="AP19" s="64">
        <f t="shared" si="6"/>
        <v>13500000</v>
      </c>
      <c r="AQ19" s="81">
        <v>150</v>
      </c>
      <c r="AR19" s="82">
        <v>68800</v>
      </c>
      <c r="AS19" s="83">
        <f>AQ19*AR19</f>
        <v>10320000</v>
      </c>
      <c r="AT19" s="81">
        <v>100</v>
      </c>
      <c r="AU19" s="82">
        <v>68800</v>
      </c>
      <c r="AV19" s="83">
        <f t="shared" si="12"/>
        <v>6880000</v>
      </c>
      <c r="AW19" s="81">
        <f>180+50</f>
        <v>230</v>
      </c>
      <c r="AX19" s="82" t="s">
        <v>131</v>
      </c>
      <c r="AY19" s="83">
        <f>13680000+4000000</f>
        <v>17680000</v>
      </c>
      <c r="AZ19" s="81">
        <v>175</v>
      </c>
      <c r="BA19" s="82">
        <v>90000</v>
      </c>
      <c r="BB19" s="83">
        <f t="shared" si="5"/>
        <v>15750000</v>
      </c>
      <c r="BC19" s="81">
        <v>200</v>
      </c>
      <c r="BD19" s="82">
        <v>90000</v>
      </c>
      <c r="BE19" s="83">
        <v>18000000</v>
      </c>
      <c r="BF19" s="81">
        <v>271</v>
      </c>
      <c r="BG19" s="82">
        <v>90000</v>
      </c>
      <c r="BH19" s="83">
        <f t="shared" si="7"/>
        <v>24390000</v>
      </c>
      <c r="BI19" s="102"/>
    </row>
    <row r="20" spans="1:61" s="9" customFormat="1" ht="23.25" customHeight="1" x14ac:dyDescent="0.25">
      <c r="A20" s="27">
        <v>15</v>
      </c>
      <c r="B20" s="26" t="s">
        <v>66</v>
      </c>
      <c r="C20" s="40" t="s">
        <v>41</v>
      </c>
      <c r="D20" s="8"/>
      <c r="E20" s="25"/>
      <c r="F20" s="18"/>
      <c r="G20" s="10"/>
      <c r="H20" s="51"/>
      <c r="I20" s="56"/>
      <c r="J20" s="52"/>
      <c r="K20" s="8"/>
      <c r="L20" s="25"/>
      <c r="M20" s="18"/>
      <c r="N20" s="10"/>
      <c r="O20" s="51"/>
      <c r="P20" s="56"/>
      <c r="Q20" s="52"/>
      <c r="R20" s="19">
        <v>6</v>
      </c>
      <c r="S20" s="25">
        <v>65500</v>
      </c>
      <c r="T20" s="2">
        <f t="shared" si="13"/>
        <v>385140</v>
      </c>
      <c r="U20" s="10">
        <v>0.02</v>
      </c>
      <c r="V20" s="51"/>
      <c r="W20" s="56"/>
      <c r="X20" s="52"/>
      <c r="Y20" s="19"/>
      <c r="Z20" s="25"/>
      <c r="AA20" s="2"/>
      <c r="AB20" s="51"/>
      <c r="AC20" s="56"/>
      <c r="AD20" s="52"/>
      <c r="AE20" s="19"/>
      <c r="AF20" s="25"/>
      <c r="AG20" s="2"/>
      <c r="AH20" s="51"/>
      <c r="AI20" s="56"/>
      <c r="AJ20" s="52"/>
      <c r="AK20" s="8"/>
      <c r="AL20" s="25"/>
      <c r="AM20" s="18"/>
      <c r="AN20" s="51">
        <v>25</v>
      </c>
      <c r="AO20" s="66">
        <v>101000</v>
      </c>
      <c r="AP20" s="64">
        <f t="shared" si="6"/>
        <v>2525000</v>
      </c>
      <c r="AQ20" s="85"/>
      <c r="AR20" s="35"/>
      <c r="AS20" s="85"/>
      <c r="AT20" s="81">
        <v>40</v>
      </c>
      <c r="AU20" s="82">
        <v>72100</v>
      </c>
      <c r="AV20" s="83">
        <f t="shared" si="12"/>
        <v>2884000</v>
      </c>
      <c r="AW20" s="81"/>
      <c r="AX20" s="82"/>
      <c r="AY20" s="83"/>
      <c r="AZ20" s="81"/>
      <c r="BA20" s="82"/>
      <c r="BB20" s="83"/>
      <c r="BC20" s="81"/>
      <c r="BD20" s="82"/>
      <c r="BE20" s="83"/>
      <c r="BF20" s="81"/>
      <c r="BG20" s="82"/>
      <c r="BH20" s="83"/>
      <c r="BI20" s="102"/>
    </row>
    <row r="21" spans="1:61" s="9" customFormat="1" ht="23.25" customHeight="1" x14ac:dyDescent="0.25">
      <c r="A21" s="15">
        <v>16</v>
      </c>
      <c r="B21" s="26" t="s">
        <v>67</v>
      </c>
      <c r="C21" s="41" t="s">
        <v>53</v>
      </c>
      <c r="D21" s="8"/>
      <c r="E21" s="25"/>
      <c r="F21" s="18"/>
      <c r="G21" s="10"/>
      <c r="H21" s="51"/>
      <c r="I21" s="56"/>
      <c r="J21" s="52"/>
      <c r="K21" s="8"/>
      <c r="L21" s="25"/>
      <c r="M21" s="18"/>
      <c r="N21" s="10"/>
      <c r="O21" s="51">
        <v>10</v>
      </c>
      <c r="P21" s="56">
        <v>102000</v>
      </c>
      <c r="Q21" s="52">
        <f>O21*P21</f>
        <v>1020000</v>
      </c>
      <c r="R21" s="19">
        <v>4</v>
      </c>
      <c r="S21" s="32">
        <v>66500</v>
      </c>
      <c r="T21" s="2">
        <f t="shared" si="13"/>
        <v>260680</v>
      </c>
      <c r="U21" s="10">
        <v>0.02</v>
      </c>
      <c r="V21" s="51">
        <v>20</v>
      </c>
      <c r="W21" s="56">
        <v>102000</v>
      </c>
      <c r="X21" s="52">
        <f t="shared" ref="X21:X27" si="14">V21*W21</f>
        <v>2040000</v>
      </c>
      <c r="Y21" s="19"/>
      <c r="Z21" s="25"/>
      <c r="AA21" s="2"/>
      <c r="AB21" s="51"/>
      <c r="AC21" s="56"/>
      <c r="AD21" s="52"/>
      <c r="AE21" s="19"/>
      <c r="AF21" s="25"/>
      <c r="AG21" s="2"/>
      <c r="AH21" s="51">
        <v>20</v>
      </c>
      <c r="AI21" s="56">
        <v>102000</v>
      </c>
      <c r="AJ21" s="52">
        <f t="shared" ref="AJ21:AJ27" si="15">AH21*AI21</f>
        <v>2040000</v>
      </c>
      <c r="AK21" s="8"/>
      <c r="AL21" s="25"/>
      <c r="AM21" s="18"/>
      <c r="AN21" s="51"/>
      <c r="AO21" s="66"/>
      <c r="AP21" s="64">
        <f t="shared" si="6"/>
        <v>0</v>
      </c>
      <c r="AQ21" s="85"/>
      <c r="AR21" s="35"/>
      <c r="AS21" s="85"/>
      <c r="AT21" s="81">
        <v>50</v>
      </c>
      <c r="AU21" s="82">
        <v>73200</v>
      </c>
      <c r="AV21" s="83">
        <f t="shared" si="12"/>
        <v>3660000</v>
      </c>
      <c r="AW21" s="81"/>
      <c r="AX21" s="82"/>
      <c r="AY21" s="83"/>
      <c r="AZ21" s="81"/>
      <c r="BA21" s="82"/>
      <c r="BB21" s="83"/>
      <c r="BC21" s="81"/>
      <c r="BD21" s="82"/>
      <c r="BE21" s="83"/>
      <c r="BF21" s="81"/>
      <c r="BG21" s="82"/>
      <c r="BH21" s="83"/>
      <c r="BI21" s="102"/>
    </row>
    <row r="22" spans="1:61" s="9" customFormat="1" ht="23.25" customHeight="1" x14ac:dyDescent="0.25">
      <c r="A22" s="27">
        <v>17</v>
      </c>
      <c r="B22" s="26" t="s">
        <v>96</v>
      </c>
      <c r="C22" s="16" t="s">
        <v>26</v>
      </c>
      <c r="D22" s="8"/>
      <c r="E22" s="25"/>
      <c r="F22" s="18"/>
      <c r="G22" s="10"/>
      <c r="H22" s="51">
        <v>10</v>
      </c>
      <c r="I22" s="56">
        <v>134000</v>
      </c>
      <c r="J22" s="52">
        <f t="shared" ref="J22:J27" si="16">H22*I22</f>
        <v>1340000</v>
      </c>
      <c r="K22" s="8">
        <v>15</v>
      </c>
      <c r="L22" s="25">
        <v>91500</v>
      </c>
      <c r="M22" s="18">
        <f>K22*L22*98%</f>
        <v>1345050</v>
      </c>
      <c r="N22" s="10">
        <v>0.02</v>
      </c>
      <c r="O22" s="51">
        <v>33</v>
      </c>
      <c r="P22" s="56">
        <v>134000</v>
      </c>
      <c r="Q22" s="52">
        <f>O22*P22</f>
        <v>4422000</v>
      </c>
      <c r="R22" s="19">
        <f>15+5+10+20</f>
        <v>50</v>
      </c>
      <c r="S22" s="25">
        <v>91500</v>
      </c>
      <c r="T22" s="2">
        <f t="shared" si="13"/>
        <v>4483500</v>
      </c>
      <c r="U22" s="10">
        <v>0.02</v>
      </c>
      <c r="V22" s="51">
        <v>27</v>
      </c>
      <c r="W22" s="56">
        <v>134000</v>
      </c>
      <c r="X22" s="52">
        <f t="shared" si="14"/>
        <v>3618000</v>
      </c>
      <c r="Y22" s="19">
        <v>5</v>
      </c>
      <c r="Z22" s="25">
        <v>91500</v>
      </c>
      <c r="AA22" s="2">
        <f>Y22*Z22</f>
        <v>457500</v>
      </c>
      <c r="AB22" s="51">
        <v>19</v>
      </c>
      <c r="AC22" s="56">
        <v>134000</v>
      </c>
      <c r="AD22" s="52">
        <f>AB22*AC22</f>
        <v>2546000</v>
      </c>
      <c r="AE22" s="19">
        <v>170</v>
      </c>
      <c r="AF22" s="25">
        <v>100700</v>
      </c>
      <c r="AG22" s="2">
        <f>AE22*AF22</f>
        <v>17119000</v>
      </c>
      <c r="AH22" s="51">
        <v>31</v>
      </c>
      <c r="AI22" s="56">
        <v>134000</v>
      </c>
      <c r="AJ22" s="52">
        <f t="shared" si="15"/>
        <v>4154000</v>
      </c>
      <c r="AK22" s="8"/>
      <c r="AL22" s="25"/>
      <c r="AM22" s="18"/>
      <c r="AN22" s="51">
        <v>50</v>
      </c>
      <c r="AO22" s="66">
        <v>134000</v>
      </c>
      <c r="AP22" s="64">
        <f t="shared" si="6"/>
        <v>6700000</v>
      </c>
      <c r="AQ22" s="85"/>
      <c r="AR22" s="35"/>
      <c r="AS22" s="85"/>
      <c r="AT22" s="81"/>
      <c r="AU22" s="82"/>
      <c r="AV22" s="83"/>
      <c r="AW22" s="81"/>
      <c r="AX22" s="82"/>
      <c r="AY22" s="83"/>
      <c r="AZ22" s="81">
        <v>54</v>
      </c>
      <c r="BA22" s="82">
        <v>134000</v>
      </c>
      <c r="BB22" s="83">
        <f t="shared" si="5"/>
        <v>7236000</v>
      </c>
      <c r="BC22" s="81">
        <v>4</v>
      </c>
      <c r="BD22" s="82">
        <v>134000</v>
      </c>
      <c r="BE22" s="83">
        <v>536000</v>
      </c>
      <c r="BF22" s="81">
        <v>30</v>
      </c>
      <c r="BG22" s="82">
        <v>134000</v>
      </c>
      <c r="BH22" s="83">
        <f t="shared" si="7"/>
        <v>4020000</v>
      </c>
      <c r="BI22" s="102"/>
    </row>
    <row r="23" spans="1:61" s="9" customFormat="1" ht="23.25" customHeight="1" x14ac:dyDescent="0.25">
      <c r="A23" s="15">
        <v>18</v>
      </c>
      <c r="B23" s="26" t="s">
        <v>97</v>
      </c>
      <c r="C23" s="40" t="s">
        <v>17</v>
      </c>
      <c r="D23" s="8"/>
      <c r="E23" s="25"/>
      <c r="F23" s="18"/>
      <c r="G23" s="10"/>
      <c r="H23" s="51">
        <v>40</v>
      </c>
      <c r="I23" s="56">
        <v>136000</v>
      </c>
      <c r="J23" s="52">
        <f t="shared" si="16"/>
        <v>5440000</v>
      </c>
      <c r="K23" s="8"/>
      <c r="L23" s="25"/>
      <c r="M23" s="18"/>
      <c r="N23" s="10"/>
      <c r="O23" s="51">
        <v>10</v>
      </c>
      <c r="P23" s="56">
        <v>136000</v>
      </c>
      <c r="Q23" s="52">
        <f>O23*P23</f>
        <v>1360000</v>
      </c>
      <c r="R23" s="19">
        <v>6</v>
      </c>
      <c r="S23" s="25">
        <v>93000</v>
      </c>
      <c r="T23" s="2">
        <f t="shared" si="13"/>
        <v>546840</v>
      </c>
      <c r="U23" s="10">
        <v>0.02</v>
      </c>
      <c r="V23" s="51">
        <v>56</v>
      </c>
      <c r="W23" s="56">
        <v>136000</v>
      </c>
      <c r="X23" s="52">
        <f t="shared" si="14"/>
        <v>7616000</v>
      </c>
      <c r="Y23" s="19"/>
      <c r="Z23" s="25"/>
      <c r="AA23" s="2"/>
      <c r="AB23" s="51">
        <v>14</v>
      </c>
      <c r="AC23" s="56">
        <v>136000</v>
      </c>
      <c r="AD23" s="52">
        <f>AB23*AC23</f>
        <v>1904000</v>
      </c>
      <c r="AE23" s="19">
        <v>60</v>
      </c>
      <c r="AF23" s="25">
        <v>102300</v>
      </c>
      <c r="AG23" s="2">
        <f>AE23*AF23</f>
        <v>6138000</v>
      </c>
      <c r="AH23" s="51">
        <v>19</v>
      </c>
      <c r="AI23" s="56">
        <v>136000</v>
      </c>
      <c r="AJ23" s="52">
        <f t="shared" si="15"/>
        <v>2584000</v>
      </c>
      <c r="AK23" s="8">
        <v>50</v>
      </c>
      <c r="AL23" s="25">
        <v>102300</v>
      </c>
      <c r="AM23" s="18">
        <f>AK23*AL23</f>
        <v>5115000</v>
      </c>
      <c r="AN23" s="51">
        <v>22</v>
      </c>
      <c r="AO23" s="66">
        <v>136000</v>
      </c>
      <c r="AP23" s="64">
        <f t="shared" si="6"/>
        <v>2992000</v>
      </c>
      <c r="AQ23" s="85"/>
      <c r="AR23" s="35"/>
      <c r="AS23" s="85"/>
      <c r="AT23" s="81"/>
      <c r="AU23" s="82"/>
      <c r="AV23" s="83"/>
      <c r="AW23" s="81">
        <f>40+10</f>
        <v>50</v>
      </c>
      <c r="AX23" s="82" t="s">
        <v>132</v>
      </c>
      <c r="AY23" s="83">
        <f>4520000+1185000</f>
        <v>5705000</v>
      </c>
      <c r="AZ23" s="81">
        <v>25</v>
      </c>
      <c r="BA23" s="82">
        <v>136000</v>
      </c>
      <c r="BB23" s="83">
        <f t="shared" si="5"/>
        <v>3400000</v>
      </c>
      <c r="BC23" s="81">
        <v>20</v>
      </c>
      <c r="BD23" s="82">
        <v>136000</v>
      </c>
      <c r="BE23" s="83">
        <v>2720000</v>
      </c>
      <c r="BF23" s="81">
        <v>10</v>
      </c>
      <c r="BG23" s="82">
        <v>136000</v>
      </c>
      <c r="BH23" s="83">
        <f t="shared" si="7"/>
        <v>1360000</v>
      </c>
      <c r="BI23" s="102"/>
    </row>
    <row r="24" spans="1:61" s="9" customFormat="1" ht="23.25" customHeight="1" x14ac:dyDescent="0.25">
      <c r="A24" s="27">
        <v>19</v>
      </c>
      <c r="B24" s="26" t="s">
        <v>65</v>
      </c>
      <c r="C24" s="16" t="s">
        <v>24</v>
      </c>
      <c r="D24" s="8">
        <v>40</v>
      </c>
      <c r="E24" s="25">
        <v>104000</v>
      </c>
      <c r="F24" s="18">
        <f>D24*E24*98%</f>
        <v>4076800</v>
      </c>
      <c r="G24" s="10">
        <v>0.02</v>
      </c>
      <c r="H24" s="51">
        <v>40</v>
      </c>
      <c r="I24" s="56">
        <v>159000</v>
      </c>
      <c r="J24" s="52">
        <f t="shared" si="16"/>
        <v>6360000</v>
      </c>
      <c r="K24" s="8"/>
      <c r="L24" s="25"/>
      <c r="M24" s="18"/>
      <c r="N24" s="10"/>
      <c r="O24" s="51"/>
      <c r="P24" s="56"/>
      <c r="Q24" s="52"/>
      <c r="R24" s="19">
        <v>6</v>
      </c>
      <c r="S24" s="25">
        <v>104000</v>
      </c>
      <c r="T24" s="2">
        <f t="shared" si="13"/>
        <v>611520</v>
      </c>
      <c r="U24" s="10">
        <v>0.02</v>
      </c>
      <c r="V24" s="51">
        <v>75</v>
      </c>
      <c r="W24" s="56">
        <v>159000</v>
      </c>
      <c r="X24" s="52">
        <f t="shared" si="14"/>
        <v>11925000</v>
      </c>
      <c r="Y24" s="19"/>
      <c r="Z24" s="25"/>
      <c r="AA24" s="2"/>
      <c r="AB24" s="51"/>
      <c r="AC24" s="56"/>
      <c r="AD24" s="52"/>
      <c r="AE24" s="19">
        <v>50</v>
      </c>
      <c r="AF24" s="25">
        <v>114400</v>
      </c>
      <c r="AG24" s="2">
        <f>AE24*AF24</f>
        <v>5720000</v>
      </c>
      <c r="AH24" s="51">
        <v>9</v>
      </c>
      <c r="AI24" s="56">
        <v>159000</v>
      </c>
      <c r="AJ24" s="52">
        <f t="shared" si="15"/>
        <v>1431000</v>
      </c>
      <c r="AK24" s="8">
        <v>90</v>
      </c>
      <c r="AL24" s="25">
        <v>114400</v>
      </c>
      <c r="AM24" s="18">
        <f>AK24*AL24</f>
        <v>10296000</v>
      </c>
      <c r="AN24" s="51">
        <v>16</v>
      </c>
      <c r="AO24" s="66">
        <v>159000</v>
      </c>
      <c r="AP24" s="64">
        <f t="shared" si="6"/>
        <v>2544000</v>
      </c>
      <c r="AQ24" s="85"/>
      <c r="AR24" s="35"/>
      <c r="AS24" s="85"/>
      <c r="AT24" s="81"/>
      <c r="AU24" s="82"/>
      <c r="AV24" s="83"/>
      <c r="AW24" s="81"/>
      <c r="AX24" s="82"/>
      <c r="AY24" s="83"/>
      <c r="AZ24" s="81"/>
      <c r="BA24" s="82"/>
      <c r="BB24" s="83"/>
      <c r="BC24" s="81"/>
      <c r="BD24" s="82"/>
      <c r="BE24" s="83"/>
      <c r="BF24" s="81"/>
      <c r="BG24" s="82"/>
      <c r="BH24" s="83"/>
      <c r="BI24" s="102"/>
    </row>
    <row r="25" spans="1:61" s="9" customFormat="1" ht="23.25" customHeight="1" x14ac:dyDescent="0.25">
      <c r="A25" s="15">
        <v>20</v>
      </c>
      <c r="B25" s="26" t="s">
        <v>68</v>
      </c>
      <c r="C25" s="16" t="s">
        <v>36</v>
      </c>
      <c r="D25" s="8">
        <v>166</v>
      </c>
      <c r="E25" s="25">
        <v>78000</v>
      </c>
      <c r="F25" s="18">
        <f>D25*E25*98%</f>
        <v>12689040</v>
      </c>
      <c r="G25" s="10">
        <v>0.02</v>
      </c>
      <c r="H25" s="51">
        <v>130</v>
      </c>
      <c r="I25" s="56">
        <v>118000</v>
      </c>
      <c r="J25" s="52">
        <f t="shared" si="16"/>
        <v>15340000</v>
      </c>
      <c r="K25" s="19"/>
      <c r="L25" s="35"/>
      <c r="M25" s="34"/>
      <c r="N25" s="34"/>
      <c r="O25" s="51">
        <v>100</v>
      </c>
      <c r="P25" s="56">
        <v>118000</v>
      </c>
      <c r="Q25" s="52">
        <f>O25*P25</f>
        <v>11800000</v>
      </c>
      <c r="R25" s="19">
        <f>18+22+20+20</f>
        <v>80</v>
      </c>
      <c r="S25" s="25">
        <v>78000</v>
      </c>
      <c r="T25" s="2">
        <f t="shared" si="13"/>
        <v>6115200</v>
      </c>
      <c r="U25" s="10">
        <v>0.02</v>
      </c>
      <c r="V25" s="51">
        <v>168</v>
      </c>
      <c r="W25" s="56">
        <v>118000</v>
      </c>
      <c r="X25" s="52">
        <f t="shared" si="14"/>
        <v>19824000</v>
      </c>
      <c r="Y25" s="19">
        <v>129</v>
      </c>
      <c r="Z25" s="25">
        <v>78000</v>
      </c>
      <c r="AA25" s="2">
        <f>Y25*Z25</f>
        <v>10062000</v>
      </c>
      <c r="AB25" s="51">
        <v>82</v>
      </c>
      <c r="AC25" s="56">
        <v>118000</v>
      </c>
      <c r="AD25" s="52">
        <f>AB25*AC25</f>
        <v>9676000</v>
      </c>
      <c r="AE25" s="19"/>
      <c r="AF25" s="25"/>
      <c r="AG25" s="2"/>
      <c r="AH25" s="51">
        <v>50</v>
      </c>
      <c r="AI25" s="56">
        <v>118000</v>
      </c>
      <c r="AJ25" s="52">
        <f t="shared" si="15"/>
        <v>5900000</v>
      </c>
      <c r="AK25" s="8">
        <v>186</v>
      </c>
      <c r="AL25" s="25">
        <v>85800</v>
      </c>
      <c r="AM25" s="18">
        <f>AK25*AL25</f>
        <v>15958800</v>
      </c>
      <c r="AN25" s="51">
        <v>50</v>
      </c>
      <c r="AO25" s="66">
        <v>118000</v>
      </c>
      <c r="AP25" s="64">
        <f t="shared" si="6"/>
        <v>5900000</v>
      </c>
      <c r="AQ25" s="81">
        <v>65</v>
      </c>
      <c r="AR25" s="82">
        <v>85800</v>
      </c>
      <c r="AS25" s="83">
        <f>AQ25*AR25</f>
        <v>5577000</v>
      </c>
      <c r="AT25" s="81">
        <v>50</v>
      </c>
      <c r="AU25" s="82">
        <v>85800</v>
      </c>
      <c r="AV25" s="83">
        <f>AT25*AU25</f>
        <v>4290000</v>
      </c>
      <c r="AW25" s="81">
        <v>100</v>
      </c>
      <c r="AX25" s="82">
        <v>95000</v>
      </c>
      <c r="AY25" s="83">
        <f t="shared" ref="AY25:AY32" si="17">AW25*AX25</f>
        <v>9500000</v>
      </c>
      <c r="AZ25" s="81">
        <v>90</v>
      </c>
      <c r="BA25" s="82">
        <v>118000</v>
      </c>
      <c r="BB25" s="83">
        <f t="shared" si="5"/>
        <v>10620000</v>
      </c>
      <c r="BC25" s="81">
        <v>150</v>
      </c>
      <c r="BD25" s="82">
        <v>118000</v>
      </c>
      <c r="BE25" s="83">
        <v>17700000</v>
      </c>
      <c r="BF25" s="81">
        <v>120</v>
      </c>
      <c r="BG25" s="82">
        <v>118000</v>
      </c>
      <c r="BH25" s="83">
        <f t="shared" si="7"/>
        <v>14160000</v>
      </c>
      <c r="BI25" s="102"/>
    </row>
    <row r="26" spans="1:61" s="9" customFormat="1" ht="23.25" customHeight="1" x14ac:dyDescent="0.25">
      <c r="A26" s="27">
        <v>21</v>
      </c>
      <c r="B26" s="26" t="s">
        <v>69</v>
      </c>
      <c r="C26" s="16" t="s">
        <v>13</v>
      </c>
      <c r="D26" s="8">
        <v>391</v>
      </c>
      <c r="E26" s="25">
        <v>79000</v>
      </c>
      <c r="F26" s="18">
        <f>D26*E26*98%</f>
        <v>30271220</v>
      </c>
      <c r="G26" s="10">
        <v>0.02</v>
      </c>
      <c r="H26" s="51">
        <v>276</v>
      </c>
      <c r="I26" s="56">
        <v>119000</v>
      </c>
      <c r="J26" s="52">
        <f t="shared" si="16"/>
        <v>32844000</v>
      </c>
      <c r="K26" s="8">
        <v>169</v>
      </c>
      <c r="L26" s="25">
        <v>79000</v>
      </c>
      <c r="M26" s="18">
        <f>K26*L26*98%</f>
        <v>13083980</v>
      </c>
      <c r="N26" s="10">
        <v>0.02</v>
      </c>
      <c r="O26" s="51">
        <v>111</v>
      </c>
      <c r="P26" s="56">
        <v>119000</v>
      </c>
      <c r="Q26" s="52">
        <f>O26*P26</f>
        <v>13209000</v>
      </c>
      <c r="R26" s="19">
        <f>30+20+20+30+15+20+15+10+20</f>
        <v>180</v>
      </c>
      <c r="S26" s="25">
        <v>79000</v>
      </c>
      <c r="T26" s="2">
        <f t="shared" si="13"/>
        <v>13935600</v>
      </c>
      <c r="U26" s="10">
        <v>0.02</v>
      </c>
      <c r="V26" s="51">
        <v>175</v>
      </c>
      <c r="W26" s="56">
        <v>119000</v>
      </c>
      <c r="X26" s="52">
        <f t="shared" si="14"/>
        <v>20825000</v>
      </c>
      <c r="Y26" s="19">
        <v>220</v>
      </c>
      <c r="Z26" s="25">
        <v>79000</v>
      </c>
      <c r="AA26" s="2">
        <f>Y26*Z26</f>
        <v>17380000</v>
      </c>
      <c r="AB26" s="51">
        <v>175</v>
      </c>
      <c r="AC26" s="56">
        <v>119000</v>
      </c>
      <c r="AD26" s="52">
        <f>AB26*AC26</f>
        <v>20825000</v>
      </c>
      <c r="AE26" s="19">
        <v>200</v>
      </c>
      <c r="AF26" s="25">
        <v>86900</v>
      </c>
      <c r="AG26" s="2">
        <f>AE26*AF26</f>
        <v>17380000</v>
      </c>
      <c r="AH26" s="51">
        <v>72</v>
      </c>
      <c r="AI26" s="56">
        <v>119000</v>
      </c>
      <c r="AJ26" s="52">
        <f t="shared" si="15"/>
        <v>8568000</v>
      </c>
      <c r="AK26" s="8">
        <v>50</v>
      </c>
      <c r="AL26" s="25">
        <v>86900</v>
      </c>
      <c r="AM26" s="18">
        <f>AK26*AL26</f>
        <v>4345000</v>
      </c>
      <c r="AN26" s="51">
        <v>60</v>
      </c>
      <c r="AO26" s="66">
        <v>119000</v>
      </c>
      <c r="AP26" s="64">
        <f t="shared" si="6"/>
        <v>7140000</v>
      </c>
      <c r="AQ26" s="81">
        <v>50</v>
      </c>
      <c r="AR26" s="82">
        <v>86900</v>
      </c>
      <c r="AS26" s="83">
        <f>AQ26*AR26</f>
        <v>4345000</v>
      </c>
      <c r="AT26" s="81">
        <v>100</v>
      </c>
      <c r="AU26" s="82">
        <v>86900</v>
      </c>
      <c r="AV26" s="83">
        <f>AT26*AU26</f>
        <v>8690000</v>
      </c>
      <c r="AW26" s="81">
        <v>100</v>
      </c>
      <c r="AX26" s="82">
        <v>96000</v>
      </c>
      <c r="AY26" s="83">
        <f t="shared" si="17"/>
        <v>9600000</v>
      </c>
      <c r="AZ26" s="81">
        <f>20+145</f>
        <v>165</v>
      </c>
      <c r="BA26" s="82" t="s">
        <v>133</v>
      </c>
      <c r="BB26" s="83">
        <f>2020000+17255000</f>
        <v>19275000</v>
      </c>
      <c r="BC26" s="81">
        <v>180</v>
      </c>
      <c r="BD26" s="82">
        <v>119000</v>
      </c>
      <c r="BE26" s="83">
        <v>21420000</v>
      </c>
      <c r="BF26" s="81">
        <v>220</v>
      </c>
      <c r="BG26" s="82">
        <v>119000</v>
      </c>
      <c r="BH26" s="83">
        <f t="shared" si="7"/>
        <v>26180000</v>
      </c>
      <c r="BI26" s="102"/>
    </row>
    <row r="27" spans="1:61" s="9" customFormat="1" ht="23.25" customHeight="1" x14ac:dyDescent="0.25">
      <c r="A27" s="15">
        <v>22</v>
      </c>
      <c r="B27" s="26" t="s">
        <v>70</v>
      </c>
      <c r="C27" s="16" t="s">
        <v>47</v>
      </c>
      <c r="D27" s="8">
        <v>77</v>
      </c>
      <c r="E27" s="25">
        <v>87500</v>
      </c>
      <c r="F27" s="18">
        <f>D27*E27*98%</f>
        <v>6602750</v>
      </c>
      <c r="G27" s="10">
        <v>0.02</v>
      </c>
      <c r="H27" s="51">
        <v>40</v>
      </c>
      <c r="I27" s="56">
        <v>128000</v>
      </c>
      <c r="J27" s="52">
        <f t="shared" si="16"/>
        <v>5120000</v>
      </c>
      <c r="K27" s="8">
        <v>60</v>
      </c>
      <c r="L27" s="25">
        <v>87500</v>
      </c>
      <c r="M27" s="18">
        <f>K27*L27*98%</f>
        <v>5145000</v>
      </c>
      <c r="N27" s="10">
        <v>0.02</v>
      </c>
      <c r="O27" s="51">
        <v>87</v>
      </c>
      <c r="P27" s="56">
        <v>128000</v>
      </c>
      <c r="Q27" s="52">
        <f>O27*P27</f>
        <v>11136000</v>
      </c>
      <c r="R27" s="19">
        <f>15+6+8+20</f>
        <v>49</v>
      </c>
      <c r="S27" s="25">
        <v>87500</v>
      </c>
      <c r="T27" s="2">
        <f t="shared" si="13"/>
        <v>4201750</v>
      </c>
      <c r="U27" s="10">
        <v>0.02</v>
      </c>
      <c r="V27" s="51">
        <v>123</v>
      </c>
      <c r="W27" s="56">
        <v>128000</v>
      </c>
      <c r="X27" s="52">
        <f t="shared" si="14"/>
        <v>15744000</v>
      </c>
      <c r="Y27" s="19">
        <v>142</v>
      </c>
      <c r="Z27" s="25">
        <v>87500</v>
      </c>
      <c r="AA27" s="2">
        <f>Y27*Z27</f>
        <v>12425000</v>
      </c>
      <c r="AB27" s="51">
        <v>32</v>
      </c>
      <c r="AC27" s="56">
        <v>128000</v>
      </c>
      <c r="AD27" s="52">
        <f>AB27*AC27</f>
        <v>4096000</v>
      </c>
      <c r="AE27" s="19"/>
      <c r="AF27" s="25"/>
      <c r="AG27" s="2"/>
      <c r="AH27" s="51">
        <f>88-20</f>
        <v>68</v>
      </c>
      <c r="AI27" s="56">
        <v>128000</v>
      </c>
      <c r="AJ27" s="52">
        <f t="shared" si="15"/>
        <v>8704000</v>
      </c>
      <c r="AK27" s="8">
        <v>150</v>
      </c>
      <c r="AL27" s="25">
        <v>96300</v>
      </c>
      <c r="AM27" s="18">
        <f>AK27*AL27</f>
        <v>14445000</v>
      </c>
      <c r="AN27" s="51">
        <v>60</v>
      </c>
      <c r="AO27" s="66">
        <v>128000</v>
      </c>
      <c r="AP27" s="64">
        <f t="shared" si="6"/>
        <v>7680000</v>
      </c>
      <c r="AQ27" s="81">
        <v>35</v>
      </c>
      <c r="AR27" s="82">
        <v>96300</v>
      </c>
      <c r="AS27" s="83">
        <f>AQ27*AR27</f>
        <v>3370500</v>
      </c>
      <c r="AT27" s="81">
        <v>65</v>
      </c>
      <c r="AU27" s="82">
        <v>96300</v>
      </c>
      <c r="AV27" s="83">
        <f>AT27*AU27</f>
        <v>6259500</v>
      </c>
      <c r="AW27" s="81">
        <f>20+20</f>
        <v>40</v>
      </c>
      <c r="AX27" s="82" t="s">
        <v>134</v>
      </c>
      <c r="AY27" s="83">
        <f>2120000+2230000</f>
        <v>4350000</v>
      </c>
      <c r="AZ27" s="81">
        <v>60</v>
      </c>
      <c r="BA27" s="82">
        <v>128000</v>
      </c>
      <c r="BB27" s="83">
        <f>AZ27*BA27</f>
        <v>7680000</v>
      </c>
      <c r="BC27" s="81">
        <v>85</v>
      </c>
      <c r="BD27" s="82">
        <v>128000</v>
      </c>
      <c r="BE27" s="83">
        <v>10880000</v>
      </c>
      <c r="BF27" s="81">
        <v>150</v>
      </c>
      <c r="BG27" s="82">
        <v>128000</v>
      </c>
      <c r="BH27" s="83">
        <f t="shared" si="7"/>
        <v>19200000</v>
      </c>
      <c r="BI27" s="102"/>
    </row>
    <row r="28" spans="1:61" s="9" customFormat="1" ht="23.25" customHeight="1" x14ac:dyDescent="0.25">
      <c r="A28" s="27">
        <v>23</v>
      </c>
      <c r="B28" s="26" t="s">
        <v>115</v>
      </c>
      <c r="C28" s="16" t="s">
        <v>106</v>
      </c>
      <c r="D28" s="8"/>
      <c r="E28" s="25"/>
      <c r="F28" s="18"/>
      <c r="G28" s="10"/>
      <c r="H28" s="51"/>
      <c r="I28" s="56"/>
      <c r="J28" s="52"/>
      <c r="K28" s="8"/>
      <c r="L28" s="25"/>
      <c r="M28" s="18"/>
      <c r="N28" s="10"/>
      <c r="O28" s="51"/>
      <c r="P28" s="56"/>
      <c r="Q28" s="52"/>
      <c r="R28" s="19"/>
      <c r="S28" s="25"/>
      <c r="T28" s="2"/>
      <c r="U28" s="10"/>
      <c r="V28" s="51"/>
      <c r="W28" s="56"/>
      <c r="X28" s="52"/>
      <c r="Y28" s="19"/>
      <c r="Z28" s="25"/>
      <c r="AA28" s="2"/>
      <c r="AB28" s="51"/>
      <c r="AC28" s="56"/>
      <c r="AD28" s="52"/>
      <c r="AE28" s="19"/>
      <c r="AF28" s="25"/>
      <c r="AG28" s="2"/>
      <c r="AH28" s="51"/>
      <c r="AI28" s="56"/>
      <c r="AJ28" s="52"/>
      <c r="AK28" s="8"/>
      <c r="AL28" s="25"/>
      <c r="AM28" s="18"/>
      <c r="AN28" s="51"/>
      <c r="AO28" s="66"/>
      <c r="AP28" s="64">
        <f t="shared" si="6"/>
        <v>0</v>
      </c>
      <c r="AQ28" s="85"/>
      <c r="AR28" s="35"/>
      <c r="AS28" s="85"/>
      <c r="AT28" s="81"/>
      <c r="AU28" s="82"/>
      <c r="AV28" s="83"/>
      <c r="AW28" s="81"/>
      <c r="AX28" s="82"/>
      <c r="AY28" s="83"/>
      <c r="AZ28" s="81"/>
      <c r="BA28" s="82"/>
      <c r="BB28" s="83"/>
      <c r="BC28" s="81"/>
      <c r="BD28" s="82"/>
      <c r="BE28" s="83"/>
      <c r="BF28" s="81"/>
      <c r="BG28" s="82"/>
      <c r="BH28" s="83"/>
      <c r="BI28" s="102"/>
    </row>
    <row r="29" spans="1:61" s="9" customFormat="1" ht="23.25" customHeight="1" x14ac:dyDescent="0.25">
      <c r="A29" s="15">
        <v>24</v>
      </c>
      <c r="B29" s="26" t="s">
        <v>116</v>
      </c>
      <c r="C29" s="16" t="s">
        <v>117</v>
      </c>
      <c r="D29" s="8"/>
      <c r="E29" s="25"/>
      <c r="F29" s="18"/>
      <c r="G29" s="10"/>
      <c r="H29" s="51">
        <v>10</v>
      </c>
      <c r="I29" s="56">
        <v>140000</v>
      </c>
      <c r="J29" s="52">
        <f t="shared" ref="J29:J37" si="18">H29*I29</f>
        <v>1400000</v>
      </c>
      <c r="K29" s="8"/>
      <c r="L29" s="25"/>
      <c r="M29" s="18"/>
      <c r="N29" s="10"/>
      <c r="O29" s="51"/>
      <c r="P29" s="56"/>
      <c r="Q29" s="52"/>
      <c r="R29" s="19"/>
      <c r="S29" s="25"/>
      <c r="T29" s="2"/>
      <c r="U29" s="10"/>
      <c r="V29" s="51">
        <v>50</v>
      </c>
      <c r="W29" s="56">
        <v>140000</v>
      </c>
      <c r="X29" s="52">
        <f t="shared" ref="X29:X38" si="19">V29*W29</f>
        <v>7000000</v>
      </c>
      <c r="Y29" s="19"/>
      <c r="Z29" s="25"/>
      <c r="AA29" s="2"/>
      <c r="AB29" s="51"/>
      <c r="AC29" s="56"/>
      <c r="AD29" s="52"/>
      <c r="AE29" s="19"/>
      <c r="AF29" s="25"/>
      <c r="AG29" s="2"/>
      <c r="AH29" s="51">
        <v>30</v>
      </c>
      <c r="AI29" s="56">
        <v>140000</v>
      </c>
      <c r="AJ29" s="52">
        <f t="shared" ref="AJ29:AJ38" si="20">AH29*AI29</f>
        <v>4200000</v>
      </c>
      <c r="AK29" s="8"/>
      <c r="AL29" s="25"/>
      <c r="AM29" s="18"/>
      <c r="AN29" s="51">
        <v>20</v>
      </c>
      <c r="AO29" s="66">
        <v>140000</v>
      </c>
      <c r="AP29" s="64">
        <f t="shared" si="6"/>
        <v>2800000</v>
      </c>
      <c r="AQ29" s="85"/>
      <c r="AR29" s="35"/>
      <c r="AS29" s="85"/>
      <c r="AT29" s="81">
        <v>20</v>
      </c>
      <c r="AU29" s="82">
        <v>107800</v>
      </c>
      <c r="AV29" s="83">
        <f t="shared" ref="AV29:AV37" si="21">AT29*AU29</f>
        <v>2156000</v>
      </c>
      <c r="AW29" s="81"/>
      <c r="AX29" s="82"/>
      <c r="AY29" s="83"/>
      <c r="AZ29" s="81">
        <v>15</v>
      </c>
      <c r="BA29" s="82">
        <v>140000</v>
      </c>
      <c r="BB29" s="83">
        <f>AZ29*BA29</f>
        <v>2100000</v>
      </c>
      <c r="BC29" s="81"/>
      <c r="BD29" s="82"/>
      <c r="BE29" s="83"/>
      <c r="BF29" s="81"/>
      <c r="BG29" s="82"/>
      <c r="BH29" s="83"/>
      <c r="BI29" s="102"/>
    </row>
    <row r="30" spans="1:61" s="9" customFormat="1" ht="23.25" customHeight="1" x14ac:dyDescent="0.25">
      <c r="A30" s="27">
        <v>25</v>
      </c>
      <c r="B30" s="26" t="s">
        <v>71</v>
      </c>
      <c r="C30" s="16" t="s">
        <v>9</v>
      </c>
      <c r="D30" s="8">
        <v>94</v>
      </c>
      <c r="E30" s="25">
        <v>93500</v>
      </c>
      <c r="F30" s="18">
        <f>D30*E30*98%</f>
        <v>8613220</v>
      </c>
      <c r="G30" s="10">
        <v>0.02</v>
      </c>
      <c r="H30" s="51">
        <v>100</v>
      </c>
      <c r="I30" s="56">
        <v>134500</v>
      </c>
      <c r="J30" s="52">
        <f t="shared" si="18"/>
        <v>13450000</v>
      </c>
      <c r="K30" s="8"/>
      <c r="L30" s="25"/>
      <c r="M30" s="18"/>
      <c r="N30" s="10"/>
      <c r="O30" s="51">
        <v>20</v>
      </c>
      <c r="P30" s="56">
        <v>134500</v>
      </c>
      <c r="Q30" s="52">
        <f t="shared" ref="Q30:Q37" si="22">O30*P30</f>
        <v>2690000</v>
      </c>
      <c r="R30" s="19">
        <f>18+20+12+40+20+5+5</f>
        <v>120</v>
      </c>
      <c r="S30" s="25">
        <v>93500</v>
      </c>
      <c r="T30" s="2">
        <f t="shared" ref="T30:T38" si="23">R30*S30*98%</f>
        <v>10995600</v>
      </c>
      <c r="U30" s="10">
        <v>0.02</v>
      </c>
      <c r="V30" s="51">
        <v>112</v>
      </c>
      <c r="W30" s="56">
        <v>134500</v>
      </c>
      <c r="X30" s="52">
        <f t="shared" si="19"/>
        <v>15064000</v>
      </c>
      <c r="Y30" s="19">
        <v>50</v>
      </c>
      <c r="Z30" s="25">
        <v>93500</v>
      </c>
      <c r="AA30" s="2">
        <f t="shared" ref="AA30:AA37" si="24">Y30*Z30</f>
        <v>4675000</v>
      </c>
      <c r="AB30" s="51">
        <v>87</v>
      </c>
      <c r="AC30" s="56">
        <v>134500</v>
      </c>
      <c r="AD30" s="52">
        <f t="shared" ref="AD30:AD38" si="25">AB30*AC30</f>
        <v>11701500</v>
      </c>
      <c r="AE30" s="19">
        <v>50</v>
      </c>
      <c r="AF30" s="25">
        <v>102900</v>
      </c>
      <c r="AG30" s="2">
        <f t="shared" ref="AG30:AG37" si="26">AE30*AF30</f>
        <v>5145000</v>
      </c>
      <c r="AH30" s="51">
        <v>81</v>
      </c>
      <c r="AI30" s="56">
        <v>134500</v>
      </c>
      <c r="AJ30" s="52">
        <f t="shared" si="20"/>
        <v>10894500</v>
      </c>
      <c r="AK30" s="8">
        <v>135</v>
      </c>
      <c r="AL30" s="25">
        <v>102900</v>
      </c>
      <c r="AM30" s="18">
        <f t="shared" ref="AM30:AM37" si="27">AK30*AL30</f>
        <v>13891500</v>
      </c>
      <c r="AN30" s="51">
        <v>50</v>
      </c>
      <c r="AO30" s="66">
        <v>134500</v>
      </c>
      <c r="AP30" s="64">
        <f t="shared" si="6"/>
        <v>6725000</v>
      </c>
      <c r="AQ30" s="81">
        <v>35</v>
      </c>
      <c r="AR30" s="82">
        <v>102900</v>
      </c>
      <c r="AS30" s="83">
        <f>AQ30*AR30</f>
        <v>3601500</v>
      </c>
      <c r="AT30" s="81">
        <v>15</v>
      </c>
      <c r="AU30" s="82">
        <v>102900</v>
      </c>
      <c r="AV30" s="83">
        <f t="shared" si="21"/>
        <v>1543500</v>
      </c>
      <c r="AW30" s="81">
        <v>50</v>
      </c>
      <c r="AX30" s="82">
        <v>114000</v>
      </c>
      <c r="AY30" s="83">
        <f t="shared" si="17"/>
        <v>5700000</v>
      </c>
      <c r="AZ30" s="81">
        <v>45</v>
      </c>
      <c r="BA30" s="82">
        <v>134500</v>
      </c>
      <c r="BB30" s="83">
        <f>AZ30*BA30</f>
        <v>6052500</v>
      </c>
      <c r="BC30" s="81">
        <v>85</v>
      </c>
      <c r="BD30" s="82">
        <v>134500</v>
      </c>
      <c r="BE30" s="83">
        <v>11432500</v>
      </c>
      <c r="BF30" s="81">
        <v>70</v>
      </c>
      <c r="BG30" s="82">
        <v>134500</v>
      </c>
      <c r="BH30" s="83">
        <f t="shared" si="7"/>
        <v>9415000</v>
      </c>
      <c r="BI30" s="102"/>
    </row>
    <row r="31" spans="1:61" s="9" customFormat="1" ht="23.25" customHeight="1" x14ac:dyDescent="0.25">
      <c r="A31" s="15">
        <v>26</v>
      </c>
      <c r="B31" s="26" t="s">
        <v>72</v>
      </c>
      <c r="C31" s="16" t="s">
        <v>10</v>
      </c>
      <c r="D31" s="8">
        <v>516</v>
      </c>
      <c r="E31" s="25">
        <v>97000</v>
      </c>
      <c r="F31" s="18">
        <f>D31*E31*98%</f>
        <v>49050960</v>
      </c>
      <c r="G31" s="10">
        <v>0.02</v>
      </c>
      <c r="H31" s="51">
        <v>230</v>
      </c>
      <c r="I31" s="56">
        <v>139000</v>
      </c>
      <c r="J31" s="52">
        <f t="shared" si="18"/>
        <v>31970000</v>
      </c>
      <c r="K31" s="8">
        <v>405</v>
      </c>
      <c r="L31" s="25">
        <v>97000</v>
      </c>
      <c r="M31" s="18">
        <f t="shared" ref="M31:M37" si="28">K31*L31*98%</f>
        <v>38499300</v>
      </c>
      <c r="N31" s="10">
        <v>0.02</v>
      </c>
      <c r="O31" s="51">
        <v>200</v>
      </c>
      <c r="P31" s="56">
        <v>139000</v>
      </c>
      <c r="Q31" s="52">
        <f t="shared" si="22"/>
        <v>27800000</v>
      </c>
      <c r="R31" s="19">
        <f>20+20+30+15+20+20+40+20+8+20+30+30+20+7+20</f>
        <v>320</v>
      </c>
      <c r="S31" s="25">
        <v>97000</v>
      </c>
      <c r="T31" s="2">
        <f t="shared" si="23"/>
        <v>30419200</v>
      </c>
      <c r="U31" s="10">
        <v>0.02</v>
      </c>
      <c r="V31" s="51">
        <v>433</v>
      </c>
      <c r="W31" s="56">
        <v>139000</v>
      </c>
      <c r="X31" s="52">
        <f t="shared" si="19"/>
        <v>60187000</v>
      </c>
      <c r="Y31" s="19">
        <v>191</v>
      </c>
      <c r="Z31" s="25">
        <v>97000</v>
      </c>
      <c r="AA31" s="2">
        <f t="shared" si="24"/>
        <v>18527000</v>
      </c>
      <c r="AB31" s="51">
        <v>236</v>
      </c>
      <c r="AC31" s="56">
        <v>139000</v>
      </c>
      <c r="AD31" s="52">
        <f t="shared" si="25"/>
        <v>32804000</v>
      </c>
      <c r="AE31" s="19">
        <v>592</v>
      </c>
      <c r="AF31" s="25">
        <v>106700</v>
      </c>
      <c r="AG31" s="2">
        <f t="shared" si="26"/>
        <v>63166400</v>
      </c>
      <c r="AH31" s="51">
        <v>110</v>
      </c>
      <c r="AI31" s="56">
        <v>139000</v>
      </c>
      <c r="AJ31" s="52">
        <f t="shared" si="20"/>
        <v>15290000</v>
      </c>
      <c r="AK31" s="8">
        <v>240</v>
      </c>
      <c r="AL31" s="25">
        <v>106700</v>
      </c>
      <c r="AM31" s="18">
        <f t="shared" si="27"/>
        <v>25608000</v>
      </c>
      <c r="AN31" s="51">
        <v>191</v>
      </c>
      <c r="AO31" s="66">
        <v>139000</v>
      </c>
      <c r="AP31" s="64">
        <f t="shared" si="6"/>
        <v>26549000</v>
      </c>
      <c r="AQ31" s="81">
        <v>70</v>
      </c>
      <c r="AR31" s="82">
        <v>106700</v>
      </c>
      <c r="AS31" s="83">
        <f>AQ31*AR31</f>
        <v>7469000</v>
      </c>
      <c r="AT31" s="81">
        <v>130</v>
      </c>
      <c r="AU31" s="82">
        <v>106700</v>
      </c>
      <c r="AV31" s="83">
        <f t="shared" si="21"/>
        <v>13871000</v>
      </c>
      <c r="AW31" s="81">
        <f>70+110</f>
        <v>180</v>
      </c>
      <c r="AX31" s="82" t="s">
        <v>135</v>
      </c>
      <c r="AY31" s="83">
        <f>8260000+13640000</f>
        <v>21900000</v>
      </c>
      <c r="AZ31" s="81">
        <v>288</v>
      </c>
      <c r="BA31" s="82">
        <v>139000</v>
      </c>
      <c r="BB31" s="83">
        <f>AZ31*BA31</f>
        <v>40032000</v>
      </c>
      <c r="BC31" s="81">
        <v>259</v>
      </c>
      <c r="BD31" s="82">
        <v>139000</v>
      </c>
      <c r="BE31" s="83">
        <v>36001000</v>
      </c>
      <c r="BF31" s="81">
        <v>351</v>
      </c>
      <c r="BG31" s="82">
        <v>139000</v>
      </c>
      <c r="BH31" s="83">
        <f t="shared" si="7"/>
        <v>48789000</v>
      </c>
      <c r="BI31" s="102"/>
    </row>
    <row r="32" spans="1:61" s="9" customFormat="1" ht="23.25" customHeight="1" x14ac:dyDescent="0.25">
      <c r="A32" s="27">
        <v>27</v>
      </c>
      <c r="B32" s="26" t="s">
        <v>73</v>
      </c>
      <c r="C32" s="16" t="s">
        <v>11</v>
      </c>
      <c r="D32" s="8">
        <v>96</v>
      </c>
      <c r="E32" s="25">
        <v>114500</v>
      </c>
      <c r="F32" s="18">
        <f>D32*E32*98%</f>
        <v>10772160</v>
      </c>
      <c r="G32" s="10">
        <v>0.02</v>
      </c>
      <c r="H32" s="51">
        <v>108</v>
      </c>
      <c r="I32" s="56">
        <v>168000</v>
      </c>
      <c r="J32" s="52">
        <f t="shared" si="18"/>
        <v>18144000</v>
      </c>
      <c r="K32" s="8">
        <v>143</v>
      </c>
      <c r="L32" s="25">
        <v>114500</v>
      </c>
      <c r="M32" s="18">
        <f t="shared" si="28"/>
        <v>16046030</v>
      </c>
      <c r="N32" s="10">
        <v>0.02</v>
      </c>
      <c r="O32" s="51">
        <v>110</v>
      </c>
      <c r="P32" s="56">
        <v>168000</v>
      </c>
      <c r="Q32" s="52">
        <f t="shared" si="22"/>
        <v>18480000</v>
      </c>
      <c r="R32" s="19">
        <v>2</v>
      </c>
      <c r="S32" s="25">
        <v>114500</v>
      </c>
      <c r="T32" s="2">
        <f t="shared" si="23"/>
        <v>224420</v>
      </c>
      <c r="U32" s="10">
        <v>0.02</v>
      </c>
      <c r="V32" s="51">
        <v>100</v>
      </c>
      <c r="W32" s="56">
        <v>168000</v>
      </c>
      <c r="X32" s="52">
        <f t="shared" si="19"/>
        <v>16800000</v>
      </c>
      <c r="Y32" s="19">
        <v>9</v>
      </c>
      <c r="Z32" s="25">
        <v>114500</v>
      </c>
      <c r="AA32" s="2">
        <f t="shared" si="24"/>
        <v>1030500</v>
      </c>
      <c r="AB32" s="51">
        <v>35</v>
      </c>
      <c r="AC32" s="56">
        <v>168000</v>
      </c>
      <c r="AD32" s="52">
        <f t="shared" si="25"/>
        <v>5880000</v>
      </c>
      <c r="AE32" s="19">
        <v>66</v>
      </c>
      <c r="AF32" s="25">
        <v>126000</v>
      </c>
      <c r="AG32" s="2">
        <f t="shared" si="26"/>
        <v>8316000</v>
      </c>
      <c r="AH32" s="51">
        <v>34</v>
      </c>
      <c r="AI32" s="56">
        <v>168000</v>
      </c>
      <c r="AJ32" s="52">
        <f t="shared" si="20"/>
        <v>5712000</v>
      </c>
      <c r="AK32" s="8">
        <v>90</v>
      </c>
      <c r="AL32" s="25">
        <v>126000</v>
      </c>
      <c r="AM32" s="18">
        <f t="shared" si="27"/>
        <v>11340000</v>
      </c>
      <c r="AN32" s="51">
        <v>61</v>
      </c>
      <c r="AO32" s="66">
        <v>168000</v>
      </c>
      <c r="AP32" s="64">
        <f t="shared" si="6"/>
        <v>10248000</v>
      </c>
      <c r="AQ32" s="81">
        <v>85</v>
      </c>
      <c r="AR32" s="82">
        <v>126000</v>
      </c>
      <c r="AS32" s="83">
        <f>AQ32*AR32</f>
        <v>10710000</v>
      </c>
      <c r="AT32" s="81">
        <v>50</v>
      </c>
      <c r="AU32" s="82">
        <v>126000</v>
      </c>
      <c r="AV32" s="83">
        <f t="shared" si="21"/>
        <v>6300000</v>
      </c>
      <c r="AW32" s="81">
        <v>30</v>
      </c>
      <c r="AX32" s="82">
        <v>146000</v>
      </c>
      <c r="AY32" s="83">
        <f t="shared" si="17"/>
        <v>4380000</v>
      </c>
      <c r="AZ32" s="81">
        <v>75</v>
      </c>
      <c r="BA32" s="82">
        <v>168000</v>
      </c>
      <c r="BB32" s="83">
        <f>AZ32*BA32</f>
        <v>12600000</v>
      </c>
      <c r="BC32" s="81">
        <v>114</v>
      </c>
      <c r="BD32" s="82">
        <v>168000</v>
      </c>
      <c r="BE32" s="83">
        <v>19152000</v>
      </c>
      <c r="BF32" s="81">
        <v>98</v>
      </c>
      <c r="BG32" s="82">
        <v>168000</v>
      </c>
      <c r="BH32" s="83">
        <f t="shared" si="7"/>
        <v>16464000</v>
      </c>
      <c r="BI32" s="102"/>
    </row>
    <row r="33" spans="1:61" s="9" customFormat="1" ht="23.25" customHeight="1" x14ac:dyDescent="0.25">
      <c r="A33" s="15">
        <v>28</v>
      </c>
      <c r="B33" s="26" t="s">
        <v>74</v>
      </c>
      <c r="C33" s="16" t="s">
        <v>18</v>
      </c>
      <c r="D33" s="8">
        <v>347</v>
      </c>
      <c r="E33" s="25">
        <v>122000</v>
      </c>
      <c r="F33" s="18">
        <f>D33*E33*98%</f>
        <v>41487320</v>
      </c>
      <c r="G33" s="10">
        <v>0.02</v>
      </c>
      <c r="H33" s="51">
        <v>136</v>
      </c>
      <c r="I33" s="56">
        <v>171000</v>
      </c>
      <c r="J33" s="52">
        <f t="shared" si="18"/>
        <v>23256000</v>
      </c>
      <c r="K33" s="8">
        <v>135</v>
      </c>
      <c r="L33" s="25">
        <v>122000</v>
      </c>
      <c r="M33" s="18">
        <f t="shared" si="28"/>
        <v>16140600</v>
      </c>
      <c r="N33" s="10">
        <v>0.02</v>
      </c>
      <c r="O33" s="51">
        <v>206</v>
      </c>
      <c r="P33" s="56">
        <v>171000</v>
      </c>
      <c r="Q33" s="52">
        <f t="shared" si="22"/>
        <v>35226000</v>
      </c>
      <c r="R33" s="19">
        <f>15+20+20+20+20+15+11+20+10+10</f>
        <v>161</v>
      </c>
      <c r="S33" s="25">
        <v>122000</v>
      </c>
      <c r="T33" s="2">
        <f t="shared" si="23"/>
        <v>19249160</v>
      </c>
      <c r="U33" s="10">
        <v>0.02</v>
      </c>
      <c r="V33" s="51">
        <v>201</v>
      </c>
      <c r="W33" s="56">
        <v>171000</v>
      </c>
      <c r="X33" s="52">
        <f t="shared" si="19"/>
        <v>34371000</v>
      </c>
      <c r="Y33" s="19">
        <v>110</v>
      </c>
      <c r="Z33" s="25">
        <v>122000</v>
      </c>
      <c r="AA33" s="2">
        <f t="shared" si="24"/>
        <v>13420000</v>
      </c>
      <c r="AB33" s="51">
        <v>122</v>
      </c>
      <c r="AC33" s="56">
        <v>171000</v>
      </c>
      <c r="AD33" s="52">
        <f t="shared" si="25"/>
        <v>20862000</v>
      </c>
      <c r="AE33" s="19">
        <v>270</v>
      </c>
      <c r="AF33" s="25">
        <v>134200</v>
      </c>
      <c r="AG33" s="2">
        <f t="shared" si="26"/>
        <v>36234000</v>
      </c>
      <c r="AH33" s="51">
        <v>100</v>
      </c>
      <c r="AI33" s="56">
        <v>171000</v>
      </c>
      <c r="AJ33" s="52">
        <f t="shared" si="20"/>
        <v>17100000</v>
      </c>
      <c r="AK33" s="8">
        <v>160</v>
      </c>
      <c r="AL33" s="25">
        <v>134200</v>
      </c>
      <c r="AM33" s="18">
        <f t="shared" si="27"/>
        <v>21472000</v>
      </c>
      <c r="AN33" s="51">
        <v>110</v>
      </c>
      <c r="AO33" s="66">
        <v>171000</v>
      </c>
      <c r="AP33" s="64">
        <f t="shared" si="6"/>
        <v>18810000</v>
      </c>
      <c r="AQ33" s="81">
        <v>100</v>
      </c>
      <c r="AR33" s="82">
        <v>134200</v>
      </c>
      <c r="AS33" s="83">
        <f>AQ33*AR33</f>
        <v>13420000</v>
      </c>
      <c r="AT33" s="81">
        <v>50</v>
      </c>
      <c r="AU33" s="82">
        <v>134200</v>
      </c>
      <c r="AV33" s="83">
        <f t="shared" si="21"/>
        <v>6710000</v>
      </c>
      <c r="AW33" s="81">
        <f>30+12</f>
        <v>42</v>
      </c>
      <c r="AX33" s="82" t="s">
        <v>136</v>
      </c>
      <c r="AY33" s="83">
        <f>4440000+1866000</f>
        <v>6306000</v>
      </c>
      <c r="AZ33" s="81">
        <v>150</v>
      </c>
      <c r="BA33" s="82">
        <v>171000</v>
      </c>
      <c r="BB33" s="83">
        <f>AZ33*BA33</f>
        <v>25650000</v>
      </c>
      <c r="BC33" s="81">
        <v>205</v>
      </c>
      <c r="BD33" s="82">
        <v>171000</v>
      </c>
      <c r="BE33" s="83">
        <v>35055000</v>
      </c>
      <c r="BF33" s="81">
        <v>184</v>
      </c>
      <c r="BG33" s="82">
        <v>171000</v>
      </c>
      <c r="BH33" s="83">
        <f t="shared" si="7"/>
        <v>31464000</v>
      </c>
      <c r="BI33" s="102"/>
    </row>
    <row r="34" spans="1:61" s="9" customFormat="1" ht="23.25" customHeight="1" x14ac:dyDescent="0.25">
      <c r="A34" s="27">
        <v>29</v>
      </c>
      <c r="B34" s="26" t="s">
        <v>75</v>
      </c>
      <c r="C34" s="16" t="s">
        <v>19</v>
      </c>
      <c r="D34" s="8">
        <v>35</v>
      </c>
      <c r="E34" s="25">
        <v>130000</v>
      </c>
      <c r="F34" s="18">
        <f>D34*E34*98%</f>
        <v>4459000</v>
      </c>
      <c r="G34" s="10">
        <v>0.02</v>
      </c>
      <c r="H34" s="51">
        <v>30</v>
      </c>
      <c r="I34" s="56">
        <v>190500</v>
      </c>
      <c r="J34" s="52">
        <f t="shared" si="18"/>
        <v>5715000</v>
      </c>
      <c r="K34" s="8">
        <v>47</v>
      </c>
      <c r="L34" s="25">
        <v>130000</v>
      </c>
      <c r="M34" s="18">
        <f t="shared" si="28"/>
        <v>5987800</v>
      </c>
      <c r="N34" s="10">
        <v>0.02</v>
      </c>
      <c r="O34" s="51">
        <v>20</v>
      </c>
      <c r="P34" s="56">
        <v>190500</v>
      </c>
      <c r="Q34" s="52">
        <f t="shared" si="22"/>
        <v>3810000</v>
      </c>
      <c r="R34" s="19">
        <f>10+10+20+10+20+10+4</f>
        <v>84</v>
      </c>
      <c r="S34" s="25">
        <v>130000</v>
      </c>
      <c r="T34" s="2">
        <f t="shared" si="23"/>
        <v>10701600</v>
      </c>
      <c r="U34" s="10">
        <v>0.02</v>
      </c>
      <c r="V34" s="51">
        <v>80</v>
      </c>
      <c r="W34" s="56">
        <v>190500</v>
      </c>
      <c r="X34" s="52">
        <f t="shared" si="19"/>
        <v>15240000</v>
      </c>
      <c r="Y34" s="19">
        <v>26</v>
      </c>
      <c r="Z34" s="25">
        <v>130000</v>
      </c>
      <c r="AA34" s="2">
        <f t="shared" si="24"/>
        <v>3380000</v>
      </c>
      <c r="AB34" s="51">
        <v>29</v>
      </c>
      <c r="AC34" s="56">
        <v>190500</v>
      </c>
      <c r="AD34" s="52">
        <f t="shared" si="25"/>
        <v>5524500</v>
      </c>
      <c r="AE34" s="19">
        <v>64</v>
      </c>
      <c r="AF34" s="25">
        <v>143000</v>
      </c>
      <c r="AG34" s="2">
        <f t="shared" si="26"/>
        <v>9152000</v>
      </c>
      <c r="AH34" s="51">
        <v>21</v>
      </c>
      <c r="AI34" s="56">
        <v>190500</v>
      </c>
      <c r="AJ34" s="52">
        <f t="shared" si="20"/>
        <v>4000500</v>
      </c>
      <c r="AK34" s="8">
        <v>100</v>
      </c>
      <c r="AL34" s="25">
        <v>143000</v>
      </c>
      <c r="AM34" s="18">
        <f t="shared" si="27"/>
        <v>14300000</v>
      </c>
      <c r="AN34" s="51">
        <v>10</v>
      </c>
      <c r="AO34" s="66">
        <v>190500</v>
      </c>
      <c r="AP34" s="64">
        <f t="shared" si="6"/>
        <v>1905000</v>
      </c>
      <c r="AQ34" s="85"/>
      <c r="AR34" s="35"/>
      <c r="AS34" s="85"/>
      <c r="AT34" s="81">
        <v>50</v>
      </c>
      <c r="AU34" s="82">
        <v>143000</v>
      </c>
      <c r="AV34" s="83">
        <f t="shared" si="21"/>
        <v>7150000</v>
      </c>
      <c r="AW34" s="81"/>
      <c r="AX34" s="82"/>
      <c r="AY34" s="83"/>
      <c r="AZ34" s="81"/>
      <c r="BA34" s="82"/>
      <c r="BB34" s="83"/>
      <c r="BC34" s="81">
        <v>50</v>
      </c>
      <c r="BD34" s="82">
        <v>190500</v>
      </c>
      <c r="BE34" s="83">
        <v>9525000</v>
      </c>
      <c r="BF34" s="81">
        <v>40</v>
      </c>
      <c r="BG34" s="82">
        <v>190500</v>
      </c>
      <c r="BH34" s="83">
        <f t="shared" si="7"/>
        <v>7620000</v>
      </c>
      <c r="BI34" s="102"/>
    </row>
    <row r="35" spans="1:61" s="9" customFormat="1" ht="23.25" customHeight="1" x14ac:dyDescent="0.25">
      <c r="A35" s="15">
        <v>30</v>
      </c>
      <c r="B35" s="26" t="s">
        <v>100</v>
      </c>
      <c r="C35" s="16" t="s">
        <v>20</v>
      </c>
      <c r="D35" s="8"/>
      <c r="E35" s="25"/>
      <c r="F35" s="18"/>
      <c r="G35" s="10"/>
      <c r="H35" s="51">
        <v>21</v>
      </c>
      <c r="I35" s="56">
        <v>206000</v>
      </c>
      <c r="J35" s="52">
        <f t="shared" si="18"/>
        <v>4326000</v>
      </c>
      <c r="K35" s="8">
        <v>95</v>
      </c>
      <c r="L35" s="25">
        <v>144500</v>
      </c>
      <c r="M35" s="18">
        <f t="shared" si="28"/>
        <v>13452950</v>
      </c>
      <c r="N35" s="10">
        <v>0.02</v>
      </c>
      <c r="O35" s="51">
        <v>50</v>
      </c>
      <c r="P35" s="56">
        <v>206000</v>
      </c>
      <c r="Q35" s="52">
        <f t="shared" si="22"/>
        <v>10300000</v>
      </c>
      <c r="R35" s="19">
        <f>2+26+10+20+20</f>
        <v>78</v>
      </c>
      <c r="S35" s="25">
        <v>144500</v>
      </c>
      <c r="T35" s="2">
        <f t="shared" si="23"/>
        <v>11045580</v>
      </c>
      <c r="U35" s="10">
        <v>0.02</v>
      </c>
      <c r="V35" s="51">
        <v>50</v>
      </c>
      <c r="W35" s="56">
        <v>206000</v>
      </c>
      <c r="X35" s="52">
        <f t="shared" si="19"/>
        <v>10300000</v>
      </c>
      <c r="Y35" s="19">
        <v>45</v>
      </c>
      <c r="Z35" s="25">
        <v>144500</v>
      </c>
      <c r="AA35" s="2">
        <f t="shared" si="24"/>
        <v>6502500</v>
      </c>
      <c r="AB35" s="51">
        <v>50</v>
      </c>
      <c r="AC35" s="56">
        <v>206000</v>
      </c>
      <c r="AD35" s="52">
        <f t="shared" si="25"/>
        <v>10300000</v>
      </c>
      <c r="AE35" s="19">
        <v>55</v>
      </c>
      <c r="AF35" s="25">
        <v>159000</v>
      </c>
      <c r="AG35" s="2">
        <f t="shared" si="26"/>
        <v>8745000</v>
      </c>
      <c r="AH35" s="51">
        <v>20</v>
      </c>
      <c r="AI35" s="56">
        <v>206000</v>
      </c>
      <c r="AJ35" s="52">
        <f t="shared" si="20"/>
        <v>4120000</v>
      </c>
      <c r="AK35" s="8">
        <v>100</v>
      </c>
      <c r="AL35" s="25">
        <v>159000</v>
      </c>
      <c r="AM35" s="18">
        <f t="shared" si="27"/>
        <v>15900000</v>
      </c>
      <c r="AN35" s="51">
        <v>30</v>
      </c>
      <c r="AO35" s="66">
        <v>206000</v>
      </c>
      <c r="AP35" s="64">
        <f t="shared" si="6"/>
        <v>6180000</v>
      </c>
      <c r="AQ35" s="85"/>
      <c r="AR35" s="35"/>
      <c r="AS35" s="85"/>
      <c r="AT35" s="81">
        <v>20</v>
      </c>
      <c r="AU35" s="82">
        <v>159000</v>
      </c>
      <c r="AV35" s="83">
        <f t="shared" si="21"/>
        <v>3180000</v>
      </c>
      <c r="AW35" s="81"/>
      <c r="AX35" s="82"/>
      <c r="AY35" s="83"/>
      <c r="AZ35" s="81">
        <v>29</v>
      </c>
      <c r="BA35" s="82">
        <v>206000</v>
      </c>
      <c r="BB35" s="83">
        <f>AZ35*BA35</f>
        <v>5974000</v>
      </c>
      <c r="BC35" s="81">
        <v>21</v>
      </c>
      <c r="BD35" s="82">
        <v>206000</v>
      </c>
      <c r="BE35" s="83">
        <v>4326000</v>
      </c>
      <c r="BF35" s="81">
        <v>80</v>
      </c>
      <c r="BG35" s="82">
        <v>206000</v>
      </c>
      <c r="BH35" s="83">
        <f t="shared" si="7"/>
        <v>16480000</v>
      </c>
      <c r="BI35" s="102"/>
    </row>
    <row r="36" spans="1:61" s="9" customFormat="1" ht="23.25" customHeight="1" x14ac:dyDescent="0.25">
      <c r="A36" s="27">
        <v>31</v>
      </c>
      <c r="B36" s="26" t="s">
        <v>76</v>
      </c>
      <c r="C36" s="16" t="s">
        <v>14</v>
      </c>
      <c r="D36" s="8">
        <v>122</v>
      </c>
      <c r="E36" s="25">
        <v>144500</v>
      </c>
      <c r="F36" s="18">
        <f>D36*E36*98%</f>
        <v>17276420</v>
      </c>
      <c r="G36" s="10">
        <v>0.02</v>
      </c>
      <c r="H36" s="51">
        <v>72</v>
      </c>
      <c r="I36" s="56">
        <v>206000</v>
      </c>
      <c r="J36" s="52">
        <f t="shared" si="18"/>
        <v>14832000</v>
      </c>
      <c r="K36" s="8">
        <v>57</v>
      </c>
      <c r="L36" s="25">
        <v>144500</v>
      </c>
      <c r="M36" s="18">
        <f t="shared" si="28"/>
        <v>8071770</v>
      </c>
      <c r="N36" s="10">
        <v>0.02</v>
      </c>
      <c r="O36" s="51">
        <v>106</v>
      </c>
      <c r="P36" s="56">
        <v>206000</v>
      </c>
      <c r="Q36" s="52">
        <f t="shared" si="22"/>
        <v>21836000</v>
      </c>
      <c r="R36" s="19">
        <f>20+1+20</f>
        <v>41</v>
      </c>
      <c r="S36" s="25">
        <v>144500</v>
      </c>
      <c r="T36" s="2">
        <f t="shared" si="23"/>
        <v>5806010</v>
      </c>
      <c r="U36" s="10">
        <v>0.02</v>
      </c>
      <c r="V36" s="51">
        <v>73</v>
      </c>
      <c r="W36" s="56">
        <v>206000</v>
      </c>
      <c r="X36" s="52">
        <f t="shared" si="19"/>
        <v>15038000</v>
      </c>
      <c r="Y36" s="19">
        <v>105</v>
      </c>
      <c r="Z36" s="25">
        <v>144500</v>
      </c>
      <c r="AA36" s="2">
        <f t="shared" si="24"/>
        <v>15172500</v>
      </c>
      <c r="AB36" s="51">
        <v>32</v>
      </c>
      <c r="AC36" s="56">
        <v>206000</v>
      </c>
      <c r="AD36" s="52">
        <f t="shared" si="25"/>
        <v>6592000</v>
      </c>
      <c r="AE36" s="19">
        <v>85</v>
      </c>
      <c r="AF36" s="25">
        <v>159000</v>
      </c>
      <c r="AG36" s="2">
        <f t="shared" si="26"/>
        <v>13515000</v>
      </c>
      <c r="AH36" s="51">
        <v>9</v>
      </c>
      <c r="AI36" s="56">
        <v>206000</v>
      </c>
      <c r="AJ36" s="52">
        <f t="shared" si="20"/>
        <v>1854000</v>
      </c>
      <c r="AK36" s="8">
        <v>135</v>
      </c>
      <c r="AL36" s="25">
        <v>159000</v>
      </c>
      <c r="AM36" s="18">
        <f t="shared" si="27"/>
        <v>21465000</v>
      </c>
      <c r="AN36" s="51">
        <v>18</v>
      </c>
      <c r="AO36" s="66">
        <v>206000</v>
      </c>
      <c r="AP36" s="64">
        <f t="shared" si="6"/>
        <v>3708000</v>
      </c>
      <c r="AQ36" s="85"/>
      <c r="AR36" s="35"/>
      <c r="AS36" s="85"/>
      <c r="AT36" s="81">
        <v>50</v>
      </c>
      <c r="AU36" s="82">
        <v>159000</v>
      </c>
      <c r="AV36" s="83">
        <f t="shared" si="21"/>
        <v>7950000</v>
      </c>
      <c r="AW36" s="81">
        <v>40</v>
      </c>
      <c r="AX36" s="82">
        <v>184000</v>
      </c>
      <c r="AY36" s="83">
        <f>AW36*AX36</f>
        <v>7360000</v>
      </c>
      <c r="AZ36" s="81">
        <v>61</v>
      </c>
      <c r="BA36" s="82">
        <v>206000</v>
      </c>
      <c r="BB36" s="83">
        <f>AZ36*BA36</f>
        <v>12566000</v>
      </c>
      <c r="BC36" s="81">
        <v>56</v>
      </c>
      <c r="BD36" s="82">
        <v>206000</v>
      </c>
      <c r="BE36" s="83">
        <v>11536000</v>
      </c>
      <c r="BF36" s="81">
        <v>50</v>
      </c>
      <c r="BG36" s="82">
        <v>206000</v>
      </c>
      <c r="BH36" s="83">
        <f t="shared" si="7"/>
        <v>10300000</v>
      </c>
      <c r="BI36" s="102"/>
    </row>
    <row r="37" spans="1:61" s="9" customFormat="1" ht="23.25" customHeight="1" x14ac:dyDescent="0.25">
      <c r="A37" s="15">
        <v>32</v>
      </c>
      <c r="B37" s="26" t="s">
        <v>77</v>
      </c>
      <c r="C37" s="16" t="s">
        <v>12</v>
      </c>
      <c r="D37" s="8">
        <v>739</v>
      </c>
      <c r="E37" s="25">
        <v>153000</v>
      </c>
      <c r="F37" s="18">
        <f>D37*E37*98%</f>
        <v>110805660</v>
      </c>
      <c r="G37" s="10">
        <v>0.02</v>
      </c>
      <c r="H37" s="51">
        <v>354</v>
      </c>
      <c r="I37" s="56">
        <v>213500</v>
      </c>
      <c r="J37" s="52">
        <f t="shared" si="18"/>
        <v>75579000</v>
      </c>
      <c r="K37" s="8">
        <v>406</v>
      </c>
      <c r="L37" s="25">
        <v>153000</v>
      </c>
      <c r="M37" s="18">
        <f t="shared" si="28"/>
        <v>60875640</v>
      </c>
      <c r="N37" s="10">
        <v>0.02</v>
      </c>
      <c r="O37" s="51">
        <v>363</v>
      </c>
      <c r="P37" s="56">
        <v>213500</v>
      </c>
      <c r="Q37" s="52">
        <f t="shared" si="22"/>
        <v>77500500</v>
      </c>
      <c r="R37" s="19">
        <v>359</v>
      </c>
      <c r="S37" s="25">
        <v>153000</v>
      </c>
      <c r="T37" s="2">
        <f t="shared" si="23"/>
        <v>53828460</v>
      </c>
      <c r="U37" s="10">
        <v>0.02</v>
      </c>
      <c r="V37" s="51">
        <v>421</v>
      </c>
      <c r="W37" s="56">
        <v>213500</v>
      </c>
      <c r="X37" s="52">
        <f t="shared" si="19"/>
        <v>89883500</v>
      </c>
      <c r="Y37" s="19">
        <v>255</v>
      </c>
      <c r="Z37" s="25">
        <v>153000</v>
      </c>
      <c r="AA37" s="2">
        <f t="shared" si="24"/>
        <v>39015000</v>
      </c>
      <c r="AB37" s="51">
        <v>136</v>
      </c>
      <c r="AC37" s="56">
        <v>213500</v>
      </c>
      <c r="AD37" s="52">
        <f t="shared" si="25"/>
        <v>29036000</v>
      </c>
      <c r="AE37" s="19">
        <v>555</v>
      </c>
      <c r="AF37" s="25">
        <v>168300</v>
      </c>
      <c r="AG37" s="2">
        <f t="shared" si="26"/>
        <v>93406500</v>
      </c>
      <c r="AH37" s="51">
        <v>126</v>
      </c>
      <c r="AI37" s="56">
        <v>213500</v>
      </c>
      <c r="AJ37" s="52">
        <f t="shared" si="20"/>
        <v>26901000</v>
      </c>
      <c r="AK37" s="8">
        <v>255</v>
      </c>
      <c r="AL37" s="25">
        <v>168300</v>
      </c>
      <c r="AM37" s="18">
        <f t="shared" si="27"/>
        <v>42916500</v>
      </c>
      <c r="AN37" s="51">
        <v>130</v>
      </c>
      <c r="AO37" s="66">
        <v>213500</v>
      </c>
      <c r="AP37" s="64">
        <f t="shared" si="6"/>
        <v>27755000</v>
      </c>
      <c r="AQ37" s="81">
        <v>150</v>
      </c>
      <c r="AR37" s="82">
        <v>168300</v>
      </c>
      <c r="AS37" s="83">
        <f>AQ37*AR37</f>
        <v>25245000</v>
      </c>
      <c r="AT37" s="81">
        <v>240</v>
      </c>
      <c r="AU37" s="82">
        <v>168300</v>
      </c>
      <c r="AV37" s="83">
        <f t="shared" si="21"/>
        <v>40392000</v>
      </c>
      <c r="AW37" s="81">
        <f>70+30</f>
        <v>100</v>
      </c>
      <c r="AX37" s="82" t="s">
        <v>137</v>
      </c>
      <c r="AY37" s="83">
        <f>12950000+5820000</f>
        <v>18770000</v>
      </c>
      <c r="AZ37" s="81">
        <f>20+135</f>
        <v>155</v>
      </c>
      <c r="BA37" s="82" t="s">
        <v>138</v>
      </c>
      <c r="BB37" s="83">
        <f>3880000+28822500</f>
        <v>32702500</v>
      </c>
      <c r="BC37" s="81">
        <v>244</v>
      </c>
      <c r="BD37" s="82">
        <v>213500</v>
      </c>
      <c r="BE37" s="83">
        <v>52094000</v>
      </c>
      <c r="BF37" s="81">
        <v>412</v>
      </c>
      <c r="BG37" s="82">
        <v>213500</v>
      </c>
      <c r="BH37" s="83">
        <f t="shared" si="7"/>
        <v>87962000</v>
      </c>
      <c r="BI37" s="102"/>
    </row>
    <row r="38" spans="1:61" s="9" customFormat="1" ht="23.25" customHeight="1" x14ac:dyDescent="0.25">
      <c r="A38" s="73">
        <v>33</v>
      </c>
      <c r="B38" s="72" t="s">
        <v>101</v>
      </c>
      <c r="C38" s="71" t="s">
        <v>21</v>
      </c>
      <c r="D38" s="8">
        <v>51</v>
      </c>
      <c r="E38" s="25">
        <v>160000</v>
      </c>
      <c r="F38" s="18">
        <f>D38*E38*98%</f>
        <v>7996800</v>
      </c>
      <c r="G38" s="10">
        <v>0.02</v>
      </c>
      <c r="H38" s="51">
        <v>70</v>
      </c>
      <c r="I38" s="56">
        <v>228500</v>
      </c>
      <c r="J38" s="52">
        <f>H38*I38</f>
        <v>15995000</v>
      </c>
      <c r="K38" s="8"/>
      <c r="L38" s="25"/>
      <c r="M38" s="18"/>
      <c r="N38" s="10"/>
      <c r="O38" s="51">
        <f>140+30</f>
        <v>170</v>
      </c>
      <c r="P38" s="56" t="s">
        <v>145</v>
      </c>
      <c r="Q38" s="52">
        <f>30310000+6855000</f>
        <v>37165000</v>
      </c>
      <c r="R38" s="19">
        <f>20+20+11+6</f>
        <v>57</v>
      </c>
      <c r="S38" s="25">
        <v>160000</v>
      </c>
      <c r="T38" s="2">
        <f t="shared" si="23"/>
        <v>8937600</v>
      </c>
      <c r="U38" s="10">
        <v>0.02</v>
      </c>
      <c r="V38" s="51">
        <v>145</v>
      </c>
      <c r="W38" s="56">
        <v>216500</v>
      </c>
      <c r="X38" s="52">
        <f t="shared" si="19"/>
        <v>31392500</v>
      </c>
      <c r="Y38" s="19"/>
      <c r="Z38" s="25"/>
      <c r="AA38" s="2"/>
      <c r="AB38" s="51">
        <v>65</v>
      </c>
      <c r="AC38" s="56">
        <v>216500</v>
      </c>
      <c r="AD38" s="52">
        <f t="shared" si="25"/>
        <v>14072500</v>
      </c>
      <c r="AE38" s="19">
        <v>64</v>
      </c>
      <c r="AF38" s="25">
        <v>176000</v>
      </c>
      <c r="AG38" s="2">
        <f>AE38*AF38</f>
        <v>11264000</v>
      </c>
      <c r="AH38" s="51">
        <v>36</v>
      </c>
      <c r="AI38" s="56">
        <v>216500</v>
      </c>
      <c r="AJ38" s="52">
        <f t="shared" si="20"/>
        <v>7794000</v>
      </c>
      <c r="AK38" s="8">
        <v>90</v>
      </c>
      <c r="AL38" s="25">
        <v>176000</v>
      </c>
      <c r="AM38" s="18">
        <f>AK38*AL38</f>
        <v>15840000</v>
      </c>
      <c r="AN38" s="51">
        <v>47</v>
      </c>
      <c r="AO38" s="66">
        <v>216500</v>
      </c>
      <c r="AP38" s="64">
        <f t="shared" si="6"/>
        <v>10175500</v>
      </c>
      <c r="AQ38" s="85"/>
      <c r="AR38" s="35"/>
      <c r="AS38" s="85"/>
      <c r="AT38" s="81"/>
      <c r="AU38" s="82"/>
      <c r="AV38" s="83"/>
      <c r="AW38" s="81"/>
      <c r="AX38" s="82"/>
      <c r="AY38" s="83"/>
      <c r="AZ38" s="81">
        <v>45</v>
      </c>
      <c r="BA38" s="82">
        <v>228500</v>
      </c>
      <c r="BB38" s="83">
        <f>AZ38*BA38</f>
        <v>10282500</v>
      </c>
      <c r="BC38" s="81">
        <v>65</v>
      </c>
      <c r="BD38" s="82">
        <v>228500</v>
      </c>
      <c r="BE38" s="83">
        <v>14852500</v>
      </c>
      <c r="BF38" s="81">
        <v>50</v>
      </c>
      <c r="BG38" s="82">
        <v>228500</v>
      </c>
      <c r="BH38" s="83">
        <f t="shared" si="7"/>
        <v>11425000</v>
      </c>
      <c r="BI38" s="102"/>
    </row>
    <row r="39" spans="1:61" s="9" customFormat="1" ht="23.25" customHeight="1" x14ac:dyDescent="0.25">
      <c r="A39" s="15">
        <v>34</v>
      </c>
      <c r="B39" s="26" t="s">
        <v>95</v>
      </c>
      <c r="C39" s="16" t="s">
        <v>48</v>
      </c>
      <c r="D39" s="8">
        <v>10</v>
      </c>
      <c r="E39" s="25">
        <v>82000</v>
      </c>
      <c r="F39" s="18">
        <f>D39*E39*98%</f>
        <v>803600</v>
      </c>
      <c r="G39" s="10">
        <v>0.02</v>
      </c>
      <c r="H39" s="51">
        <v>10</v>
      </c>
      <c r="I39" s="56">
        <v>128500</v>
      </c>
      <c r="J39" s="52">
        <f>H39*I39</f>
        <v>1285000</v>
      </c>
      <c r="K39" s="8"/>
      <c r="L39" s="25"/>
      <c r="M39" s="18"/>
      <c r="N39" s="10"/>
      <c r="O39" s="51"/>
      <c r="P39" s="56"/>
      <c r="Q39" s="52"/>
      <c r="R39" s="19">
        <v>4</v>
      </c>
      <c r="S39" s="25">
        <v>82000</v>
      </c>
      <c r="T39" s="2">
        <f>R39*S39*98%</f>
        <v>321440</v>
      </c>
      <c r="U39" s="10">
        <v>0.02</v>
      </c>
      <c r="V39" s="51"/>
      <c r="W39" s="56"/>
      <c r="X39" s="52"/>
      <c r="Y39" s="19"/>
      <c r="Z39" s="25"/>
      <c r="AA39" s="2"/>
      <c r="AB39" s="51">
        <v>10</v>
      </c>
      <c r="AC39" s="56">
        <v>128500</v>
      </c>
      <c r="AD39" s="52">
        <f>AB39*AC39</f>
        <v>1285000</v>
      </c>
      <c r="AE39" s="19">
        <v>30</v>
      </c>
      <c r="AF39" s="25">
        <v>91900</v>
      </c>
      <c r="AG39" s="2">
        <f>AE39*AF39</f>
        <v>2757000</v>
      </c>
      <c r="AH39" s="51">
        <v>20</v>
      </c>
      <c r="AI39" s="56">
        <v>128500</v>
      </c>
      <c r="AJ39" s="52">
        <f>AH39*AI39</f>
        <v>2570000</v>
      </c>
      <c r="AK39" s="8"/>
      <c r="AL39" s="25"/>
      <c r="AM39" s="18"/>
      <c r="AN39" s="51"/>
      <c r="AO39" s="66"/>
      <c r="AP39" s="64">
        <f t="shared" si="6"/>
        <v>0</v>
      </c>
      <c r="AQ39" s="85"/>
      <c r="AR39" s="35"/>
      <c r="AS39" s="85"/>
      <c r="AT39" s="81"/>
      <c r="AU39" s="82"/>
      <c r="AV39" s="83"/>
      <c r="AW39" s="81"/>
      <c r="AX39" s="82"/>
      <c r="AY39" s="83"/>
      <c r="AZ39" s="81"/>
      <c r="BA39" s="82"/>
      <c r="BB39" s="83"/>
      <c r="BC39" s="81">
        <v>10</v>
      </c>
      <c r="BD39" s="82">
        <v>128500</v>
      </c>
      <c r="BE39" s="83">
        <v>1285000</v>
      </c>
      <c r="BF39" s="81">
        <v>10</v>
      </c>
      <c r="BG39" s="82">
        <v>128500</v>
      </c>
      <c r="BH39" s="83">
        <f t="shared" si="7"/>
        <v>1285000</v>
      </c>
      <c r="BI39" s="102"/>
    </row>
    <row r="40" spans="1:61" s="9" customFormat="1" ht="23.25" customHeight="1" x14ac:dyDescent="0.25">
      <c r="A40" s="27">
        <v>35</v>
      </c>
      <c r="B40" s="26" t="s">
        <v>102</v>
      </c>
      <c r="C40" s="16" t="s">
        <v>42</v>
      </c>
      <c r="D40" s="8"/>
      <c r="E40" s="25"/>
      <c r="F40" s="18"/>
      <c r="G40" s="10"/>
      <c r="H40" s="51">
        <v>20</v>
      </c>
      <c r="I40" s="56">
        <v>247000</v>
      </c>
      <c r="J40" s="52">
        <f>H40*I40</f>
        <v>4940000</v>
      </c>
      <c r="K40" s="8"/>
      <c r="L40" s="25"/>
      <c r="M40" s="18"/>
      <c r="N40" s="10"/>
      <c r="O40" s="51">
        <v>10</v>
      </c>
      <c r="P40" s="56">
        <v>247000</v>
      </c>
      <c r="Q40" s="52">
        <f t="shared" ref="Q40:Q46" si="29">O40*P40</f>
        <v>2470000</v>
      </c>
      <c r="R40" s="19"/>
      <c r="S40" s="25"/>
      <c r="T40" s="2"/>
      <c r="U40" s="10"/>
      <c r="V40" s="51">
        <v>30</v>
      </c>
      <c r="W40" s="56">
        <v>247000</v>
      </c>
      <c r="X40" s="52">
        <f>V40*W40</f>
        <v>7410000</v>
      </c>
      <c r="Y40" s="19"/>
      <c r="Z40" s="25"/>
      <c r="AA40" s="2"/>
      <c r="AB40" s="51">
        <v>20</v>
      </c>
      <c r="AC40" s="56">
        <v>247000</v>
      </c>
      <c r="AD40" s="52">
        <f>AB40*AC40</f>
        <v>4940000</v>
      </c>
      <c r="AE40" s="19"/>
      <c r="AF40" s="25"/>
      <c r="AG40" s="2"/>
      <c r="AH40" s="51"/>
      <c r="AI40" s="56"/>
      <c r="AJ40" s="52"/>
      <c r="AK40" s="8">
        <v>30</v>
      </c>
      <c r="AL40" s="25">
        <v>191200</v>
      </c>
      <c r="AM40" s="18">
        <f>AK40*AL40</f>
        <v>5736000</v>
      </c>
      <c r="AN40" s="51">
        <v>20</v>
      </c>
      <c r="AO40" s="66">
        <v>247000</v>
      </c>
      <c r="AP40" s="64">
        <f t="shared" si="6"/>
        <v>4940000</v>
      </c>
      <c r="AQ40" s="85"/>
      <c r="AR40" s="35"/>
      <c r="AS40" s="85"/>
      <c r="AT40" s="81">
        <v>20</v>
      </c>
      <c r="AU40" s="82">
        <v>191200</v>
      </c>
      <c r="AV40" s="83">
        <f>AT40*AU40</f>
        <v>3824000</v>
      </c>
      <c r="AW40" s="81"/>
      <c r="AX40" s="82"/>
      <c r="AY40" s="83"/>
      <c r="AZ40" s="81"/>
      <c r="BA40" s="82"/>
      <c r="BB40" s="83"/>
      <c r="BC40" s="81">
        <v>20</v>
      </c>
      <c r="BD40" s="82">
        <v>247000</v>
      </c>
      <c r="BE40" s="83">
        <v>4940000</v>
      </c>
      <c r="BF40" s="81">
        <v>30</v>
      </c>
      <c r="BG40" s="82">
        <v>247000</v>
      </c>
      <c r="BH40" s="83">
        <f t="shared" si="7"/>
        <v>7410000</v>
      </c>
      <c r="BI40" s="102"/>
    </row>
    <row r="41" spans="1:61" s="9" customFormat="1" ht="23.25" customHeight="1" x14ac:dyDescent="0.25">
      <c r="A41" s="15">
        <v>36</v>
      </c>
      <c r="B41" s="26" t="s">
        <v>78</v>
      </c>
      <c r="C41" s="100" t="s">
        <v>7</v>
      </c>
      <c r="D41" s="8">
        <v>311</v>
      </c>
      <c r="E41" s="25">
        <v>183000</v>
      </c>
      <c r="F41" s="18">
        <f>D41*E41*98%</f>
        <v>55774740</v>
      </c>
      <c r="G41" s="10">
        <v>0.02</v>
      </c>
      <c r="H41" s="51">
        <v>60</v>
      </c>
      <c r="I41" s="56">
        <v>256000</v>
      </c>
      <c r="J41" s="52">
        <f>H41*I41</f>
        <v>15360000</v>
      </c>
      <c r="K41" s="8">
        <v>274</v>
      </c>
      <c r="L41" s="25">
        <v>183000</v>
      </c>
      <c r="M41" s="18">
        <f>K41*L41*98%</f>
        <v>49139160</v>
      </c>
      <c r="N41" s="10">
        <v>0.02</v>
      </c>
      <c r="O41" s="51">
        <v>140</v>
      </c>
      <c r="P41" s="56">
        <v>256000</v>
      </c>
      <c r="Q41" s="52">
        <f t="shared" si="29"/>
        <v>35840000</v>
      </c>
      <c r="R41" s="19">
        <f>126+11</f>
        <v>137</v>
      </c>
      <c r="S41" s="25" t="s">
        <v>144</v>
      </c>
      <c r="T41" s="2">
        <f>22596840+2013000</f>
        <v>24609840</v>
      </c>
      <c r="U41" s="10">
        <v>0.02</v>
      </c>
      <c r="V41" s="51">
        <v>309</v>
      </c>
      <c r="W41" s="56">
        <v>256000</v>
      </c>
      <c r="X41" s="52">
        <f>V41*W41</f>
        <v>79104000</v>
      </c>
      <c r="Y41" s="19">
        <v>34</v>
      </c>
      <c r="Z41" s="25">
        <v>183000</v>
      </c>
      <c r="AA41" s="2">
        <f>Y41*Z41</f>
        <v>6222000</v>
      </c>
      <c r="AB41" s="51">
        <v>107</v>
      </c>
      <c r="AC41" s="56">
        <v>256000</v>
      </c>
      <c r="AD41" s="52">
        <f>AB41*AC41</f>
        <v>27392000</v>
      </c>
      <c r="AE41" s="19">
        <v>286</v>
      </c>
      <c r="AF41" s="25">
        <v>197700</v>
      </c>
      <c r="AG41" s="2">
        <f>AE41*AF41</f>
        <v>56542200</v>
      </c>
      <c r="AH41" s="51">
        <v>74</v>
      </c>
      <c r="AI41" s="56">
        <v>256000</v>
      </c>
      <c r="AJ41" s="52">
        <f>AH41*AI41</f>
        <v>18944000</v>
      </c>
      <c r="AK41" s="8">
        <v>205</v>
      </c>
      <c r="AL41" s="25">
        <v>197700</v>
      </c>
      <c r="AM41" s="18">
        <f>AK41*AL41</f>
        <v>40528500</v>
      </c>
      <c r="AN41" s="51">
        <v>70</v>
      </c>
      <c r="AO41" s="66">
        <v>256000</v>
      </c>
      <c r="AP41" s="64">
        <f t="shared" si="6"/>
        <v>17920000</v>
      </c>
      <c r="AQ41" s="81">
        <v>65</v>
      </c>
      <c r="AR41" s="82">
        <v>197700</v>
      </c>
      <c r="AS41" s="83">
        <f>AQ41*AR41</f>
        <v>12850500</v>
      </c>
      <c r="AT41" s="81">
        <v>180</v>
      </c>
      <c r="AU41" s="82">
        <v>197700</v>
      </c>
      <c r="AV41" s="83">
        <f>AT41*AU41</f>
        <v>35586000</v>
      </c>
      <c r="AW41" s="81">
        <f>30+20</f>
        <v>50</v>
      </c>
      <c r="AX41" s="82" t="s">
        <v>139</v>
      </c>
      <c r="AY41" s="83">
        <f>6525000+4570000</f>
        <v>11095000</v>
      </c>
      <c r="AZ41" s="81">
        <v>106</v>
      </c>
      <c r="BA41" s="82">
        <v>256000</v>
      </c>
      <c r="BB41" s="83">
        <f>AZ41*BA41</f>
        <v>27136000</v>
      </c>
      <c r="BC41" s="81">
        <v>130</v>
      </c>
      <c r="BD41" s="82">
        <v>256000</v>
      </c>
      <c r="BE41" s="83">
        <v>33280000</v>
      </c>
      <c r="BF41" s="81">
        <v>331</v>
      </c>
      <c r="BG41" s="82">
        <v>256000</v>
      </c>
      <c r="BH41" s="83">
        <f t="shared" si="7"/>
        <v>84736000</v>
      </c>
      <c r="BI41" s="102"/>
    </row>
    <row r="42" spans="1:61" s="9" customFormat="1" ht="23.25" customHeight="1" x14ac:dyDescent="0.25">
      <c r="A42" s="27">
        <v>37</v>
      </c>
      <c r="B42" s="26" t="s">
        <v>103</v>
      </c>
      <c r="C42" s="40" t="s">
        <v>43</v>
      </c>
      <c r="D42" s="8"/>
      <c r="E42" s="25"/>
      <c r="F42" s="18"/>
      <c r="G42" s="10"/>
      <c r="H42" s="51">
        <v>40</v>
      </c>
      <c r="I42" s="56">
        <v>257500</v>
      </c>
      <c r="J42" s="52">
        <f t="shared" ref="J42:J49" si="30">H42*I42</f>
        <v>10300000</v>
      </c>
      <c r="K42" s="8"/>
      <c r="L42" s="25"/>
      <c r="M42" s="18"/>
      <c r="N42" s="10"/>
      <c r="O42" s="51">
        <v>100</v>
      </c>
      <c r="P42" s="56">
        <v>257500</v>
      </c>
      <c r="Q42" s="52">
        <f t="shared" si="29"/>
        <v>25750000</v>
      </c>
      <c r="R42" s="19">
        <v>1</v>
      </c>
      <c r="S42" s="25">
        <v>184000</v>
      </c>
      <c r="T42" s="2">
        <f>R42*S42*98%</f>
        <v>180320</v>
      </c>
      <c r="U42" s="10">
        <v>0.02</v>
      </c>
      <c r="V42" s="51">
        <v>41</v>
      </c>
      <c r="W42" s="56">
        <v>257500</v>
      </c>
      <c r="X42" s="52">
        <f t="shared" ref="X42:X49" si="31">V42*W42</f>
        <v>10557500</v>
      </c>
      <c r="Y42" s="19"/>
      <c r="Z42" s="25"/>
      <c r="AA42" s="2"/>
      <c r="AB42" s="51"/>
      <c r="AC42" s="56"/>
      <c r="AD42" s="52"/>
      <c r="AE42" s="19"/>
      <c r="AF42" s="25"/>
      <c r="AG42" s="2"/>
      <c r="AH42" s="51">
        <v>9</v>
      </c>
      <c r="AI42" s="56">
        <v>257500</v>
      </c>
      <c r="AJ42" s="52">
        <f>AH42*AI42</f>
        <v>2317500</v>
      </c>
      <c r="AK42" s="8">
        <v>21</v>
      </c>
      <c r="AL42" s="25">
        <v>198800</v>
      </c>
      <c r="AM42" s="18">
        <f>AK42*AL42</f>
        <v>4174800</v>
      </c>
      <c r="AN42" s="51">
        <v>40</v>
      </c>
      <c r="AO42" s="66">
        <v>257500</v>
      </c>
      <c r="AP42" s="64">
        <f t="shared" si="6"/>
        <v>10300000</v>
      </c>
      <c r="AQ42" s="85"/>
      <c r="AR42" s="35"/>
      <c r="AS42" s="85"/>
      <c r="AT42" s="81"/>
      <c r="AU42" s="82"/>
      <c r="AV42" s="83"/>
      <c r="AW42" s="81"/>
      <c r="AX42" s="82"/>
      <c r="AY42" s="83"/>
      <c r="AZ42" s="81">
        <v>32</v>
      </c>
      <c r="BA42" s="82">
        <v>257500</v>
      </c>
      <c r="BB42" s="83">
        <f>AZ42*BA42</f>
        <v>8240000</v>
      </c>
      <c r="BC42" s="81">
        <v>20</v>
      </c>
      <c r="BD42" s="82">
        <v>257500</v>
      </c>
      <c r="BE42" s="83">
        <v>5150000</v>
      </c>
      <c r="BF42" s="81">
        <v>60</v>
      </c>
      <c r="BG42" s="82">
        <v>257500</v>
      </c>
      <c r="BH42" s="83">
        <f t="shared" si="7"/>
        <v>15450000</v>
      </c>
      <c r="BI42" s="102"/>
    </row>
    <row r="43" spans="1:61" s="9" customFormat="1" ht="23.25" customHeight="1" x14ac:dyDescent="0.25">
      <c r="A43" s="15">
        <v>38</v>
      </c>
      <c r="B43" s="26" t="s">
        <v>105</v>
      </c>
      <c r="C43" s="16" t="s">
        <v>51</v>
      </c>
      <c r="D43" s="8"/>
      <c r="E43" s="25"/>
      <c r="F43" s="18"/>
      <c r="G43" s="10"/>
      <c r="H43" s="51">
        <v>10</v>
      </c>
      <c r="I43" s="56">
        <v>279000</v>
      </c>
      <c r="J43" s="52">
        <f t="shared" si="30"/>
        <v>2790000</v>
      </c>
      <c r="K43" s="8">
        <v>36</v>
      </c>
      <c r="L43" s="25">
        <v>194500</v>
      </c>
      <c r="M43" s="18">
        <f t="shared" ref="M43:M48" si="32">K43*L43*98%</f>
        <v>6861960</v>
      </c>
      <c r="N43" s="10">
        <v>0.02</v>
      </c>
      <c r="O43" s="51">
        <v>10</v>
      </c>
      <c r="P43" s="56">
        <v>279000</v>
      </c>
      <c r="Q43" s="52">
        <f t="shared" si="29"/>
        <v>2790000</v>
      </c>
      <c r="R43" s="19"/>
      <c r="S43" s="35"/>
      <c r="T43" s="34"/>
      <c r="U43" s="34"/>
      <c r="V43" s="51">
        <v>10</v>
      </c>
      <c r="W43" s="56">
        <v>279000</v>
      </c>
      <c r="X43" s="52">
        <f t="shared" si="31"/>
        <v>2790000</v>
      </c>
      <c r="Y43" s="19"/>
      <c r="Z43" s="25"/>
      <c r="AA43" s="2"/>
      <c r="AB43" s="51">
        <v>20</v>
      </c>
      <c r="AC43" s="56">
        <v>279000</v>
      </c>
      <c r="AD43" s="52">
        <f>AB43*AC43</f>
        <v>5580000</v>
      </c>
      <c r="AE43" s="19"/>
      <c r="AF43" s="25"/>
      <c r="AG43" s="2"/>
      <c r="AH43" s="51"/>
      <c r="AI43" s="56"/>
      <c r="AJ43" s="52"/>
      <c r="AK43" s="8">
        <v>10</v>
      </c>
      <c r="AL43" s="25">
        <v>210100</v>
      </c>
      <c r="AM43" s="18">
        <f>AK43*AL43</f>
        <v>2101000</v>
      </c>
      <c r="AN43" s="51">
        <v>10</v>
      </c>
      <c r="AO43" s="66">
        <v>279000</v>
      </c>
      <c r="AP43" s="64">
        <f t="shared" si="6"/>
        <v>2790000</v>
      </c>
      <c r="AQ43" s="85"/>
      <c r="AR43" s="35"/>
      <c r="AS43" s="85"/>
      <c r="AT43" s="81">
        <v>12</v>
      </c>
      <c r="AU43" s="82">
        <v>210100</v>
      </c>
      <c r="AV43" s="83">
        <f>AT43*AU43</f>
        <v>2521200</v>
      </c>
      <c r="AW43" s="81"/>
      <c r="AX43" s="82"/>
      <c r="AY43" s="83"/>
      <c r="AZ43" s="81"/>
      <c r="BA43" s="82"/>
      <c r="BB43" s="83"/>
      <c r="BC43" s="81"/>
      <c r="BD43" s="82"/>
      <c r="BE43" s="83"/>
      <c r="BF43" s="81"/>
      <c r="BG43" s="82"/>
      <c r="BH43" s="83"/>
      <c r="BI43" s="102"/>
    </row>
    <row r="44" spans="1:61" s="9" customFormat="1" ht="23.25" customHeight="1" x14ac:dyDescent="0.25">
      <c r="A44" s="27">
        <v>39</v>
      </c>
      <c r="B44" s="26" t="s">
        <v>104</v>
      </c>
      <c r="C44" s="16" t="s">
        <v>49</v>
      </c>
      <c r="D44" s="8"/>
      <c r="E44" s="25"/>
      <c r="F44" s="18"/>
      <c r="G44" s="10"/>
      <c r="H44" s="51">
        <v>9</v>
      </c>
      <c r="I44" s="56">
        <v>259500</v>
      </c>
      <c r="J44" s="52">
        <f t="shared" si="30"/>
        <v>2335500</v>
      </c>
      <c r="K44" s="8">
        <v>15</v>
      </c>
      <c r="L44" s="25">
        <v>186000</v>
      </c>
      <c r="M44" s="18">
        <f t="shared" si="32"/>
        <v>2734200</v>
      </c>
      <c r="N44" s="10">
        <v>0.02</v>
      </c>
      <c r="O44" s="51">
        <v>11</v>
      </c>
      <c r="P44" s="56">
        <v>259500</v>
      </c>
      <c r="Q44" s="52">
        <f t="shared" si="29"/>
        <v>2854500</v>
      </c>
      <c r="R44" s="19"/>
      <c r="S44" s="25"/>
      <c r="T44" s="2"/>
      <c r="U44" s="10"/>
      <c r="V44" s="51">
        <v>27</v>
      </c>
      <c r="W44" s="56">
        <v>259500</v>
      </c>
      <c r="X44" s="52">
        <f t="shared" si="31"/>
        <v>7006500</v>
      </c>
      <c r="Y44" s="19"/>
      <c r="Z44" s="25"/>
      <c r="AA44" s="2"/>
      <c r="AB44" s="51"/>
      <c r="AC44" s="56"/>
      <c r="AD44" s="52"/>
      <c r="AE44" s="19"/>
      <c r="AF44" s="25"/>
      <c r="AG44" s="2"/>
      <c r="AH44" s="51"/>
      <c r="AI44" s="56"/>
      <c r="AJ44" s="52"/>
      <c r="AK44" s="8"/>
      <c r="AL44" s="25"/>
      <c r="AM44" s="18"/>
      <c r="AN44" s="51"/>
      <c r="AO44" s="66"/>
      <c r="AP44" s="64">
        <f t="shared" si="6"/>
        <v>0</v>
      </c>
      <c r="AQ44" s="85"/>
      <c r="AR44" s="35"/>
      <c r="AS44" s="85"/>
      <c r="AT44" s="81"/>
      <c r="AU44" s="82"/>
      <c r="AV44" s="83"/>
      <c r="AW44" s="81"/>
      <c r="AX44" s="82"/>
      <c r="AY44" s="83"/>
      <c r="AZ44" s="81">
        <v>21</v>
      </c>
      <c r="BA44" s="82">
        <v>259500</v>
      </c>
      <c r="BB44" s="83">
        <f>AZ44*BA44</f>
        <v>5449500</v>
      </c>
      <c r="BC44" s="81"/>
      <c r="BD44" s="82"/>
      <c r="BE44" s="83"/>
      <c r="BF44" s="81"/>
      <c r="BG44" s="82"/>
      <c r="BH44" s="83"/>
      <c r="BI44" s="102"/>
    </row>
    <row r="45" spans="1:61" s="9" customFormat="1" ht="23.25" customHeight="1" x14ac:dyDescent="0.25">
      <c r="A45" s="15">
        <v>40</v>
      </c>
      <c r="B45" s="26" t="s">
        <v>79</v>
      </c>
      <c r="C45" s="16" t="s">
        <v>22</v>
      </c>
      <c r="D45" s="8">
        <v>84</v>
      </c>
      <c r="E45" s="25">
        <v>196500</v>
      </c>
      <c r="F45" s="18">
        <f>D45*E45*98%</f>
        <v>16175880</v>
      </c>
      <c r="G45" s="10">
        <v>0.02</v>
      </c>
      <c r="H45" s="51">
        <v>50</v>
      </c>
      <c r="I45" s="56">
        <v>274500</v>
      </c>
      <c r="J45" s="52">
        <f t="shared" si="30"/>
        <v>13725000</v>
      </c>
      <c r="K45" s="8">
        <v>85</v>
      </c>
      <c r="L45" s="25">
        <v>196500</v>
      </c>
      <c r="M45" s="18">
        <f t="shared" si="32"/>
        <v>16368450</v>
      </c>
      <c r="N45" s="10">
        <v>0.02</v>
      </c>
      <c r="O45" s="51">
        <v>91</v>
      </c>
      <c r="P45" s="56">
        <v>274500</v>
      </c>
      <c r="Q45" s="52">
        <f t="shared" si="29"/>
        <v>24979500</v>
      </c>
      <c r="R45" s="19">
        <v>1</v>
      </c>
      <c r="S45" s="25">
        <v>196500</v>
      </c>
      <c r="T45" s="2">
        <f>R45*S45*98%</f>
        <v>192570</v>
      </c>
      <c r="U45" s="10">
        <v>0.02</v>
      </c>
      <c r="V45" s="51">
        <v>89</v>
      </c>
      <c r="W45" s="56">
        <v>274500</v>
      </c>
      <c r="X45" s="52">
        <f t="shared" si="31"/>
        <v>24430500</v>
      </c>
      <c r="Y45" s="19"/>
      <c r="Z45" s="25"/>
      <c r="AA45" s="2"/>
      <c r="AB45" s="51">
        <v>35</v>
      </c>
      <c r="AC45" s="56">
        <v>274500</v>
      </c>
      <c r="AD45" s="52">
        <f>AB45*AC45</f>
        <v>9607500</v>
      </c>
      <c r="AE45" s="19">
        <v>54</v>
      </c>
      <c r="AF45" s="25">
        <v>212300</v>
      </c>
      <c r="AG45" s="2">
        <f>AE45*AF45</f>
        <v>11464200</v>
      </c>
      <c r="AH45" s="51">
        <v>27</v>
      </c>
      <c r="AI45" s="56">
        <v>274500</v>
      </c>
      <c r="AJ45" s="52">
        <f>AH45*AI45</f>
        <v>7411500</v>
      </c>
      <c r="AK45" s="8">
        <v>116</v>
      </c>
      <c r="AL45" s="25">
        <v>212300</v>
      </c>
      <c r="AM45" s="18">
        <f>AK45*AL45</f>
        <v>24626800</v>
      </c>
      <c r="AN45" s="51">
        <v>48</v>
      </c>
      <c r="AO45" s="66">
        <v>274500</v>
      </c>
      <c r="AP45" s="64">
        <f t="shared" si="6"/>
        <v>13176000</v>
      </c>
      <c r="AQ45" s="81">
        <v>20</v>
      </c>
      <c r="AR45" s="82">
        <v>212300</v>
      </c>
      <c r="AS45" s="83">
        <f>AQ45*AR45</f>
        <v>4246000</v>
      </c>
      <c r="AT45" s="81">
        <v>20</v>
      </c>
      <c r="AU45" s="82">
        <v>212300</v>
      </c>
      <c r="AV45" s="83">
        <f>AT45*AU45</f>
        <v>4246000</v>
      </c>
      <c r="AW45" s="81"/>
      <c r="AX45" s="82"/>
      <c r="AY45" s="83"/>
      <c r="AZ45" s="81">
        <v>58</v>
      </c>
      <c r="BA45" s="82">
        <v>274500</v>
      </c>
      <c r="BB45" s="83">
        <f>AZ45*BA45</f>
        <v>15921000</v>
      </c>
      <c r="BC45" s="81">
        <v>80</v>
      </c>
      <c r="BD45" s="82">
        <v>274500</v>
      </c>
      <c r="BE45" s="83">
        <v>21960000</v>
      </c>
      <c r="BF45" s="81">
        <v>70</v>
      </c>
      <c r="BG45" s="82">
        <v>274500</v>
      </c>
      <c r="BH45" s="83">
        <f t="shared" si="7"/>
        <v>19215000</v>
      </c>
      <c r="BI45" s="102"/>
    </row>
    <row r="46" spans="1:61" s="9" customFormat="1" ht="23.25" customHeight="1" x14ac:dyDescent="0.25">
      <c r="A46" s="27">
        <v>41</v>
      </c>
      <c r="B46" s="26" t="s">
        <v>107</v>
      </c>
      <c r="C46" s="16" t="s">
        <v>27</v>
      </c>
      <c r="D46" s="8"/>
      <c r="E46" s="25"/>
      <c r="F46" s="18"/>
      <c r="G46" s="10"/>
      <c r="H46" s="51">
        <v>40</v>
      </c>
      <c r="I46" s="56">
        <v>282000</v>
      </c>
      <c r="J46" s="52">
        <f t="shared" si="30"/>
        <v>11280000</v>
      </c>
      <c r="K46" s="8">
        <v>18</v>
      </c>
      <c r="L46" s="25">
        <v>202000</v>
      </c>
      <c r="M46" s="18">
        <f t="shared" si="32"/>
        <v>3563280</v>
      </c>
      <c r="N46" s="10">
        <v>0.02</v>
      </c>
      <c r="O46" s="51">
        <v>90</v>
      </c>
      <c r="P46" s="56">
        <v>282000</v>
      </c>
      <c r="Q46" s="52">
        <f t="shared" si="29"/>
        <v>25380000</v>
      </c>
      <c r="R46" s="19">
        <f>8+7+17</f>
        <v>32</v>
      </c>
      <c r="S46" s="25">
        <v>202000</v>
      </c>
      <c r="T46" s="2">
        <f>R46*S46*98%</f>
        <v>6334720</v>
      </c>
      <c r="U46" s="10">
        <v>0.02</v>
      </c>
      <c r="V46" s="51">
        <v>50</v>
      </c>
      <c r="W46" s="56">
        <v>282000</v>
      </c>
      <c r="X46" s="52">
        <f t="shared" si="31"/>
        <v>14100000</v>
      </c>
      <c r="Y46" s="19"/>
      <c r="Z46" s="35"/>
      <c r="AA46" s="34"/>
      <c r="AB46" s="51"/>
      <c r="AC46" s="56"/>
      <c r="AD46" s="52"/>
      <c r="AE46" s="19"/>
      <c r="AF46" s="25"/>
      <c r="AG46" s="2"/>
      <c r="AH46" s="51"/>
      <c r="AI46" s="56"/>
      <c r="AJ46" s="52"/>
      <c r="AK46" s="8"/>
      <c r="AL46" s="25"/>
      <c r="AM46" s="18"/>
      <c r="AN46" s="51">
        <v>25</v>
      </c>
      <c r="AO46" s="66">
        <v>282000</v>
      </c>
      <c r="AP46" s="64">
        <f t="shared" si="6"/>
        <v>7050000</v>
      </c>
      <c r="AQ46" s="85"/>
      <c r="AR46" s="35"/>
      <c r="AS46" s="85"/>
      <c r="AT46" s="81"/>
      <c r="AU46" s="82"/>
      <c r="AV46" s="83"/>
      <c r="AW46" s="81"/>
      <c r="AX46" s="82"/>
      <c r="AY46" s="83"/>
      <c r="AZ46" s="81">
        <v>44</v>
      </c>
      <c r="BA46" s="82">
        <v>282000</v>
      </c>
      <c r="BB46" s="83">
        <f>AZ46*BA46</f>
        <v>12408000</v>
      </c>
      <c r="BC46" s="81">
        <v>28</v>
      </c>
      <c r="BD46" s="82">
        <v>282000</v>
      </c>
      <c r="BE46" s="83">
        <v>7896000</v>
      </c>
      <c r="BF46" s="81">
        <v>10</v>
      </c>
      <c r="BG46" s="82">
        <v>282000</v>
      </c>
      <c r="BH46" s="83">
        <f t="shared" si="7"/>
        <v>2820000</v>
      </c>
      <c r="BI46" s="102"/>
    </row>
    <row r="47" spans="1:61" s="9" customFormat="1" ht="23.25" customHeight="1" x14ac:dyDescent="0.25">
      <c r="A47" s="15">
        <v>42</v>
      </c>
      <c r="B47" s="26" t="s">
        <v>98</v>
      </c>
      <c r="C47" s="16" t="s">
        <v>122</v>
      </c>
      <c r="D47" s="8"/>
      <c r="E47" s="25"/>
      <c r="F47" s="18"/>
      <c r="G47" s="10"/>
      <c r="H47" s="51">
        <v>90</v>
      </c>
      <c r="I47" s="56">
        <v>122000</v>
      </c>
      <c r="J47" s="52">
        <f t="shared" si="30"/>
        <v>10980000</v>
      </c>
      <c r="K47" s="8">
        <v>20</v>
      </c>
      <c r="L47" s="25">
        <v>83000</v>
      </c>
      <c r="M47" s="18">
        <f t="shared" si="32"/>
        <v>1626800</v>
      </c>
      <c r="N47" s="10">
        <v>0.02</v>
      </c>
      <c r="O47" s="51"/>
      <c r="P47" s="56"/>
      <c r="Q47" s="52"/>
      <c r="R47" s="19">
        <f>20+20+15+20+10+20+5+15+15+15+20+10+15+5+5</f>
        <v>210</v>
      </c>
      <c r="S47" s="25">
        <v>83000</v>
      </c>
      <c r="T47" s="2">
        <f>R47*S47*98%</f>
        <v>17081400</v>
      </c>
      <c r="U47" s="10">
        <v>0.02</v>
      </c>
      <c r="V47" s="51">
        <v>110</v>
      </c>
      <c r="W47" s="56">
        <v>122000</v>
      </c>
      <c r="X47" s="52">
        <f t="shared" si="31"/>
        <v>13420000</v>
      </c>
      <c r="Y47" s="19">
        <v>64</v>
      </c>
      <c r="Z47" s="25">
        <v>83000</v>
      </c>
      <c r="AA47" s="2">
        <f>Y47*Z47</f>
        <v>5312000</v>
      </c>
      <c r="AB47" s="51">
        <v>19</v>
      </c>
      <c r="AC47" s="56">
        <v>122000</v>
      </c>
      <c r="AD47" s="52">
        <f>AB47*AC47</f>
        <v>2318000</v>
      </c>
      <c r="AE47" s="19">
        <v>131</v>
      </c>
      <c r="AF47" s="25">
        <v>91300</v>
      </c>
      <c r="AG47" s="2">
        <f>AE47*AF47</f>
        <v>11960300</v>
      </c>
      <c r="AH47" s="51">
        <v>41</v>
      </c>
      <c r="AI47" s="56">
        <v>122000</v>
      </c>
      <c r="AJ47" s="52">
        <f>AH47*AI47</f>
        <v>5002000</v>
      </c>
      <c r="AK47" s="8">
        <v>50</v>
      </c>
      <c r="AL47" s="25">
        <v>91300</v>
      </c>
      <c r="AM47" s="18">
        <f>AK47*AL47</f>
        <v>4565000</v>
      </c>
      <c r="AN47" s="51">
        <v>40</v>
      </c>
      <c r="AO47" s="66">
        <v>122000</v>
      </c>
      <c r="AP47" s="64">
        <f t="shared" si="6"/>
        <v>4880000</v>
      </c>
      <c r="AQ47" s="85"/>
      <c r="AR47" s="35"/>
      <c r="AS47" s="85"/>
      <c r="AT47" s="81">
        <v>100</v>
      </c>
      <c r="AU47" s="82">
        <v>91300</v>
      </c>
      <c r="AV47" s="83">
        <f>AT47*AU47</f>
        <v>9130000</v>
      </c>
      <c r="AW47" s="81">
        <f>20+100</f>
        <v>120</v>
      </c>
      <c r="AX47" s="82" t="s">
        <v>140</v>
      </c>
      <c r="AY47" s="83">
        <f>2120000+12190000</f>
        <v>14310000</v>
      </c>
      <c r="AZ47" s="81">
        <v>135</v>
      </c>
      <c r="BA47" s="82">
        <v>122000</v>
      </c>
      <c r="BB47" s="83">
        <f>AZ47*BA47</f>
        <v>16470000</v>
      </c>
      <c r="BC47" s="81">
        <v>75</v>
      </c>
      <c r="BD47" s="82">
        <v>122000</v>
      </c>
      <c r="BE47" s="83">
        <v>9150000</v>
      </c>
      <c r="BF47" s="81"/>
      <c r="BG47" s="82"/>
      <c r="BH47" s="83"/>
      <c r="BI47" s="102"/>
    </row>
    <row r="48" spans="1:61" s="9" customFormat="1" ht="23.25" customHeight="1" x14ac:dyDescent="0.25">
      <c r="A48" s="27">
        <v>43</v>
      </c>
      <c r="B48" s="26" t="s">
        <v>80</v>
      </c>
      <c r="C48" s="16" t="s">
        <v>23</v>
      </c>
      <c r="D48" s="8">
        <v>50</v>
      </c>
      <c r="E48" s="25">
        <v>255000</v>
      </c>
      <c r="F48" s="18">
        <f>D48*E48*98%</f>
        <v>12495000</v>
      </c>
      <c r="G48" s="10">
        <v>0.02</v>
      </c>
      <c r="H48" s="51">
        <v>90</v>
      </c>
      <c r="I48" s="56">
        <v>363500</v>
      </c>
      <c r="J48" s="52">
        <f t="shared" si="30"/>
        <v>32715000</v>
      </c>
      <c r="K48" s="8">
        <v>34</v>
      </c>
      <c r="L48" s="25">
        <v>255000</v>
      </c>
      <c r="M48" s="18">
        <f t="shared" si="32"/>
        <v>8496600</v>
      </c>
      <c r="N48" s="10">
        <v>0.02</v>
      </c>
      <c r="O48" s="51">
        <v>90</v>
      </c>
      <c r="P48" s="56">
        <v>363500</v>
      </c>
      <c r="Q48" s="52">
        <f>O48*P48</f>
        <v>32715000</v>
      </c>
      <c r="R48" s="19">
        <f>6+10+10</f>
        <v>26</v>
      </c>
      <c r="S48" s="25">
        <v>255000</v>
      </c>
      <c r="T48" s="2">
        <f>R48*S48*98%</f>
        <v>6497400</v>
      </c>
      <c r="U48" s="10">
        <v>0.02</v>
      </c>
      <c r="V48" s="51">
        <v>70</v>
      </c>
      <c r="W48" s="56">
        <v>363500</v>
      </c>
      <c r="X48" s="52">
        <f t="shared" si="31"/>
        <v>25445000</v>
      </c>
      <c r="Y48" s="19"/>
      <c r="Z48" s="25"/>
      <c r="AA48" s="2"/>
      <c r="AB48" s="51">
        <v>50</v>
      </c>
      <c r="AC48" s="56">
        <v>363500</v>
      </c>
      <c r="AD48" s="52">
        <f>AB48*AC48</f>
        <v>18175000</v>
      </c>
      <c r="AE48" s="19">
        <v>60</v>
      </c>
      <c r="AF48" s="25">
        <v>272900</v>
      </c>
      <c r="AG48" s="2">
        <f>AE48*AF48</f>
        <v>16374000</v>
      </c>
      <c r="AH48" s="51">
        <v>18</v>
      </c>
      <c r="AI48" s="56">
        <v>363500</v>
      </c>
      <c r="AJ48" s="52">
        <f>AH48*AI48</f>
        <v>6543000</v>
      </c>
      <c r="AK48" s="8">
        <v>65</v>
      </c>
      <c r="AL48" s="25">
        <v>272900</v>
      </c>
      <c r="AM48" s="18">
        <f>AK48*AL48</f>
        <v>17738500</v>
      </c>
      <c r="AN48" s="51">
        <v>12</v>
      </c>
      <c r="AO48" s="66">
        <v>363500</v>
      </c>
      <c r="AP48" s="64">
        <f t="shared" si="6"/>
        <v>4362000</v>
      </c>
      <c r="AQ48" s="85"/>
      <c r="AR48" s="35"/>
      <c r="AS48" s="85"/>
      <c r="AT48" s="81"/>
      <c r="AU48" s="82"/>
      <c r="AV48" s="83"/>
      <c r="AW48" s="81"/>
      <c r="AX48" s="82"/>
      <c r="AY48" s="83"/>
      <c r="AZ48" s="81"/>
      <c r="BA48" s="82"/>
      <c r="BB48" s="83"/>
      <c r="BC48" s="81">
        <v>50</v>
      </c>
      <c r="BD48" s="82">
        <v>363500</v>
      </c>
      <c r="BE48" s="83">
        <v>18175000</v>
      </c>
      <c r="BF48" s="81">
        <v>100</v>
      </c>
      <c r="BG48" s="82">
        <v>363500</v>
      </c>
      <c r="BH48" s="83">
        <f t="shared" si="7"/>
        <v>36350000</v>
      </c>
      <c r="BI48" s="102"/>
    </row>
    <row r="49" spans="1:61" s="9" customFormat="1" ht="23.25" customHeight="1" x14ac:dyDescent="0.25">
      <c r="A49" s="15">
        <v>44</v>
      </c>
      <c r="B49" s="26" t="s">
        <v>108</v>
      </c>
      <c r="C49" s="16" t="s">
        <v>29</v>
      </c>
      <c r="D49" s="8">
        <v>11</v>
      </c>
      <c r="E49" s="25">
        <v>239000</v>
      </c>
      <c r="F49" s="18">
        <f>D49*E49*98%</f>
        <v>2576420</v>
      </c>
      <c r="G49" s="10">
        <v>0.02</v>
      </c>
      <c r="H49" s="51">
        <v>30</v>
      </c>
      <c r="I49" s="56">
        <v>340500</v>
      </c>
      <c r="J49" s="52">
        <f t="shared" si="30"/>
        <v>10215000</v>
      </c>
      <c r="K49" s="8"/>
      <c r="L49" s="25"/>
      <c r="M49" s="18"/>
      <c r="N49" s="10"/>
      <c r="O49" s="51">
        <v>60</v>
      </c>
      <c r="P49" s="56">
        <v>340500</v>
      </c>
      <c r="Q49" s="52">
        <f>O49*P49</f>
        <v>20430000</v>
      </c>
      <c r="R49" s="19">
        <f>10+18+3+2</f>
        <v>33</v>
      </c>
      <c r="S49" s="25">
        <v>239000</v>
      </c>
      <c r="T49" s="2">
        <f>R49*S49*98%</f>
        <v>7729260</v>
      </c>
      <c r="U49" s="10">
        <v>0.02</v>
      </c>
      <c r="V49" s="51">
        <v>45</v>
      </c>
      <c r="W49" s="56">
        <v>340500</v>
      </c>
      <c r="X49" s="52">
        <f t="shared" si="31"/>
        <v>15322500</v>
      </c>
      <c r="Y49" s="19"/>
      <c r="Z49" s="25"/>
      <c r="AA49" s="2"/>
      <c r="AB49" s="51">
        <v>45</v>
      </c>
      <c r="AC49" s="56">
        <v>340500</v>
      </c>
      <c r="AD49" s="52">
        <f>AB49*AC49</f>
        <v>15322500</v>
      </c>
      <c r="AE49" s="19">
        <v>57</v>
      </c>
      <c r="AF49" s="25">
        <v>255800</v>
      </c>
      <c r="AG49" s="2">
        <f>AE49*AF49</f>
        <v>14580600</v>
      </c>
      <c r="AH49" s="51">
        <v>20</v>
      </c>
      <c r="AI49" s="56">
        <v>340500</v>
      </c>
      <c r="AJ49" s="52">
        <f>AH49*AI49</f>
        <v>6810000</v>
      </c>
      <c r="AK49" s="8">
        <v>14</v>
      </c>
      <c r="AL49" s="25">
        <v>255800</v>
      </c>
      <c r="AM49" s="18">
        <f>AK49*AL49</f>
        <v>3581200</v>
      </c>
      <c r="AN49" s="51"/>
      <c r="AO49" s="66"/>
      <c r="AP49" s="64">
        <f t="shared" si="6"/>
        <v>0</v>
      </c>
      <c r="AQ49" s="85"/>
      <c r="AR49" s="35"/>
      <c r="AS49" s="85"/>
      <c r="AT49" s="81">
        <v>6</v>
      </c>
      <c r="AU49" s="82">
        <v>255800</v>
      </c>
      <c r="AV49" s="83">
        <f>AT49*AU49</f>
        <v>1534800</v>
      </c>
      <c r="AW49" s="81"/>
      <c r="AX49" s="82"/>
      <c r="AY49" s="83"/>
      <c r="AZ49" s="81"/>
      <c r="BA49" s="82"/>
      <c r="BB49" s="83"/>
      <c r="BC49" s="81">
        <v>20</v>
      </c>
      <c r="BD49" s="82">
        <v>340500</v>
      </c>
      <c r="BE49" s="83">
        <v>6810000</v>
      </c>
      <c r="BF49" s="81">
        <v>50</v>
      </c>
      <c r="BG49" s="82">
        <v>340500</v>
      </c>
      <c r="BH49" s="83">
        <f t="shared" si="7"/>
        <v>17025000</v>
      </c>
      <c r="BI49" s="102"/>
    </row>
    <row r="50" spans="1:61" s="9" customFormat="1" ht="23.25" customHeight="1" x14ac:dyDescent="0.25">
      <c r="A50" s="27">
        <v>45</v>
      </c>
      <c r="B50" s="26" t="s">
        <v>81</v>
      </c>
      <c r="C50" s="16" t="s">
        <v>114</v>
      </c>
      <c r="D50" s="8">
        <v>6</v>
      </c>
      <c r="E50" s="25">
        <v>166500</v>
      </c>
      <c r="F50" s="18">
        <f>D50*E50*93%</f>
        <v>929070</v>
      </c>
      <c r="G50" s="10">
        <v>7.0000000000000007E-2</v>
      </c>
      <c r="H50" s="51"/>
      <c r="I50" s="56"/>
      <c r="J50" s="52"/>
      <c r="K50" s="8"/>
      <c r="L50" s="25"/>
      <c r="M50" s="18"/>
      <c r="N50" s="10"/>
      <c r="O50" s="51">
        <v>10</v>
      </c>
      <c r="P50" s="56">
        <v>222000</v>
      </c>
      <c r="Q50" s="52">
        <f>O50*P50</f>
        <v>2220000</v>
      </c>
      <c r="R50" s="19"/>
      <c r="S50" s="25"/>
      <c r="T50" s="2"/>
      <c r="U50" s="10"/>
      <c r="V50" s="51"/>
      <c r="W50" s="56"/>
      <c r="X50" s="52"/>
      <c r="Y50" s="19"/>
      <c r="Z50" s="25"/>
      <c r="AA50" s="2"/>
      <c r="AB50" s="51"/>
      <c r="AC50" s="56"/>
      <c r="AD50" s="52"/>
      <c r="AE50" s="19"/>
      <c r="AF50" s="25"/>
      <c r="AG50" s="2"/>
      <c r="AH50" s="51">
        <v>20</v>
      </c>
      <c r="AI50" s="56">
        <v>222000</v>
      </c>
      <c r="AJ50" s="52">
        <f>AH50*AI50</f>
        <v>4440000</v>
      </c>
      <c r="AK50" s="8">
        <v>64</v>
      </c>
      <c r="AL50" s="25">
        <v>175000</v>
      </c>
      <c r="AM50" s="18">
        <f>AK50*AL50</f>
        <v>11200000</v>
      </c>
      <c r="AN50" s="51">
        <v>30</v>
      </c>
      <c r="AO50" s="66">
        <v>222000</v>
      </c>
      <c r="AP50" s="64">
        <f t="shared" si="6"/>
        <v>6660000</v>
      </c>
      <c r="AQ50" s="81">
        <v>5</v>
      </c>
      <c r="AR50" s="82">
        <v>175000</v>
      </c>
      <c r="AS50" s="83">
        <f>AQ50*AR50</f>
        <v>875000</v>
      </c>
      <c r="AT50" s="81"/>
      <c r="AU50" s="82"/>
      <c r="AV50" s="83"/>
      <c r="AW50" s="81">
        <v>8</v>
      </c>
      <c r="AX50" s="82">
        <v>192500</v>
      </c>
      <c r="AY50" s="83">
        <f>AW50*AX50</f>
        <v>1540000</v>
      </c>
      <c r="AZ50" s="81"/>
      <c r="BA50" s="82"/>
      <c r="BB50" s="83"/>
      <c r="BC50" s="81">
        <v>10</v>
      </c>
      <c r="BD50" s="82">
        <v>222000</v>
      </c>
      <c r="BE50" s="83">
        <v>2220000</v>
      </c>
      <c r="BF50" s="81">
        <v>10</v>
      </c>
      <c r="BG50" s="82">
        <v>222000</v>
      </c>
      <c r="BH50" s="83">
        <f t="shared" si="7"/>
        <v>2220000</v>
      </c>
      <c r="BI50" s="102"/>
    </row>
    <row r="51" spans="1:61" s="9" customFormat="1" ht="23.25" customHeight="1" x14ac:dyDescent="0.25">
      <c r="A51" s="15">
        <v>46</v>
      </c>
      <c r="B51" s="26" t="s">
        <v>82</v>
      </c>
      <c r="C51" s="16" t="s">
        <v>30</v>
      </c>
      <c r="D51" s="8">
        <v>50</v>
      </c>
      <c r="E51" s="25">
        <v>14000</v>
      </c>
      <c r="F51" s="18">
        <f>D51*E51*98%</f>
        <v>686000</v>
      </c>
      <c r="G51" s="10">
        <v>0.02</v>
      </c>
      <c r="H51" s="51">
        <v>50</v>
      </c>
      <c r="I51" s="56">
        <v>20000</v>
      </c>
      <c r="J51" s="52">
        <f>H51*I51</f>
        <v>1000000</v>
      </c>
      <c r="K51" s="8"/>
      <c r="L51" s="25"/>
      <c r="M51" s="18"/>
      <c r="N51" s="10"/>
      <c r="O51" s="51"/>
      <c r="P51" s="56"/>
      <c r="Q51" s="52"/>
      <c r="R51" s="19">
        <v>30</v>
      </c>
      <c r="S51" s="25">
        <v>14000</v>
      </c>
      <c r="T51" s="2">
        <f>R51*S51*98%</f>
        <v>411600</v>
      </c>
      <c r="U51" s="10">
        <v>0.02</v>
      </c>
      <c r="V51" s="51">
        <v>50</v>
      </c>
      <c r="W51" s="56">
        <v>20000</v>
      </c>
      <c r="X51" s="52">
        <f>V51*W51</f>
        <v>1000000</v>
      </c>
      <c r="Y51" s="19"/>
      <c r="Z51" s="25"/>
      <c r="AA51" s="2"/>
      <c r="AB51" s="51">
        <v>19</v>
      </c>
      <c r="AC51" s="56">
        <v>20000</v>
      </c>
      <c r="AD51" s="52">
        <f>AB51*AC51</f>
        <v>380000</v>
      </c>
      <c r="AE51" s="19">
        <v>100</v>
      </c>
      <c r="AF51" s="25">
        <v>14000</v>
      </c>
      <c r="AG51" s="2">
        <f>AE51*AF51</f>
        <v>1400000</v>
      </c>
      <c r="AH51" s="51">
        <v>41</v>
      </c>
      <c r="AI51" s="56">
        <v>20000</v>
      </c>
      <c r="AJ51" s="52">
        <f>AH51*AI51</f>
        <v>820000</v>
      </c>
      <c r="AK51" s="8">
        <v>110</v>
      </c>
      <c r="AL51" s="25">
        <v>14000</v>
      </c>
      <c r="AM51" s="18">
        <f>AK51*AL51</f>
        <v>1540000</v>
      </c>
      <c r="AN51" s="51">
        <v>100</v>
      </c>
      <c r="AO51" s="66">
        <v>20000</v>
      </c>
      <c r="AP51" s="64">
        <f t="shared" si="6"/>
        <v>2000000</v>
      </c>
      <c r="AQ51" s="85"/>
      <c r="AR51" s="35"/>
      <c r="AS51" s="85"/>
      <c r="AT51" s="81">
        <v>10</v>
      </c>
      <c r="AU51" s="82">
        <v>14000</v>
      </c>
      <c r="AV51" s="83">
        <f>AT51*AU51</f>
        <v>140000</v>
      </c>
      <c r="AW51" s="81"/>
      <c r="AX51" s="82"/>
      <c r="AY51" s="83"/>
      <c r="AZ51" s="81"/>
      <c r="BA51" s="82"/>
      <c r="BB51" s="83"/>
      <c r="BC51" s="81">
        <v>100</v>
      </c>
      <c r="BD51" s="82">
        <v>20000</v>
      </c>
      <c r="BE51" s="83">
        <v>2000000</v>
      </c>
      <c r="BF51" s="81">
        <v>50</v>
      </c>
      <c r="BG51" s="82">
        <v>20000</v>
      </c>
      <c r="BH51" s="83">
        <f t="shared" si="7"/>
        <v>1000000</v>
      </c>
      <c r="BI51" s="102"/>
    </row>
    <row r="52" spans="1:61" s="9" customFormat="1" ht="23.25" customHeight="1" x14ac:dyDescent="0.25">
      <c r="A52" s="27">
        <v>47</v>
      </c>
      <c r="B52" s="26" t="s">
        <v>83</v>
      </c>
      <c r="C52" s="40" t="s">
        <v>55</v>
      </c>
      <c r="D52" s="8"/>
      <c r="E52" s="25"/>
      <c r="F52" s="18"/>
      <c r="G52" s="10"/>
      <c r="H52" s="51"/>
      <c r="I52" s="56"/>
      <c r="J52" s="52"/>
      <c r="K52" s="8"/>
      <c r="L52" s="25"/>
      <c r="M52" s="18"/>
      <c r="N52" s="10"/>
      <c r="O52" s="51">
        <v>4</v>
      </c>
      <c r="P52" s="56">
        <v>312500</v>
      </c>
      <c r="Q52" s="52">
        <f>O52*P52</f>
        <v>1250000</v>
      </c>
      <c r="R52" s="19">
        <f>8+2</f>
        <v>10</v>
      </c>
      <c r="S52" s="25">
        <v>229000</v>
      </c>
      <c r="T52" s="2">
        <f>R52*S52*93%</f>
        <v>2129700</v>
      </c>
      <c r="U52" s="10">
        <v>7.0000000000000007E-2</v>
      </c>
      <c r="V52" s="51">
        <v>8</v>
      </c>
      <c r="W52" s="56">
        <v>312500</v>
      </c>
      <c r="X52" s="52">
        <f>V52*W52</f>
        <v>2500000</v>
      </c>
      <c r="Y52" s="19"/>
      <c r="Z52" s="25"/>
      <c r="AA52" s="2"/>
      <c r="AB52" s="51">
        <v>12</v>
      </c>
      <c r="AC52" s="56">
        <v>312500</v>
      </c>
      <c r="AD52" s="52">
        <f>AB52*AC52</f>
        <v>3750000</v>
      </c>
      <c r="AE52" s="19">
        <v>4</v>
      </c>
      <c r="AF52" s="25">
        <v>240500</v>
      </c>
      <c r="AG52" s="2">
        <f>AE52*AF52</f>
        <v>962000</v>
      </c>
      <c r="AH52" s="51">
        <v>10</v>
      </c>
      <c r="AI52" s="56">
        <v>312500</v>
      </c>
      <c r="AJ52" s="52">
        <f>AH52*AI52*90%</f>
        <v>2812500</v>
      </c>
      <c r="AK52" s="8"/>
      <c r="AL52" s="25"/>
      <c r="AM52" s="18"/>
      <c r="AN52" s="51">
        <v>20</v>
      </c>
      <c r="AO52" s="66">
        <v>312500</v>
      </c>
      <c r="AP52" s="64">
        <f t="shared" si="6"/>
        <v>6250000</v>
      </c>
      <c r="AQ52" s="81">
        <v>10</v>
      </c>
      <c r="AR52" s="82">
        <v>240500</v>
      </c>
      <c r="AS52" s="83">
        <f>AQ52*AR52</f>
        <v>2405000</v>
      </c>
      <c r="AT52" s="81"/>
      <c r="AU52" s="82"/>
      <c r="AV52" s="83"/>
      <c r="AW52" s="81"/>
      <c r="AX52" s="82"/>
      <c r="AY52" s="83"/>
      <c r="AZ52" s="81"/>
      <c r="BA52" s="82"/>
      <c r="BB52" s="83"/>
      <c r="BC52" s="81">
        <v>10</v>
      </c>
      <c r="BD52" s="82">
        <v>312500</v>
      </c>
      <c r="BE52" s="83">
        <v>3125000</v>
      </c>
      <c r="BF52" s="81">
        <v>6</v>
      </c>
      <c r="BG52" s="82">
        <v>312500</v>
      </c>
      <c r="BH52" s="83">
        <f t="shared" si="7"/>
        <v>1875000</v>
      </c>
      <c r="BI52" s="102"/>
    </row>
    <row r="53" spans="1:61" s="9" customFormat="1" ht="23.25" customHeight="1" x14ac:dyDescent="0.25">
      <c r="A53" s="15">
        <v>48</v>
      </c>
      <c r="B53" s="26" t="s">
        <v>109</v>
      </c>
      <c r="C53" s="40" t="s">
        <v>31</v>
      </c>
      <c r="D53" s="8"/>
      <c r="E53" s="25"/>
      <c r="F53" s="18"/>
      <c r="G53" s="10"/>
      <c r="H53" s="51">
        <v>10</v>
      </c>
      <c r="I53" s="56">
        <v>339000</v>
      </c>
      <c r="J53" s="52">
        <f>H53*I53</f>
        <v>3390000</v>
      </c>
      <c r="K53" s="8"/>
      <c r="L53" s="25"/>
      <c r="M53" s="18"/>
      <c r="N53" s="10"/>
      <c r="O53" s="51">
        <v>10</v>
      </c>
      <c r="P53" s="56">
        <v>339000</v>
      </c>
      <c r="Q53" s="52">
        <f>O53*P53</f>
        <v>3390000</v>
      </c>
      <c r="R53" s="19">
        <f>3+2+1</f>
        <v>6</v>
      </c>
      <c r="S53" s="25">
        <v>249000</v>
      </c>
      <c r="T53" s="2">
        <f>R53*S53*93%</f>
        <v>1389420</v>
      </c>
      <c r="U53" s="10">
        <v>7.0000000000000007E-2</v>
      </c>
      <c r="V53" s="51">
        <v>5</v>
      </c>
      <c r="W53" s="56">
        <v>339000</v>
      </c>
      <c r="X53" s="52">
        <f>V53*W53</f>
        <v>1695000</v>
      </c>
      <c r="Y53" s="19">
        <v>59</v>
      </c>
      <c r="Z53" s="25">
        <v>249000</v>
      </c>
      <c r="AA53" s="2">
        <f>Y53*Z53</f>
        <v>14691000</v>
      </c>
      <c r="AB53" s="51">
        <v>30</v>
      </c>
      <c r="AC53" s="56">
        <v>339000</v>
      </c>
      <c r="AD53" s="52">
        <f>AB53*AC53</f>
        <v>10170000</v>
      </c>
      <c r="AE53" s="19"/>
      <c r="AF53" s="25"/>
      <c r="AG53" s="2"/>
      <c r="AH53" s="51">
        <v>5</v>
      </c>
      <c r="AI53" s="56">
        <v>339000</v>
      </c>
      <c r="AJ53" s="52">
        <f>AH53*AI53</f>
        <v>1695000</v>
      </c>
      <c r="AK53" s="8"/>
      <c r="AL53" s="25"/>
      <c r="AM53" s="18"/>
      <c r="AN53" s="51">
        <v>46</v>
      </c>
      <c r="AO53" s="66">
        <v>339000</v>
      </c>
      <c r="AP53" s="64">
        <f t="shared" si="6"/>
        <v>15594000</v>
      </c>
      <c r="AQ53" s="85"/>
      <c r="AR53" s="35"/>
      <c r="AS53" s="85"/>
      <c r="AT53" s="81"/>
      <c r="AU53" s="82"/>
      <c r="AV53" s="83"/>
      <c r="AW53" s="81">
        <f>4+14</f>
        <v>18</v>
      </c>
      <c r="AX53" s="82" t="s">
        <v>141</v>
      </c>
      <c r="AY53" s="83">
        <f>1152000+4235000</f>
        <v>5387000</v>
      </c>
      <c r="AZ53" s="81"/>
      <c r="BA53" s="82"/>
      <c r="BB53" s="83"/>
      <c r="BC53" s="81">
        <v>10</v>
      </c>
      <c r="BD53" s="82">
        <v>339000</v>
      </c>
      <c r="BE53" s="83">
        <v>3390000</v>
      </c>
      <c r="BF53" s="81">
        <v>20</v>
      </c>
      <c r="BG53" s="82">
        <v>339000</v>
      </c>
      <c r="BH53" s="83">
        <f t="shared" si="7"/>
        <v>6780000</v>
      </c>
      <c r="BI53" s="102"/>
    </row>
    <row r="54" spans="1:61" s="9" customFormat="1" ht="23.25" customHeight="1" x14ac:dyDescent="0.25">
      <c r="A54" s="27">
        <v>49</v>
      </c>
      <c r="B54" s="26" t="s">
        <v>84</v>
      </c>
      <c r="C54" s="40" t="s">
        <v>44</v>
      </c>
      <c r="D54" s="8"/>
      <c r="E54" s="25"/>
      <c r="F54" s="18"/>
      <c r="G54" s="10"/>
      <c r="H54" s="51">
        <v>10</v>
      </c>
      <c r="I54" s="56">
        <v>353900</v>
      </c>
      <c r="J54" s="52">
        <f>H54*I54</f>
        <v>3539000</v>
      </c>
      <c r="K54" s="8"/>
      <c r="L54" s="25"/>
      <c r="M54" s="18"/>
      <c r="N54" s="10"/>
      <c r="O54" s="51">
        <v>30</v>
      </c>
      <c r="P54" s="56">
        <v>353900</v>
      </c>
      <c r="Q54" s="52">
        <f>O54*P54</f>
        <v>10617000</v>
      </c>
      <c r="R54" s="19">
        <v>2</v>
      </c>
      <c r="S54" s="25">
        <v>255000</v>
      </c>
      <c r="T54" s="2">
        <f>R54*S54*98%</f>
        <v>499800</v>
      </c>
      <c r="U54" s="10">
        <v>0.02</v>
      </c>
      <c r="V54" s="51">
        <v>40</v>
      </c>
      <c r="W54" s="56">
        <v>353900</v>
      </c>
      <c r="X54" s="52">
        <f>V54*W54</f>
        <v>14156000</v>
      </c>
      <c r="Y54" s="19"/>
      <c r="Z54" s="25"/>
      <c r="AA54" s="2"/>
      <c r="AB54" s="51"/>
      <c r="AC54" s="56"/>
      <c r="AD54" s="52"/>
      <c r="AE54" s="19"/>
      <c r="AF54" s="25"/>
      <c r="AG54" s="2"/>
      <c r="AH54" s="51"/>
      <c r="AI54" s="56"/>
      <c r="AJ54" s="52"/>
      <c r="AK54" s="8"/>
      <c r="AL54" s="25"/>
      <c r="AM54" s="18"/>
      <c r="AN54" s="51">
        <v>10</v>
      </c>
      <c r="AO54" s="66">
        <v>353900</v>
      </c>
      <c r="AP54" s="64">
        <f t="shared" si="6"/>
        <v>3539000</v>
      </c>
      <c r="AQ54" s="85"/>
      <c r="AR54" s="35"/>
      <c r="AS54" s="85"/>
      <c r="AT54" s="81"/>
      <c r="AU54" s="82"/>
      <c r="AV54" s="83"/>
      <c r="AW54" s="81"/>
      <c r="AX54" s="82"/>
      <c r="AY54" s="83"/>
      <c r="AZ54" s="81"/>
      <c r="BA54" s="82"/>
      <c r="BB54" s="83"/>
      <c r="BC54" s="81"/>
      <c r="BD54" s="82"/>
      <c r="BE54" s="83"/>
      <c r="BF54" s="81">
        <v>10</v>
      </c>
      <c r="BG54" s="82">
        <v>353900</v>
      </c>
      <c r="BH54" s="83">
        <f t="shared" si="7"/>
        <v>3539000</v>
      </c>
      <c r="BI54" s="102"/>
    </row>
    <row r="55" spans="1:61" s="9" customFormat="1" ht="23.25" customHeight="1" x14ac:dyDescent="0.25">
      <c r="A55" s="15">
        <v>50</v>
      </c>
      <c r="B55" s="26" t="s">
        <v>85</v>
      </c>
      <c r="C55" s="16" t="s">
        <v>33</v>
      </c>
      <c r="D55" s="8">
        <v>110</v>
      </c>
      <c r="E55" s="25">
        <v>15000</v>
      </c>
      <c r="F55" s="18">
        <f>D55*E55*98%</f>
        <v>1617000</v>
      </c>
      <c r="G55" s="10">
        <v>0.02</v>
      </c>
      <c r="H55" s="51">
        <v>100</v>
      </c>
      <c r="I55" s="56">
        <v>20000</v>
      </c>
      <c r="J55" s="52">
        <f>H55*I55</f>
        <v>2000000</v>
      </c>
      <c r="K55" s="8"/>
      <c r="L55" s="25"/>
      <c r="M55" s="18"/>
      <c r="N55" s="10"/>
      <c r="O55" s="51">
        <v>50</v>
      </c>
      <c r="P55" s="56">
        <v>20000</v>
      </c>
      <c r="Q55" s="52">
        <f>O55*P55</f>
        <v>1000000</v>
      </c>
      <c r="R55" s="19">
        <v>30</v>
      </c>
      <c r="S55" s="25">
        <v>15000</v>
      </c>
      <c r="T55" s="2">
        <f>R55*S55*98%</f>
        <v>441000</v>
      </c>
      <c r="U55" s="10">
        <v>0.02</v>
      </c>
      <c r="V55" s="51">
        <v>100</v>
      </c>
      <c r="W55" s="56">
        <v>20000</v>
      </c>
      <c r="X55" s="52">
        <f>V55*W55</f>
        <v>2000000</v>
      </c>
      <c r="Y55" s="19"/>
      <c r="Z55" s="25"/>
      <c r="AA55" s="2"/>
      <c r="AB55" s="51">
        <v>170</v>
      </c>
      <c r="AC55" s="56">
        <v>20000</v>
      </c>
      <c r="AD55" s="52">
        <f>AB55*AC55</f>
        <v>3400000</v>
      </c>
      <c r="AE55" s="19">
        <v>150</v>
      </c>
      <c r="AF55" s="25">
        <v>15000</v>
      </c>
      <c r="AG55" s="2">
        <f>AE55*AF55</f>
        <v>2250000</v>
      </c>
      <c r="AH55" s="51">
        <v>34</v>
      </c>
      <c r="AI55" s="56">
        <v>20000</v>
      </c>
      <c r="AJ55" s="52">
        <f t="shared" ref="AJ55:AJ60" si="33">AH55*AI55</f>
        <v>680000</v>
      </c>
      <c r="AK55" s="8">
        <v>120</v>
      </c>
      <c r="AL55" s="25">
        <v>15000</v>
      </c>
      <c r="AM55" s="18">
        <f>AK55*AL55</f>
        <v>1800000</v>
      </c>
      <c r="AN55" s="51">
        <v>176</v>
      </c>
      <c r="AO55" s="66">
        <v>20000</v>
      </c>
      <c r="AP55" s="64">
        <f t="shared" si="6"/>
        <v>3520000</v>
      </c>
      <c r="AQ55" s="85"/>
      <c r="AR55" s="35"/>
      <c r="AS55" s="85"/>
      <c r="AT55" s="81"/>
      <c r="AU55" s="82"/>
      <c r="AV55" s="83"/>
      <c r="AW55" s="81">
        <v>20</v>
      </c>
      <c r="AX55" s="82">
        <v>17000</v>
      </c>
      <c r="AY55" s="83">
        <f>AW55*AX55</f>
        <v>340000</v>
      </c>
      <c r="AZ55" s="81">
        <v>30</v>
      </c>
      <c r="BA55" s="82">
        <v>20000</v>
      </c>
      <c r="BB55" s="83">
        <f>AZ55*BA55</f>
        <v>600000</v>
      </c>
      <c r="BC55" s="81">
        <v>200</v>
      </c>
      <c r="BD55" s="82">
        <v>20000</v>
      </c>
      <c r="BE55" s="83">
        <v>4000000</v>
      </c>
      <c r="BF55" s="81">
        <v>100</v>
      </c>
      <c r="BG55" s="82">
        <v>20000</v>
      </c>
      <c r="BH55" s="83">
        <f t="shared" si="7"/>
        <v>2000000</v>
      </c>
      <c r="BI55" s="102"/>
    </row>
    <row r="56" spans="1:61" s="9" customFormat="1" ht="23.25" customHeight="1" x14ac:dyDescent="0.25">
      <c r="A56" s="27">
        <v>51</v>
      </c>
      <c r="B56" s="26" t="s">
        <v>86</v>
      </c>
      <c r="C56" s="16" t="s">
        <v>119</v>
      </c>
      <c r="D56" s="8">
        <v>2</v>
      </c>
      <c r="E56" s="25">
        <v>130000</v>
      </c>
      <c r="F56" s="18">
        <f>D56*E56*93%</f>
        <v>241800</v>
      </c>
      <c r="G56" s="10">
        <v>7.0000000000000007E-2</v>
      </c>
      <c r="H56" s="51"/>
      <c r="I56" s="56"/>
      <c r="J56" s="52"/>
      <c r="K56" s="8"/>
      <c r="L56" s="25"/>
      <c r="M56" s="18"/>
      <c r="N56" s="10"/>
      <c r="O56" s="51"/>
      <c r="P56" s="56"/>
      <c r="Q56" s="52"/>
      <c r="R56" s="19"/>
      <c r="S56" s="25"/>
      <c r="T56" s="2"/>
      <c r="U56" s="10"/>
      <c r="V56" s="51"/>
      <c r="W56" s="56"/>
      <c r="X56" s="52"/>
      <c r="Y56" s="19"/>
      <c r="Z56" s="25"/>
      <c r="AA56" s="2"/>
      <c r="AB56" s="51">
        <v>10</v>
      </c>
      <c r="AC56" s="56">
        <v>176500</v>
      </c>
      <c r="AD56" s="52">
        <f>AB56*AC56</f>
        <v>1765000</v>
      </c>
      <c r="AE56" s="19"/>
      <c r="AF56" s="25"/>
      <c r="AG56" s="2"/>
      <c r="AH56" s="51">
        <v>5</v>
      </c>
      <c r="AI56" s="56">
        <v>176500</v>
      </c>
      <c r="AJ56" s="52">
        <f t="shared" si="33"/>
        <v>882500</v>
      </c>
      <c r="AK56" s="8"/>
      <c r="AL56" s="25"/>
      <c r="AM56" s="18"/>
      <c r="AN56" s="51">
        <v>5</v>
      </c>
      <c r="AO56" s="66">
        <v>176500</v>
      </c>
      <c r="AP56" s="64">
        <f t="shared" si="6"/>
        <v>882500</v>
      </c>
      <c r="AQ56" s="81">
        <v>3</v>
      </c>
      <c r="AR56" s="82">
        <v>136500</v>
      </c>
      <c r="AS56" s="83">
        <f>AQ56*AR56</f>
        <v>409500</v>
      </c>
      <c r="AT56" s="81"/>
      <c r="AU56" s="82"/>
      <c r="AV56" s="83"/>
      <c r="AW56" s="81"/>
      <c r="AX56" s="82"/>
      <c r="AY56" s="83"/>
      <c r="AZ56" s="81"/>
      <c r="BA56" s="82"/>
      <c r="BB56" s="83"/>
      <c r="BC56" s="81">
        <v>20</v>
      </c>
      <c r="BD56" s="82">
        <v>176500</v>
      </c>
      <c r="BE56" s="83">
        <v>3530000</v>
      </c>
      <c r="BF56" s="81">
        <v>10</v>
      </c>
      <c r="BG56" s="82">
        <v>176500</v>
      </c>
      <c r="BH56" s="83">
        <f t="shared" si="7"/>
        <v>1765000</v>
      </c>
      <c r="BI56" s="102"/>
    </row>
    <row r="57" spans="1:61" s="9" customFormat="1" ht="23.25" customHeight="1" x14ac:dyDescent="0.25">
      <c r="A57" s="15">
        <v>52</v>
      </c>
      <c r="B57" s="26" t="s">
        <v>110</v>
      </c>
      <c r="C57" s="16" t="s">
        <v>112</v>
      </c>
      <c r="D57" s="8">
        <v>4</v>
      </c>
      <c r="E57" s="25">
        <v>180000</v>
      </c>
      <c r="F57" s="18">
        <f>D57*E57*93%</f>
        <v>669600</v>
      </c>
      <c r="G57" s="10">
        <v>7.0000000000000007E-2</v>
      </c>
      <c r="H57" s="51"/>
      <c r="I57" s="56"/>
      <c r="J57" s="52"/>
      <c r="K57" s="8">
        <v>4</v>
      </c>
      <c r="L57" s="25">
        <v>180000</v>
      </c>
      <c r="M57" s="18">
        <f>K57*L57*93%</f>
        <v>669600</v>
      </c>
      <c r="N57" s="10">
        <v>7.0000000000000007E-2</v>
      </c>
      <c r="O57" s="51"/>
      <c r="P57" s="56"/>
      <c r="Q57" s="52"/>
      <c r="R57" s="19">
        <f>2+3</f>
        <v>5</v>
      </c>
      <c r="S57" s="25">
        <v>180000</v>
      </c>
      <c r="T57" s="2">
        <f>R57*S57*93%</f>
        <v>837000</v>
      </c>
      <c r="U57" s="10">
        <v>7.0000000000000007E-2</v>
      </c>
      <c r="V57" s="51"/>
      <c r="W57" s="56"/>
      <c r="X57" s="52"/>
      <c r="Y57" s="19"/>
      <c r="Z57" s="25"/>
      <c r="AA57" s="2"/>
      <c r="AB57" s="51">
        <v>10</v>
      </c>
      <c r="AC57" s="56">
        <v>245000</v>
      </c>
      <c r="AD57" s="52">
        <f>AB57*AC57</f>
        <v>2450000</v>
      </c>
      <c r="AE57" s="19">
        <v>6</v>
      </c>
      <c r="AF57" s="25">
        <v>189000</v>
      </c>
      <c r="AG57" s="2">
        <f>AE57*AF57</f>
        <v>1134000</v>
      </c>
      <c r="AH57" s="51">
        <v>20</v>
      </c>
      <c r="AI57" s="56">
        <v>245000</v>
      </c>
      <c r="AJ57" s="52">
        <f t="shared" si="33"/>
        <v>4900000</v>
      </c>
      <c r="AK57" s="8"/>
      <c r="AL57" s="25"/>
      <c r="AM57" s="18"/>
      <c r="AN57" s="51"/>
      <c r="AO57" s="66"/>
      <c r="AP57" s="64">
        <f t="shared" si="6"/>
        <v>0</v>
      </c>
      <c r="AQ57" s="85"/>
      <c r="AR57" s="35"/>
      <c r="AS57" s="85"/>
      <c r="AT57" s="81"/>
      <c r="AU57" s="82"/>
      <c r="AV57" s="83"/>
      <c r="AW57" s="81">
        <v>40</v>
      </c>
      <c r="AX57" s="82">
        <v>218500</v>
      </c>
      <c r="AY57" s="83">
        <f t="shared" ref="AY57:AY58" si="34">AW57*AX57</f>
        <v>8740000</v>
      </c>
      <c r="AZ57" s="81">
        <v>10</v>
      </c>
      <c r="BA57" s="82">
        <v>218500</v>
      </c>
      <c r="BB57" s="83">
        <f>AZ57*BA57</f>
        <v>2185000</v>
      </c>
      <c r="BC57" s="81"/>
      <c r="BD57" s="82"/>
      <c r="BE57" s="83"/>
      <c r="BF57" s="81"/>
      <c r="BG57" s="82"/>
      <c r="BH57" s="83"/>
      <c r="BI57" s="102"/>
    </row>
    <row r="58" spans="1:61" s="9" customFormat="1" ht="23.25" customHeight="1" x14ac:dyDescent="0.25">
      <c r="A58" s="27">
        <v>53</v>
      </c>
      <c r="B58" s="26" t="s">
        <v>118</v>
      </c>
      <c r="C58" s="16" t="s">
        <v>54</v>
      </c>
      <c r="D58" s="8"/>
      <c r="E58" s="25"/>
      <c r="F58" s="18"/>
      <c r="G58" s="10"/>
      <c r="H58" s="51"/>
      <c r="I58" s="56"/>
      <c r="J58" s="52"/>
      <c r="K58" s="8"/>
      <c r="L58" s="25"/>
      <c r="M58" s="18"/>
      <c r="N58" s="10"/>
      <c r="O58" s="51"/>
      <c r="P58" s="56"/>
      <c r="Q58" s="52"/>
      <c r="R58" s="19"/>
      <c r="S58" s="25"/>
      <c r="T58" s="2"/>
      <c r="U58" s="10"/>
      <c r="V58" s="51">
        <v>6</v>
      </c>
      <c r="W58" s="56">
        <v>271500</v>
      </c>
      <c r="X58" s="52">
        <f>V58*W58</f>
        <v>1629000</v>
      </c>
      <c r="Y58" s="19"/>
      <c r="Z58" s="25"/>
      <c r="AA58" s="2"/>
      <c r="AB58" s="51">
        <v>14</v>
      </c>
      <c r="AC58" s="56">
        <v>271500</v>
      </c>
      <c r="AD58" s="52">
        <f>AB58*AC58</f>
        <v>3801000</v>
      </c>
      <c r="AE58" s="19"/>
      <c r="AF58" s="25"/>
      <c r="AG58" s="2"/>
      <c r="AH58" s="51">
        <v>15</v>
      </c>
      <c r="AI58" s="56">
        <v>271500</v>
      </c>
      <c r="AJ58" s="52">
        <f t="shared" si="33"/>
        <v>4072500</v>
      </c>
      <c r="AK58" s="8"/>
      <c r="AL58" s="25"/>
      <c r="AM58" s="18"/>
      <c r="AN58" s="51">
        <v>11</v>
      </c>
      <c r="AO58" s="66">
        <v>271500</v>
      </c>
      <c r="AP58" s="64">
        <f t="shared" si="6"/>
        <v>2986500</v>
      </c>
      <c r="AQ58" s="81">
        <v>32</v>
      </c>
      <c r="AR58" s="82">
        <v>210000</v>
      </c>
      <c r="AS58" s="83">
        <f>AQ58*AR58</f>
        <v>6720000</v>
      </c>
      <c r="AT58" s="81"/>
      <c r="AU58" s="82"/>
      <c r="AV58" s="83"/>
      <c r="AW58" s="81">
        <v>4</v>
      </c>
      <c r="AX58" s="82">
        <v>242500</v>
      </c>
      <c r="AY58" s="83">
        <f t="shared" si="34"/>
        <v>970000</v>
      </c>
      <c r="AZ58" s="81"/>
      <c r="BA58" s="82"/>
      <c r="BB58" s="83"/>
      <c r="BC58" s="81">
        <v>20</v>
      </c>
      <c r="BD58" s="82">
        <v>271500</v>
      </c>
      <c r="BE58" s="83">
        <v>5430000</v>
      </c>
      <c r="BF58" s="81"/>
      <c r="BG58" s="82"/>
      <c r="BH58" s="83"/>
      <c r="BI58" s="102"/>
    </row>
    <row r="59" spans="1:61" s="9" customFormat="1" ht="23.25" customHeight="1" x14ac:dyDescent="0.25">
      <c r="A59" s="15">
        <v>54</v>
      </c>
      <c r="B59" s="26" t="s">
        <v>111</v>
      </c>
      <c r="C59" s="16" t="s">
        <v>113</v>
      </c>
      <c r="D59" s="8">
        <v>140</v>
      </c>
      <c r="E59" s="25">
        <v>38500</v>
      </c>
      <c r="F59" s="18">
        <f>D59*E59*98%</f>
        <v>5282200</v>
      </c>
      <c r="G59" s="10">
        <v>0.02</v>
      </c>
      <c r="H59" s="51">
        <v>611</v>
      </c>
      <c r="I59" s="56">
        <v>55500</v>
      </c>
      <c r="J59" s="52">
        <f>H59*I59</f>
        <v>33910500</v>
      </c>
      <c r="K59" s="8">
        <v>270</v>
      </c>
      <c r="L59" s="25">
        <v>38500</v>
      </c>
      <c r="M59" s="18">
        <f>K59*L59*98%</f>
        <v>10187100</v>
      </c>
      <c r="N59" s="10">
        <v>0.02</v>
      </c>
      <c r="O59" s="51">
        <v>300</v>
      </c>
      <c r="P59" s="56">
        <v>55500</v>
      </c>
      <c r="Q59" s="52">
        <f>O59*P59</f>
        <v>16650000</v>
      </c>
      <c r="R59" s="19">
        <f>50+35+30+40+9+30+40+30+40+30</f>
        <v>334</v>
      </c>
      <c r="S59" s="25">
        <v>38500</v>
      </c>
      <c r="T59" s="2">
        <f>R59*S59*98%</f>
        <v>12601820</v>
      </c>
      <c r="U59" s="10">
        <v>0.02</v>
      </c>
      <c r="V59" s="51">
        <v>654</v>
      </c>
      <c r="W59" s="56">
        <v>55500</v>
      </c>
      <c r="X59" s="52">
        <f>V59*W59</f>
        <v>36297000</v>
      </c>
      <c r="Y59" s="19">
        <v>126</v>
      </c>
      <c r="Z59" s="25">
        <v>38500</v>
      </c>
      <c r="AA59" s="2">
        <f>Y59*Z59</f>
        <v>4851000</v>
      </c>
      <c r="AB59" s="51">
        <v>352</v>
      </c>
      <c r="AC59" s="56">
        <v>55500</v>
      </c>
      <c r="AD59" s="52">
        <f>AB59*AC59</f>
        <v>19536000</v>
      </c>
      <c r="AE59" s="19">
        <v>629</v>
      </c>
      <c r="AF59" s="25">
        <v>42400</v>
      </c>
      <c r="AG59" s="2">
        <f>AE59*AF59</f>
        <v>26669600</v>
      </c>
      <c r="AH59" s="51">
        <v>294</v>
      </c>
      <c r="AI59" s="56">
        <v>55500</v>
      </c>
      <c r="AJ59" s="52">
        <f t="shared" si="33"/>
        <v>16317000</v>
      </c>
      <c r="AK59" s="8">
        <v>305</v>
      </c>
      <c r="AL59" s="25">
        <v>42400</v>
      </c>
      <c r="AM59" s="18">
        <f>AK59*AL59</f>
        <v>12932000</v>
      </c>
      <c r="AN59" s="51">
        <v>400</v>
      </c>
      <c r="AO59" s="66">
        <v>55500</v>
      </c>
      <c r="AP59" s="64">
        <f t="shared" si="6"/>
        <v>22200000</v>
      </c>
      <c r="AQ59" s="81">
        <v>150</v>
      </c>
      <c r="AR59" s="82">
        <v>42400</v>
      </c>
      <c r="AS59" s="83">
        <f>AQ59*AR59</f>
        <v>6360000</v>
      </c>
      <c r="AT59" s="81">
        <v>200</v>
      </c>
      <c r="AU59" s="82">
        <v>42400</v>
      </c>
      <c r="AV59" s="83">
        <f>AT59*AU59</f>
        <v>8480000</v>
      </c>
      <c r="AW59" s="81">
        <f>210+140</f>
        <v>350</v>
      </c>
      <c r="AX59" s="82" t="s">
        <v>142</v>
      </c>
      <c r="AY59" s="83">
        <f>9870000+6930000</f>
        <v>16800000</v>
      </c>
      <c r="AZ59" s="81">
        <v>330</v>
      </c>
      <c r="BA59" s="82">
        <v>55500</v>
      </c>
      <c r="BB59" s="83">
        <f>AZ59*BA59</f>
        <v>18315000</v>
      </c>
      <c r="BC59" s="81">
        <v>399</v>
      </c>
      <c r="BD59" s="82">
        <v>55500</v>
      </c>
      <c r="BE59" s="83">
        <v>22144500</v>
      </c>
      <c r="BF59" s="81">
        <v>440</v>
      </c>
      <c r="BG59" s="82">
        <v>55500</v>
      </c>
      <c r="BH59" s="83">
        <f t="shared" si="7"/>
        <v>24420000</v>
      </c>
      <c r="BI59" s="102"/>
    </row>
    <row r="60" spans="1:61" s="9" customFormat="1" ht="23.25" customHeight="1" x14ac:dyDescent="0.25">
      <c r="A60" s="27">
        <v>55</v>
      </c>
      <c r="B60" s="42" t="s">
        <v>87</v>
      </c>
      <c r="C60" s="40" t="s">
        <v>32</v>
      </c>
      <c r="D60" s="34"/>
      <c r="E60" s="35"/>
      <c r="F60" s="34"/>
      <c r="G60" s="34"/>
      <c r="H60" s="51">
        <v>10</v>
      </c>
      <c r="I60" s="56">
        <v>139500</v>
      </c>
      <c r="J60" s="52">
        <f>H60*I60</f>
        <v>1395000</v>
      </c>
      <c r="K60" s="19"/>
      <c r="L60" s="35"/>
      <c r="M60" s="34"/>
      <c r="N60" s="34"/>
      <c r="O60" s="53"/>
      <c r="P60" s="57"/>
      <c r="Q60" s="53"/>
      <c r="R60" s="19"/>
      <c r="S60" s="35"/>
      <c r="T60" s="34"/>
      <c r="U60" s="34"/>
      <c r="V60" s="53"/>
      <c r="W60" s="57"/>
      <c r="X60" s="53"/>
      <c r="Y60" s="19"/>
      <c r="Z60" s="35"/>
      <c r="AA60" s="34"/>
      <c r="AB60" s="51"/>
      <c r="AC60" s="56"/>
      <c r="AD60" s="52"/>
      <c r="AE60" s="19">
        <v>30</v>
      </c>
      <c r="AF60" s="25">
        <v>105000</v>
      </c>
      <c r="AG60" s="2">
        <f>AE60*AF60</f>
        <v>3150000</v>
      </c>
      <c r="AH60" s="51">
        <v>20</v>
      </c>
      <c r="AI60" s="56">
        <v>139500</v>
      </c>
      <c r="AJ60" s="52">
        <f t="shared" si="33"/>
        <v>2790000</v>
      </c>
      <c r="AK60" s="8"/>
      <c r="AL60" s="25"/>
      <c r="AM60" s="18"/>
      <c r="AN60" s="51">
        <v>20</v>
      </c>
      <c r="AO60" s="66">
        <v>139500</v>
      </c>
      <c r="AP60" s="64">
        <f t="shared" si="6"/>
        <v>2790000</v>
      </c>
      <c r="AQ60" s="85"/>
      <c r="AR60" s="35"/>
      <c r="AS60" s="85"/>
      <c r="AT60" s="81">
        <v>20</v>
      </c>
      <c r="AU60" s="82">
        <v>105000</v>
      </c>
      <c r="AV60" s="83">
        <f>AT60*AU60</f>
        <v>2100000</v>
      </c>
      <c r="AW60" s="81"/>
      <c r="AX60" s="82"/>
      <c r="AY60" s="83"/>
      <c r="AZ60" s="85"/>
      <c r="BA60" s="35"/>
      <c r="BB60" s="85"/>
      <c r="BC60" s="81">
        <v>10</v>
      </c>
      <c r="BD60" s="82">
        <v>139500</v>
      </c>
      <c r="BE60" s="83">
        <v>1395000</v>
      </c>
      <c r="BF60" s="81"/>
      <c r="BG60" s="82"/>
      <c r="BH60" s="83"/>
      <c r="BI60" s="102"/>
    </row>
    <row r="61" spans="1:61" s="9" customFormat="1" ht="23.25" customHeight="1" x14ac:dyDescent="0.25">
      <c r="A61" s="15">
        <v>56</v>
      </c>
      <c r="B61" s="26" t="s">
        <v>99</v>
      </c>
      <c r="C61" s="16" t="s">
        <v>56</v>
      </c>
      <c r="D61" s="34"/>
      <c r="E61" s="35"/>
      <c r="F61" s="34"/>
      <c r="G61" s="34"/>
      <c r="H61" s="51"/>
      <c r="I61" s="56"/>
      <c r="J61" s="52"/>
      <c r="K61" s="19"/>
      <c r="L61" s="35"/>
      <c r="M61" s="34"/>
      <c r="N61" s="34"/>
      <c r="O61" s="53"/>
      <c r="P61" s="57"/>
      <c r="Q61" s="53"/>
      <c r="R61" s="19"/>
      <c r="S61" s="35"/>
      <c r="T61" s="34"/>
      <c r="U61" s="34"/>
      <c r="V61" s="53"/>
      <c r="W61" s="57"/>
      <c r="X61" s="53"/>
      <c r="Y61" s="19"/>
      <c r="Z61" s="35"/>
      <c r="AA61" s="34"/>
      <c r="AB61" s="51"/>
      <c r="AC61" s="56"/>
      <c r="AD61" s="52"/>
      <c r="AE61" s="34"/>
      <c r="AF61" s="32"/>
      <c r="AG61" s="34"/>
      <c r="AH61" s="51"/>
      <c r="AI61" s="56"/>
      <c r="AJ61" s="52"/>
      <c r="AK61" s="8">
        <v>10</v>
      </c>
      <c r="AL61" s="25">
        <v>185000</v>
      </c>
      <c r="AM61" s="18">
        <f>AK61*AL61</f>
        <v>1850000</v>
      </c>
      <c r="AN61" s="51">
        <v>15</v>
      </c>
      <c r="AO61" s="66">
        <v>234500</v>
      </c>
      <c r="AP61" s="64">
        <f t="shared" si="6"/>
        <v>3517500</v>
      </c>
      <c r="AQ61" s="85"/>
      <c r="AR61" s="35"/>
      <c r="AS61" s="85"/>
      <c r="AT61" s="85"/>
      <c r="AU61" s="35"/>
      <c r="AV61" s="85"/>
      <c r="AW61" s="81">
        <f>4+4</f>
        <v>8</v>
      </c>
      <c r="AX61" s="82" t="s">
        <v>143</v>
      </c>
      <c r="AY61" s="83">
        <f>814000+852000</f>
        <v>1666000</v>
      </c>
      <c r="AZ61" s="85"/>
      <c r="BA61" s="35"/>
      <c r="BB61" s="85"/>
      <c r="BC61" s="81">
        <v>10</v>
      </c>
      <c r="BD61" s="82">
        <v>234500</v>
      </c>
      <c r="BE61" s="83">
        <v>2345000</v>
      </c>
      <c r="BF61" s="81">
        <v>10</v>
      </c>
      <c r="BG61" s="82">
        <v>234500</v>
      </c>
      <c r="BH61" s="83">
        <f t="shared" si="7"/>
        <v>2345000</v>
      </c>
      <c r="BI61" s="102"/>
    </row>
    <row r="62" spans="1:61" s="9" customFormat="1" ht="23.25" customHeight="1" x14ac:dyDescent="0.25">
      <c r="A62" s="27">
        <v>57</v>
      </c>
      <c r="B62" s="62" t="s">
        <v>123</v>
      </c>
      <c r="C62" s="63" t="s">
        <v>125</v>
      </c>
      <c r="D62" s="34"/>
      <c r="E62" s="35"/>
      <c r="F62" s="34"/>
      <c r="G62" s="34"/>
      <c r="H62" s="51"/>
      <c r="I62" s="56"/>
      <c r="J62" s="52"/>
      <c r="K62" s="19"/>
      <c r="L62" s="35"/>
      <c r="M62" s="34"/>
      <c r="N62" s="34"/>
      <c r="O62" s="53"/>
      <c r="P62" s="57"/>
      <c r="Q62" s="53"/>
      <c r="R62" s="19"/>
      <c r="S62" s="35"/>
      <c r="T62" s="34"/>
      <c r="U62" s="34"/>
      <c r="V62" s="53"/>
      <c r="W62" s="57"/>
      <c r="X62" s="53"/>
      <c r="Y62" s="19"/>
      <c r="Z62" s="35"/>
      <c r="AA62" s="34"/>
      <c r="AB62" s="51"/>
      <c r="AC62" s="56"/>
      <c r="AD62" s="52"/>
      <c r="AE62" s="34"/>
      <c r="AF62" s="32"/>
      <c r="AG62" s="34"/>
      <c r="AH62" s="51"/>
      <c r="AI62" s="56"/>
      <c r="AJ62" s="52"/>
      <c r="AK62" s="8"/>
      <c r="AL62" s="25"/>
      <c r="AM62" s="18"/>
      <c r="AN62" s="51">
        <v>20</v>
      </c>
      <c r="AO62" s="66">
        <v>165000</v>
      </c>
      <c r="AP62" s="64">
        <f t="shared" si="6"/>
        <v>3300000</v>
      </c>
      <c r="AQ62" s="85"/>
      <c r="AR62" s="35"/>
      <c r="AS62" s="85"/>
      <c r="AT62" s="85"/>
      <c r="AU62" s="35"/>
      <c r="AV62" s="85"/>
      <c r="AW62" s="85"/>
      <c r="AX62" s="35"/>
      <c r="AY62" s="85"/>
      <c r="AZ62" s="86"/>
      <c r="BA62" s="87"/>
      <c r="BB62" s="86"/>
      <c r="BC62" s="85"/>
      <c r="BD62" s="35"/>
      <c r="BE62" s="85"/>
      <c r="BF62" s="85"/>
      <c r="BG62" s="35"/>
      <c r="BH62" s="85"/>
      <c r="BI62" s="102"/>
    </row>
    <row r="63" spans="1:61" ht="23.25" customHeight="1" x14ac:dyDescent="0.25">
      <c r="A63" s="128" t="s">
        <v>0</v>
      </c>
      <c r="B63" s="129"/>
      <c r="C63" s="130"/>
      <c r="D63" s="19">
        <f>SUM(D6:D61)</f>
        <v>5876</v>
      </c>
      <c r="E63" s="32"/>
      <c r="F63" s="43">
        <f>SUM(F6:F61)</f>
        <v>513592550</v>
      </c>
      <c r="G63" s="34"/>
      <c r="H63" s="58">
        <f>SUM(H6:H61)</f>
        <v>4750</v>
      </c>
      <c r="I63" s="59"/>
      <c r="J63" s="60">
        <f>SUM(J6:J61)</f>
        <v>562695000</v>
      </c>
      <c r="K63" s="19">
        <f>SUM(K6:K61)</f>
        <v>3610</v>
      </c>
      <c r="L63" s="44"/>
      <c r="M63" s="45">
        <f>SUM(M6:M61)</f>
        <v>342734190</v>
      </c>
      <c r="N63" s="46"/>
      <c r="O63" s="53">
        <f>SUM(O6:O61)</f>
        <v>3740</v>
      </c>
      <c r="P63" s="61"/>
      <c r="Q63" s="54">
        <f>SUM(Q6:Q61)</f>
        <v>565592000</v>
      </c>
      <c r="R63" s="19">
        <f>SUM(R6:R61)</f>
        <v>3868</v>
      </c>
      <c r="S63" s="44"/>
      <c r="T63" s="47">
        <f>SUM(T6:T61)</f>
        <v>332003520</v>
      </c>
      <c r="U63" s="46"/>
      <c r="V63" s="53">
        <f>SUM(V6:V61)</f>
        <v>5772</v>
      </c>
      <c r="W63" s="61"/>
      <c r="X63" s="54">
        <f>SUM(X6:X61)</f>
        <v>764857000</v>
      </c>
      <c r="Y63" s="19">
        <f>SUM(Y6:Y61)</f>
        <v>2681</v>
      </c>
      <c r="Z63" s="44"/>
      <c r="AA63" s="43">
        <f>SUM(AA6:AA61)</f>
        <v>228694000</v>
      </c>
      <c r="AB63" s="53">
        <f>SUM(AB6:AB61)</f>
        <v>3083</v>
      </c>
      <c r="AC63" s="61"/>
      <c r="AD63" s="54">
        <f>SUM(AD6:AD61)</f>
        <v>378814500</v>
      </c>
      <c r="AE63" s="19">
        <f>SUM(AE6:AE61)</f>
        <v>5880</v>
      </c>
      <c r="AF63" s="32"/>
      <c r="AG63" s="43">
        <f>SUM(AG6:AG61)</f>
        <v>553826100</v>
      </c>
      <c r="AH63" s="53">
        <f>SUM(AH6:AH61)</f>
        <v>2298</v>
      </c>
      <c r="AI63" s="61"/>
      <c r="AJ63" s="53">
        <f>SUM(AJ6:AJ61)</f>
        <v>273347500</v>
      </c>
      <c r="AK63" s="19">
        <f>SUM(AK6:AK61)</f>
        <v>4948</v>
      </c>
      <c r="AL63" s="32"/>
      <c r="AM63" s="45">
        <f>SUM(AM6:AM61)</f>
        <v>476197900</v>
      </c>
      <c r="AN63" s="53">
        <f>SUM(AN6:AN62)</f>
        <v>2810</v>
      </c>
      <c r="AO63" s="68"/>
      <c r="AP63" s="70">
        <f>SUM(AP6:AP62)</f>
        <v>341135500</v>
      </c>
      <c r="AQ63" s="86">
        <f>SUM(AQ6:AQ62)</f>
        <v>1871</v>
      </c>
      <c r="AR63" s="87"/>
      <c r="AS63" s="88">
        <f>SUM(AS6:AS62)</f>
        <v>157707400</v>
      </c>
      <c r="AT63" s="86">
        <f>SUM(AT6:AT62)</f>
        <v>2148</v>
      </c>
      <c r="AU63" s="87"/>
      <c r="AV63" s="88">
        <f>SUM(AV6:AV62)</f>
        <v>218903000</v>
      </c>
      <c r="AW63" s="86">
        <f>SUM(AW6:AW62)</f>
        <v>2310</v>
      </c>
      <c r="AX63" s="87"/>
      <c r="AY63" s="88">
        <f>SUM(AY6:AY62)</f>
        <v>213269000</v>
      </c>
      <c r="AZ63" s="86">
        <f>SUM(AZ6:AZ62)</f>
        <v>3247</v>
      </c>
      <c r="BA63" s="87"/>
      <c r="BB63" s="88">
        <f>SUM(BB6:BB62)</f>
        <v>387174000</v>
      </c>
      <c r="BC63" s="86">
        <f>SUM(BC6:BC62)</f>
        <v>4169</v>
      </c>
      <c r="BD63" s="87"/>
      <c r="BE63" s="88">
        <f>SUM(BE6:BE62)</f>
        <v>503784500</v>
      </c>
      <c r="BF63" s="86">
        <f>SUM(BF6:BF62)</f>
        <v>4654</v>
      </c>
      <c r="BG63" s="87"/>
      <c r="BH63" s="86">
        <f>SUM(BH6:BH62)</f>
        <v>642258000</v>
      </c>
    </row>
    <row r="64" spans="1:61" ht="23.25" customHeight="1" x14ac:dyDescent="0.25">
      <c r="H64" s="29"/>
      <c r="I64" s="31"/>
      <c r="J64" s="29"/>
      <c r="O64" s="6"/>
      <c r="P64" s="14"/>
      <c r="Q64" s="6"/>
      <c r="V64" s="6"/>
      <c r="W64" s="14"/>
      <c r="X64" s="6"/>
      <c r="AB64" s="6"/>
      <c r="AC64" s="14"/>
      <c r="AD64" s="6"/>
      <c r="AH64" s="6"/>
      <c r="AI64" s="14"/>
      <c r="AJ64" s="6"/>
      <c r="AN64" s="6"/>
      <c r="AO64" s="67"/>
      <c r="AP64" s="6"/>
    </row>
    <row r="65" spans="43:60" ht="23.25" customHeight="1" x14ac:dyDescent="0.25">
      <c r="AQ65" s="89"/>
      <c r="AR65" s="90"/>
      <c r="AS65" s="91"/>
    </row>
    <row r="66" spans="43:60" ht="23.25" customHeight="1" x14ac:dyDescent="0.25">
      <c r="AQ66" s="1"/>
      <c r="AR66" s="1"/>
      <c r="AS66" s="1"/>
      <c r="AT66" s="75"/>
      <c r="AU66" s="14"/>
      <c r="AV66" s="75"/>
      <c r="AW66" s="75"/>
      <c r="AX66" s="14"/>
      <c r="AY66" s="75"/>
      <c r="AZ66" s="75"/>
      <c r="BA66" s="14"/>
      <c r="BB66" s="75"/>
      <c r="BC66" s="75"/>
      <c r="BD66" s="14"/>
      <c r="BE66" s="75"/>
      <c r="BF66" s="75"/>
      <c r="BG66" s="14"/>
      <c r="BH66" s="75"/>
    </row>
    <row r="67" spans="43:60" ht="23.25" customHeight="1" x14ac:dyDescent="0.25">
      <c r="AQ67" s="76"/>
      <c r="AR67" s="13"/>
    </row>
    <row r="68" spans="43:60" ht="23.25" customHeight="1" x14ac:dyDescent="0.25">
      <c r="AQ68" s="75"/>
      <c r="AR68" s="14"/>
      <c r="AS68" s="75"/>
      <c r="AT68" s="75"/>
      <c r="AU68" s="14"/>
      <c r="AV68" s="75"/>
      <c r="AW68" s="75"/>
      <c r="AX68" s="14"/>
      <c r="AY68" s="75"/>
      <c r="AZ68" s="75"/>
      <c r="BA68" s="14"/>
      <c r="BB68" s="75"/>
      <c r="BC68" s="75"/>
      <c r="BD68" s="14"/>
      <c r="BE68" s="75"/>
      <c r="BF68" s="75"/>
      <c r="BG68" s="14"/>
      <c r="BH68" s="75"/>
    </row>
    <row r="69" spans="43:60" ht="23.25" customHeight="1" x14ac:dyDescent="0.25">
      <c r="AQ69" s="76"/>
      <c r="AR69" s="13"/>
    </row>
    <row r="70" spans="43:60" ht="23.25" customHeight="1" x14ac:dyDescent="0.25">
      <c r="AQ70" s="84"/>
      <c r="AR70" s="92"/>
      <c r="AS70" s="84"/>
      <c r="AT70" s="84"/>
      <c r="AU70" s="92"/>
      <c r="AV70" s="84"/>
      <c r="AW70" s="84"/>
      <c r="AX70" s="92"/>
      <c r="AY70" s="84"/>
      <c r="AZ70" s="84"/>
      <c r="BA70" s="92"/>
      <c r="BB70" s="84"/>
      <c r="BC70" s="84"/>
      <c r="BD70" s="92"/>
      <c r="BE70" s="84"/>
      <c r="BF70" s="84"/>
      <c r="BG70" s="92"/>
      <c r="BH70" s="84"/>
    </row>
    <row r="71" spans="43:60" ht="23.25" customHeight="1" x14ac:dyDescent="0.25">
      <c r="AQ71" s="84"/>
      <c r="AR71" s="92"/>
      <c r="AS71" s="84"/>
      <c r="AT71" s="84"/>
      <c r="AU71" s="92"/>
      <c r="AV71" s="84"/>
      <c r="AW71" s="84"/>
      <c r="AX71" s="92"/>
      <c r="AY71" s="84"/>
      <c r="AZ71" s="84"/>
      <c r="BA71" s="92"/>
      <c r="BB71" s="84"/>
      <c r="BC71" s="84"/>
      <c r="BD71" s="92"/>
      <c r="BE71" s="84"/>
      <c r="BF71" s="84"/>
      <c r="BG71" s="92"/>
      <c r="BH71" s="84"/>
    </row>
    <row r="72" spans="43:60" ht="23.25" customHeight="1" x14ac:dyDescent="0.25">
      <c r="AQ72" s="84"/>
      <c r="AR72" s="92"/>
      <c r="AS72" s="84"/>
      <c r="AT72" s="84"/>
      <c r="AU72" s="92"/>
      <c r="AV72" s="84"/>
      <c r="AW72" s="84"/>
      <c r="AX72" s="92"/>
      <c r="AY72" s="84"/>
      <c r="AZ72" s="84"/>
      <c r="BA72" s="92"/>
      <c r="BB72" s="84"/>
      <c r="BC72" s="84"/>
      <c r="BD72" s="92"/>
      <c r="BE72" s="84"/>
      <c r="BF72" s="84"/>
      <c r="BG72" s="92"/>
      <c r="BH72" s="84"/>
    </row>
    <row r="73" spans="43:60" ht="23.25" customHeight="1" x14ac:dyDescent="0.25">
      <c r="AQ73" s="84"/>
      <c r="AR73" s="92"/>
      <c r="AS73" s="84"/>
      <c r="AT73" s="84"/>
      <c r="AU73" s="92"/>
      <c r="AV73" s="84"/>
      <c r="AW73" s="84"/>
      <c r="AX73" s="92"/>
      <c r="AY73" s="84"/>
      <c r="AZ73" s="84"/>
      <c r="BA73" s="92"/>
      <c r="BB73" s="84"/>
      <c r="BC73" s="84"/>
      <c r="BD73" s="92"/>
      <c r="BE73" s="84"/>
      <c r="BF73" s="84"/>
      <c r="BG73" s="92"/>
      <c r="BH73" s="84"/>
    </row>
    <row r="74" spans="43:60" ht="23.25" customHeight="1" x14ac:dyDescent="0.25">
      <c r="AQ74" s="84"/>
      <c r="AR74" s="92"/>
      <c r="AS74" s="84"/>
      <c r="AT74" s="84"/>
      <c r="AU74" s="92"/>
      <c r="AV74" s="84"/>
      <c r="AW74" s="84"/>
      <c r="AX74" s="92"/>
      <c r="AY74" s="84"/>
      <c r="AZ74" s="84"/>
      <c r="BA74" s="92"/>
      <c r="BB74" s="84"/>
      <c r="BC74" s="84"/>
      <c r="BD74" s="92"/>
      <c r="BE74" s="84"/>
      <c r="BF74" s="84"/>
      <c r="BG74" s="92"/>
      <c r="BH74" s="84"/>
    </row>
    <row r="75" spans="43:60" ht="23.25" customHeight="1" x14ac:dyDescent="0.25">
      <c r="AQ75" s="84"/>
      <c r="AR75" s="92"/>
      <c r="AS75" s="84"/>
      <c r="AT75" s="84"/>
      <c r="AU75" s="92"/>
      <c r="AV75" s="84"/>
      <c r="AW75" s="84"/>
      <c r="AX75" s="92"/>
      <c r="AY75" s="84"/>
      <c r="AZ75" s="84"/>
      <c r="BA75" s="92"/>
      <c r="BB75" s="84"/>
      <c r="BC75" s="84"/>
      <c r="BD75" s="92"/>
      <c r="BE75" s="84"/>
      <c r="BF75" s="84"/>
      <c r="BG75" s="92"/>
      <c r="BH75" s="84"/>
    </row>
    <row r="76" spans="43:60" ht="23.25" customHeight="1" x14ac:dyDescent="0.25">
      <c r="AQ76" s="84"/>
      <c r="AR76" s="92"/>
      <c r="AS76" s="84"/>
      <c r="AT76" s="84"/>
      <c r="AU76" s="92"/>
      <c r="AV76" s="84"/>
      <c r="AW76" s="84"/>
      <c r="AX76" s="92"/>
      <c r="AY76" s="84"/>
      <c r="AZ76" s="84"/>
      <c r="BA76" s="92"/>
      <c r="BB76" s="84"/>
      <c r="BC76" s="84"/>
      <c r="BD76" s="92"/>
      <c r="BE76" s="84"/>
      <c r="BF76" s="84"/>
      <c r="BG76" s="92"/>
      <c r="BH76" s="84"/>
    </row>
    <row r="77" spans="43:60" ht="23.25" customHeight="1" x14ac:dyDescent="0.25">
      <c r="AQ77" s="84"/>
      <c r="AR77" s="92"/>
      <c r="AS77" s="84"/>
      <c r="AT77" s="84"/>
      <c r="AU77" s="92"/>
      <c r="AV77" s="84"/>
      <c r="AW77" s="84"/>
      <c r="AX77" s="92"/>
      <c r="AY77" s="84"/>
      <c r="AZ77" s="84"/>
      <c r="BA77" s="92"/>
      <c r="BB77" s="84"/>
      <c r="BC77" s="84"/>
      <c r="BD77" s="92"/>
      <c r="BE77" s="84"/>
      <c r="BF77" s="84"/>
      <c r="BG77" s="92"/>
      <c r="BH77" s="84"/>
    </row>
    <row r="78" spans="43:60" ht="23.25" customHeight="1" x14ac:dyDescent="0.25">
      <c r="AQ78" s="84"/>
      <c r="AR78" s="92"/>
      <c r="AS78" s="84"/>
      <c r="AT78" s="84"/>
      <c r="AU78" s="92"/>
      <c r="AV78" s="84"/>
      <c r="AW78" s="84"/>
      <c r="AX78" s="92"/>
      <c r="AY78" s="84"/>
      <c r="AZ78" s="84"/>
      <c r="BA78" s="92"/>
      <c r="BB78" s="84"/>
      <c r="BC78" s="84"/>
      <c r="BD78" s="92"/>
      <c r="BE78" s="84"/>
      <c r="BF78" s="84"/>
      <c r="BG78" s="92"/>
      <c r="BH78" s="84"/>
    </row>
    <row r="79" spans="43:60" ht="23.25" customHeight="1" x14ac:dyDescent="0.25">
      <c r="AQ79" s="84"/>
      <c r="AR79" s="92"/>
      <c r="AS79" s="84"/>
      <c r="AT79" s="84"/>
      <c r="AU79" s="92"/>
      <c r="AV79" s="84"/>
      <c r="AW79" s="84"/>
      <c r="AX79" s="92"/>
      <c r="AY79" s="84"/>
      <c r="AZ79" s="84"/>
      <c r="BA79" s="92"/>
      <c r="BB79" s="84"/>
      <c r="BC79" s="84"/>
      <c r="BD79" s="92"/>
      <c r="BE79" s="84"/>
      <c r="BF79" s="84"/>
      <c r="BG79" s="92"/>
      <c r="BH79" s="84"/>
    </row>
    <row r="80" spans="43:60" ht="23.25" customHeight="1" x14ac:dyDescent="0.25">
      <c r="AQ80" s="84"/>
      <c r="AR80" s="92"/>
      <c r="AS80" s="84"/>
      <c r="AT80" s="84"/>
      <c r="AU80" s="92"/>
      <c r="AV80" s="84"/>
      <c r="AW80" s="84"/>
      <c r="AX80" s="92"/>
      <c r="AY80" s="84"/>
      <c r="AZ80" s="84"/>
      <c r="BA80" s="92"/>
      <c r="BB80" s="84"/>
      <c r="BC80" s="84"/>
      <c r="BD80" s="92"/>
      <c r="BE80" s="84"/>
      <c r="BF80" s="84"/>
      <c r="BG80" s="92"/>
      <c r="BH80" s="84"/>
    </row>
    <row r="81" spans="43:60" ht="23.25" customHeight="1" x14ac:dyDescent="0.25">
      <c r="AQ81" s="84"/>
      <c r="AR81" s="92"/>
      <c r="AS81" s="84"/>
      <c r="AT81" s="84"/>
      <c r="AU81" s="92"/>
      <c r="AV81" s="84"/>
      <c r="AW81" s="84"/>
      <c r="AX81" s="92"/>
      <c r="AY81" s="84"/>
      <c r="AZ81" s="84"/>
      <c r="BA81" s="92"/>
      <c r="BB81" s="84"/>
      <c r="BC81" s="84"/>
      <c r="BD81" s="92"/>
      <c r="BE81" s="84"/>
      <c r="BF81" s="84"/>
      <c r="BG81" s="92"/>
      <c r="BH81" s="84"/>
    </row>
    <row r="82" spans="43:60" ht="23.25" customHeight="1" x14ac:dyDescent="0.25">
      <c r="AQ82" s="84"/>
      <c r="AR82" s="92"/>
      <c r="AS82" s="84"/>
      <c r="AT82" s="84"/>
      <c r="AU82" s="92"/>
      <c r="AV82" s="84"/>
      <c r="AW82" s="84"/>
      <c r="AX82" s="92"/>
      <c r="AY82" s="84"/>
      <c r="AZ82" s="84"/>
      <c r="BA82" s="92"/>
      <c r="BB82" s="84"/>
      <c r="BC82" s="84"/>
      <c r="BD82" s="92"/>
      <c r="BE82" s="84"/>
      <c r="BF82" s="84"/>
      <c r="BG82" s="92"/>
      <c r="BH82" s="84"/>
    </row>
    <row r="83" spans="43:60" ht="23.25" customHeight="1" x14ac:dyDescent="0.25">
      <c r="AQ83" s="84"/>
      <c r="AR83" s="92"/>
      <c r="AS83" s="84"/>
      <c r="AT83" s="84"/>
      <c r="AU83" s="92"/>
      <c r="AV83" s="84"/>
      <c r="AW83" s="84"/>
      <c r="AX83" s="92"/>
      <c r="AY83" s="84"/>
      <c r="AZ83" s="84"/>
      <c r="BA83" s="92"/>
      <c r="BB83" s="84"/>
      <c r="BC83" s="84"/>
      <c r="BD83" s="92"/>
      <c r="BE83" s="84"/>
      <c r="BF83" s="84"/>
      <c r="BG83" s="92"/>
      <c r="BH83" s="84"/>
    </row>
    <row r="84" spans="43:60" ht="23.25" customHeight="1" x14ac:dyDescent="0.25">
      <c r="AQ84" s="84"/>
      <c r="AR84" s="92"/>
      <c r="AS84" s="84"/>
      <c r="AT84" s="84"/>
      <c r="AU84" s="92"/>
      <c r="AV84" s="84"/>
      <c r="AW84" s="84"/>
      <c r="AX84" s="92"/>
      <c r="AY84" s="84"/>
      <c r="AZ84" s="84"/>
      <c r="BA84" s="92"/>
      <c r="BB84" s="84"/>
      <c r="BC84" s="84"/>
      <c r="BD84" s="92"/>
      <c r="BE84" s="84"/>
      <c r="BF84" s="84"/>
      <c r="BG84" s="92"/>
      <c r="BH84" s="84"/>
    </row>
    <row r="85" spans="43:60" ht="23.25" customHeight="1" x14ac:dyDescent="0.25">
      <c r="AQ85" s="84"/>
      <c r="AR85" s="92"/>
      <c r="AS85" s="84"/>
      <c r="AT85" s="84"/>
      <c r="AU85" s="92"/>
      <c r="AV85" s="84"/>
      <c r="AW85" s="84"/>
      <c r="AX85" s="92"/>
      <c r="AY85" s="84"/>
      <c r="AZ85" s="84"/>
      <c r="BA85" s="92"/>
      <c r="BB85" s="84"/>
      <c r="BC85" s="84"/>
      <c r="BD85" s="92"/>
      <c r="BE85" s="84"/>
      <c r="BF85" s="84"/>
      <c r="BG85" s="92"/>
      <c r="BH85" s="84"/>
    </row>
    <row r="86" spans="43:60" ht="23.25" customHeight="1" x14ac:dyDescent="0.25">
      <c r="AQ86" s="84"/>
      <c r="AR86" s="92"/>
      <c r="AS86" s="84"/>
      <c r="AT86" s="84"/>
      <c r="AU86" s="92"/>
      <c r="AV86" s="84"/>
      <c r="AW86" s="84"/>
      <c r="AX86" s="92"/>
      <c r="AY86" s="84"/>
      <c r="AZ86" s="84"/>
      <c r="BA86" s="92"/>
      <c r="BB86" s="84"/>
      <c r="BC86" s="84"/>
      <c r="BD86" s="92"/>
      <c r="BE86" s="84"/>
      <c r="BF86" s="84"/>
      <c r="BG86" s="92"/>
      <c r="BH86" s="84"/>
    </row>
    <row r="87" spans="43:60" ht="23.25" customHeight="1" x14ac:dyDescent="0.25">
      <c r="AQ87" s="84"/>
      <c r="AR87" s="92"/>
      <c r="AS87" s="84"/>
      <c r="AT87" s="84"/>
      <c r="AU87" s="92"/>
      <c r="AV87" s="84"/>
      <c r="AW87" s="84"/>
      <c r="AX87" s="92"/>
      <c r="AY87" s="84"/>
      <c r="AZ87" s="84"/>
      <c r="BA87" s="92"/>
      <c r="BB87" s="84"/>
      <c r="BC87" s="84"/>
      <c r="BD87" s="92"/>
      <c r="BE87" s="84"/>
      <c r="BF87" s="84"/>
      <c r="BG87" s="92"/>
      <c r="BH87" s="84"/>
    </row>
    <row r="88" spans="43:60" ht="23.25" customHeight="1" x14ac:dyDescent="0.25">
      <c r="AQ88" s="84"/>
      <c r="AR88" s="92"/>
      <c r="AS88" s="84"/>
      <c r="AT88" s="84"/>
      <c r="AU88" s="92"/>
      <c r="AV88" s="84"/>
      <c r="AW88" s="84"/>
      <c r="AX88" s="92"/>
      <c r="AY88" s="84"/>
      <c r="AZ88" s="84"/>
      <c r="BA88" s="92"/>
      <c r="BB88" s="84"/>
      <c r="BC88" s="84"/>
      <c r="BD88" s="92"/>
      <c r="BE88" s="84"/>
      <c r="BF88" s="84"/>
      <c r="BG88" s="92"/>
      <c r="BH88" s="84"/>
    </row>
    <row r="89" spans="43:60" ht="23.25" customHeight="1" x14ac:dyDescent="0.25">
      <c r="AQ89" s="84"/>
      <c r="AR89" s="92"/>
      <c r="AS89" s="84"/>
      <c r="AT89" s="84"/>
      <c r="AU89" s="92"/>
      <c r="AV89" s="84"/>
      <c r="AW89" s="84"/>
      <c r="AX89" s="92"/>
      <c r="AY89" s="84"/>
      <c r="AZ89" s="84"/>
      <c r="BA89" s="92"/>
      <c r="BB89" s="84"/>
      <c r="BC89" s="84"/>
      <c r="BD89" s="92"/>
      <c r="BE89" s="84"/>
      <c r="BF89" s="84"/>
      <c r="BG89" s="92"/>
      <c r="BH89" s="84"/>
    </row>
    <row r="90" spans="43:60" ht="23.25" customHeight="1" x14ac:dyDescent="0.25">
      <c r="AQ90" s="84"/>
      <c r="AR90" s="92"/>
      <c r="AS90" s="84"/>
      <c r="AT90" s="84"/>
      <c r="AU90" s="92"/>
      <c r="AV90" s="84"/>
      <c r="AW90" s="84"/>
      <c r="AX90" s="92"/>
      <c r="AY90" s="84"/>
      <c r="AZ90" s="84"/>
      <c r="BA90" s="92"/>
      <c r="BB90" s="84"/>
      <c r="BC90" s="84"/>
      <c r="BD90" s="92"/>
      <c r="BE90" s="84"/>
      <c r="BF90" s="84"/>
      <c r="BG90" s="92"/>
      <c r="BH90" s="84"/>
    </row>
    <row r="91" spans="43:60" ht="23.25" customHeight="1" x14ac:dyDescent="0.25">
      <c r="AQ91" s="84"/>
      <c r="AR91" s="92"/>
      <c r="AS91" s="84"/>
      <c r="AT91" s="84"/>
      <c r="AU91" s="92"/>
      <c r="AV91" s="84"/>
      <c r="AW91" s="84"/>
      <c r="AX91" s="92"/>
      <c r="AY91" s="84"/>
      <c r="AZ91" s="84"/>
      <c r="BA91" s="92"/>
      <c r="BB91" s="84"/>
      <c r="BC91" s="84"/>
      <c r="BD91" s="92"/>
      <c r="BE91" s="84"/>
      <c r="BF91" s="84"/>
      <c r="BG91" s="92"/>
      <c r="BH91" s="84"/>
    </row>
    <row r="92" spans="43:60" ht="23.25" customHeight="1" x14ac:dyDescent="0.25">
      <c r="AQ92" s="84"/>
      <c r="AR92" s="92"/>
      <c r="AS92" s="84"/>
      <c r="AT92" s="84"/>
      <c r="AU92" s="92"/>
      <c r="AV92" s="84"/>
      <c r="AW92" s="84"/>
      <c r="AX92" s="92"/>
      <c r="AY92" s="84"/>
      <c r="AZ92" s="84"/>
      <c r="BA92" s="92"/>
      <c r="BB92" s="84"/>
      <c r="BC92" s="84"/>
      <c r="BD92" s="92"/>
      <c r="BE92" s="84"/>
      <c r="BF92" s="84"/>
      <c r="BG92" s="92"/>
      <c r="BH92" s="84"/>
    </row>
    <row r="93" spans="43:60" ht="23.25" customHeight="1" x14ac:dyDescent="0.25">
      <c r="AQ93" s="84"/>
      <c r="AR93" s="92"/>
      <c r="AS93" s="84"/>
      <c r="AT93" s="84"/>
      <c r="AU93" s="92"/>
      <c r="AV93" s="84"/>
      <c r="AW93" s="84"/>
      <c r="AX93" s="92"/>
      <c r="AY93" s="84"/>
      <c r="AZ93" s="84"/>
      <c r="BA93" s="92"/>
      <c r="BB93" s="84"/>
      <c r="BC93" s="84"/>
      <c r="BD93" s="92"/>
      <c r="BE93" s="84"/>
      <c r="BF93" s="84"/>
      <c r="BG93" s="92"/>
      <c r="BH93" s="84"/>
    </row>
    <row r="94" spans="43:60" ht="23.25" customHeight="1" x14ac:dyDescent="0.25">
      <c r="AQ94" s="84"/>
      <c r="AR94" s="92"/>
      <c r="AS94" s="84"/>
      <c r="AT94" s="84"/>
      <c r="AU94" s="92"/>
      <c r="AV94" s="84"/>
      <c r="AW94" s="84"/>
      <c r="AX94" s="92"/>
      <c r="AY94" s="84"/>
      <c r="AZ94" s="84"/>
      <c r="BA94" s="92"/>
      <c r="BB94" s="84"/>
      <c r="BC94" s="84"/>
      <c r="BD94" s="92"/>
      <c r="BE94" s="84"/>
      <c r="BF94" s="84"/>
      <c r="BG94" s="92"/>
      <c r="BH94" s="84"/>
    </row>
    <row r="95" spans="43:60" ht="23.25" customHeight="1" x14ac:dyDescent="0.25">
      <c r="AQ95" s="84"/>
      <c r="AR95" s="92"/>
      <c r="AS95" s="84"/>
      <c r="AT95" s="84"/>
      <c r="AU95" s="92"/>
      <c r="AV95" s="84"/>
      <c r="AW95" s="84"/>
      <c r="AX95" s="92"/>
      <c r="AY95" s="84"/>
      <c r="AZ95" s="84"/>
      <c r="BA95" s="92"/>
      <c r="BB95" s="84"/>
      <c r="BC95" s="84"/>
      <c r="BD95" s="92"/>
      <c r="BE95" s="84"/>
      <c r="BF95" s="84"/>
      <c r="BG95" s="92"/>
      <c r="BH95" s="84"/>
    </row>
    <row r="96" spans="43:60" ht="23.25" customHeight="1" x14ac:dyDescent="0.25">
      <c r="AQ96" s="84"/>
      <c r="AR96" s="92"/>
      <c r="AS96" s="84"/>
      <c r="AT96" s="84"/>
      <c r="AU96" s="92"/>
      <c r="AV96" s="84"/>
      <c r="AW96" s="84"/>
      <c r="AX96" s="92"/>
      <c r="AY96" s="84"/>
      <c r="AZ96" s="84"/>
      <c r="BA96" s="92"/>
      <c r="BB96" s="84"/>
      <c r="BC96" s="84"/>
      <c r="BD96" s="92"/>
      <c r="BE96" s="84"/>
      <c r="BF96" s="84"/>
      <c r="BG96" s="92"/>
      <c r="BH96" s="84"/>
    </row>
    <row r="97" spans="43:60" ht="23.25" customHeight="1" x14ac:dyDescent="0.25">
      <c r="AQ97" s="84"/>
      <c r="AR97" s="92"/>
      <c r="AS97" s="84"/>
      <c r="AT97" s="84"/>
      <c r="AU97" s="92"/>
      <c r="AV97" s="84"/>
      <c r="AW97" s="84"/>
      <c r="AX97" s="92"/>
      <c r="AY97" s="84"/>
      <c r="AZ97" s="84"/>
      <c r="BA97" s="92"/>
      <c r="BB97" s="84"/>
      <c r="BC97" s="84"/>
      <c r="BD97" s="92"/>
      <c r="BE97" s="84"/>
      <c r="BF97" s="84"/>
      <c r="BG97" s="92"/>
      <c r="BH97" s="84"/>
    </row>
    <row r="98" spans="43:60" ht="23.25" customHeight="1" x14ac:dyDescent="0.25">
      <c r="AQ98" s="84"/>
      <c r="AR98" s="92"/>
      <c r="AS98" s="84"/>
      <c r="AT98" s="84"/>
      <c r="AU98" s="92"/>
      <c r="AV98" s="84"/>
      <c r="AW98" s="84"/>
      <c r="AX98" s="92"/>
      <c r="AY98" s="84"/>
      <c r="AZ98" s="84"/>
      <c r="BA98" s="92"/>
      <c r="BB98" s="84"/>
      <c r="BC98" s="84"/>
      <c r="BD98" s="92"/>
      <c r="BE98" s="84"/>
      <c r="BF98" s="84"/>
      <c r="BG98" s="92"/>
      <c r="BH98" s="84"/>
    </row>
    <row r="99" spans="43:60" ht="23.25" customHeight="1" x14ac:dyDescent="0.25">
      <c r="AQ99" s="84"/>
      <c r="AR99" s="92"/>
      <c r="AS99" s="84"/>
      <c r="AT99" s="84"/>
      <c r="AU99" s="92"/>
      <c r="AV99" s="84"/>
      <c r="AW99" s="84"/>
      <c r="AX99" s="92"/>
      <c r="AY99" s="84"/>
      <c r="AZ99" s="84"/>
      <c r="BA99" s="92"/>
      <c r="BB99" s="84"/>
      <c r="BC99" s="84"/>
      <c r="BD99" s="92"/>
      <c r="BE99" s="84"/>
      <c r="BF99" s="84"/>
      <c r="BG99" s="92"/>
      <c r="BH99" s="84"/>
    </row>
    <row r="100" spans="43:60" ht="23.25" customHeight="1" x14ac:dyDescent="0.25">
      <c r="AQ100" s="84"/>
      <c r="AR100" s="92"/>
      <c r="AS100" s="84"/>
      <c r="AT100" s="84"/>
      <c r="AU100" s="92"/>
      <c r="AV100" s="84"/>
      <c r="AW100" s="84"/>
      <c r="AX100" s="92"/>
      <c r="AY100" s="84"/>
      <c r="AZ100" s="84"/>
      <c r="BA100" s="92"/>
      <c r="BB100" s="84"/>
      <c r="BC100" s="84"/>
      <c r="BD100" s="92"/>
      <c r="BE100" s="84"/>
      <c r="BF100" s="84"/>
      <c r="BG100" s="92"/>
      <c r="BH100" s="84"/>
    </row>
    <row r="101" spans="43:60" ht="23.25" customHeight="1" x14ac:dyDescent="0.25">
      <c r="AQ101" s="84"/>
      <c r="AR101" s="92"/>
      <c r="AS101" s="84"/>
      <c r="AT101" s="84"/>
      <c r="AU101" s="92"/>
      <c r="AV101" s="84"/>
      <c r="AW101" s="84"/>
      <c r="AX101" s="92"/>
      <c r="AY101" s="84"/>
      <c r="AZ101" s="84"/>
      <c r="BA101" s="92"/>
      <c r="BB101" s="84"/>
      <c r="BC101" s="84"/>
      <c r="BD101" s="92"/>
      <c r="BE101" s="84"/>
      <c r="BF101" s="84"/>
      <c r="BG101" s="92"/>
      <c r="BH101" s="84"/>
    </row>
    <row r="102" spans="43:60" ht="23.25" customHeight="1" x14ac:dyDescent="0.25">
      <c r="AQ102" s="84"/>
      <c r="AR102" s="92"/>
      <c r="AS102" s="84"/>
      <c r="AT102" s="84"/>
      <c r="AU102" s="92"/>
      <c r="AV102" s="84"/>
      <c r="AW102" s="84"/>
      <c r="AX102" s="92"/>
      <c r="AY102" s="84"/>
      <c r="AZ102" s="84"/>
      <c r="BA102" s="92"/>
      <c r="BB102" s="84"/>
      <c r="BC102" s="84"/>
      <c r="BD102" s="92"/>
      <c r="BE102" s="84"/>
      <c r="BF102" s="84"/>
      <c r="BG102" s="92"/>
      <c r="BH102" s="84"/>
    </row>
    <row r="103" spans="43:60" ht="23.25" customHeight="1" x14ac:dyDescent="0.25">
      <c r="AQ103" s="84"/>
      <c r="AR103" s="92"/>
      <c r="AS103" s="84"/>
      <c r="AT103" s="84"/>
      <c r="AU103" s="92"/>
      <c r="AV103" s="84"/>
      <c r="AW103" s="84"/>
      <c r="AX103" s="92"/>
      <c r="AY103" s="84"/>
      <c r="AZ103" s="84"/>
      <c r="BA103" s="92"/>
      <c r="BB103" s="84"/>
      <c r="BC103" s="84"/>
      <c r="BD103" s="92"/>
      <c r="BE103" s="84"/>
      <c r="BF103" s="84"/>
      <c r="BG103" s="92"/>
      <c r="BH103" s="84"/>
    </row>
    <row r="104" spans="43:60" ht="23.25" customHeight="1" x14ac:dyDescent="0.25">
      <c r="AQ104" s="84"/>
      <c r="AR104" s="92"/>
      <c r="AS104" s="84"/>
      <c r="AT104" s="84"/>
      <c r="AU104" s="92"/>
      <c r="AV104" s="84"/>
      <c r="AW104" s="84"/>
      <c r="AX104" s="92"/>
      <c r="AY104" s="84"/>
      <c r="AZ104" s="84"/>
      <c r="BA104" s="92"/>
      <c r="BB104" s="84"/>
      <c r="BC104" s="84"/>
      <c r="BD104" s="92"/>
      <c r="BE104" s="84"/>
      <c r="BF104" s="84"/>
      <c r="BG104" s="92"/>
      <c r="BH104" s="84"/>
    </row>
    <row r="105" spans="43:60" ht="23.25" customHeight="1" x14ac:dyDescent="0.25">
      <c r="AQ105" s="84"/>
      <c r="AR105" s="92"/>
      <c r="AS105" s="84"/>
      <c r="AT105" s="84"/>
      <c r="AU105" s="92"/>
      <c r="AV105" s="84"/>
      <c r="AW105" s="84"/>
      <c r="AX105" s="92"/>
      <c r="AY105" s="84"/>
      <c r="AZ105" s="84"/>
      <c r="BA105" s="92"/>
      <c r="BB105" s="84"/>
      <c r="BC105" s="84"/>
      <c r="BD105" s="92"/>
      <c r="BE105" s="84"/>
      <c r="BF105" s="84"/>
      <c r="BG105" s="92"/>
      <c r="BH105" s="84"/>
    </row>
    <row r="106" spans="43:60" ht="23.25" customHeight="1" x14ac:dyDescent="0.25">
      <c r="AQ106" s="84"/>
      <c r="AR106" s="92"/>
      <c r="AS106" s="84"/>
      <c r="AT106" s="84"/>
      <c r="AU106" s="92"/>
      <c r="AV106" s="84"/>
      <c r="AW106" s="84"/>
      <c r="AX106" s="92"/>
      <c r="AY106" s="84"/>
      <c r="AZ106" s="84"/>
      <c r="BA106" s="92"/>
      <c r="BB106" s="84"/>
      <c r="BC106" s="84"/>
      <c r="BD106" s="92"/>
      <c r="BE106" s="84"/>
      <c r="BF106" s="84"/>
      <c r="BG106" s="92"/>
      <c r="BH106" s="84"/>
    </row>
    <row r="107" spans="43:60" ht="23.25" customHeight="1" x14ac:dyDescent="0.25">
      <c r="AQ107" s="84"/>
      <c r="AR107" s="92"/>
      <c r="AS107" s="84"/>
      <c r="AT107" s="84"/>
      <c r="AU107" s="92"/>
      <c r="AV107" s="84"/>
      <c r="AW107" s="84"/>
      <c r="AX107" s="92"/>
      <c r="AY107" s="84"/>
      <c r="AZ107" s="84"/>
      <c r="BA107" s="92"/>
      <c r="BB107" s="84"/>
      <c r="BC107" s="84"/>
      <c r="BD107" s="92"/>
      <c r="BE107" s="84"/>
      <c r="BF107" s="84"/>
      <c r="BG107" s="92"/>
      <c r="BH107" s="84"/>
    </row>
    <row r="108" spans="43:60" ht="23.25" customHeight="1" x14ac:dyDescent="0.25">
      <c r="AQ108" s="84"/>
      <c r="AR108" s="92"/>
      <c r="AS108" s="84"/>
      <c r="AT108" s="84"/>
      <c r="AU108" s="92"/>
      <c r="AV108" s="84"/>
      <c r="AW108" s="84"/>
      <c r="AX108" s="92"/>
      <c r="AY108" s="84"/>
      <c r="AZ108" s="84"/>
      <c r="BA108" s="92"/>
      <c r="BB108" s="84"/>
      <c r="BC108" s="84"/>
      <c r="BD108" s="92"/>
      <c r="BE108" s="84"/>
      <c r="BF108" s="84"/>
      <c r="BG108" s="92"/>
      <c r="BH108" s="84"/>
    </row>
    <row r="109" spans="43:60" ht="23.25" customHeight="1" x14ac:dyDescent="0.25">
      <c r="AQ109" s="84"/>
      <c r="AR109" s="92"/>
      <c r="AS109" s="84"/>
      <c r="AT109" s="84"/>
      <c r="AU109" s="92"/>
      <c r="AV109" s="84"/>
      <c r="AW109" s="84"/>
      <c r="AX109" s="92"/>
      <c r="AY109" s="84"/>
      <c r="AZ109" s="84"/>
      <c r="BA109" s="92"/>
      <c r="BB109" s="84"/>
      <c r="BC109" s="84"/>
      <c r="BD109" s="92"/>
      <c r="BE109" s="84"/>
      <c r="BF109" s="84"/>
      <c r="BG109" s="92"/>
      <c r="BH109" s="84"/>
    </row>
    <row r="110" spans="43:60" ht="23.25" customHeight="1" x14ac:dyDescent="0.25">
      <c r="AQ110" s="84"/>
      <c r="AR110" s="92"/>
      <c r="AS110" s="84"/>
      <c r="AT110" s="84"/>
      <c r="AU110" s="92"/>
      <c r="AV110" s="84"/>
      <c r="AW110" s="84"/>
      <c r="AX110" s="92"/>
      <c r="AY110" s="84"/>
      <c r="AZ110" s="84"/>
      <c r="BA110" s="92"/>
      <c r="BB110" s="84"/>
      <c r="BC110" s="84"/>
      <c r="BD110" s="92"/>
      <c r="BE110" s="84"/>
      <c r="BF110" s="84"/>
      <c r="BG110" s="92"/>
      <c r="BH110" s="84"/>
    </row>
    <row r="111" spans="43:60" ht="23.25" customHeight="1" x14ac:dyDescent="0.25">
      <c r="AQ111" s="84"/>
      <c r="AR111" s="92"/>
      <c r="AS111" s="84"/>
      <c r="AT111" s="84"/>
      <c r="AU111" s="92"/>
      <c r="AV111" s="84"/>
      <c r="AW111" s="84"/>
      <c r="AX111" s="92"/>
      <c r="AY111" s="84"/>
      <c r="AZ111" s="84"/>
      <c r="BA111" s="92"/>
      <c r="BB111" s="84"/>
      <c r="BC111" s="84"/>
      <c r="BD111" s="92"/>
      <c r="BE111" s="84"/>
      <c r="BF111" s="84"/>
      <c r="BG111" s="92"/>
      <c r="BH111" s="84"/>
    </row>
    <row r="112" spans="43:60" ht="23.25" customHeight="1" x14ac:dyDescent="0.25">
      <c r="AQ112" s="84"/>
      <c r="AR112" s="92"/>
      <c r="AS112" s="84"/>
      <c r="AT112" s="84"/>
      <c r="AU112" s="92"/>
      <c r="AV112" s="84"/>
      <c r="AW112" s="84"/>
      <c r="AX112" s="92"/>
      <c r="AY112" s="84"/>
      <c r="AZ112" s="84"/>
      <c r="BA112" s="92"/>
      <c r="BB112" s="84"/>
      <c r="BC112" s="84"/>
      <c r="BD112" s="92"/>
      <c r="BE112" s="84"/>
      <c r="BF112" s="84"/>
      <c r="BG112" s="92"/>
      <c r="BH112" s="84"/>
    </row>
    <row r="113" spans="43:60" ht="23.25" customHeight="1" x14ac:dyDescent="0.25">
      <c r="AQ113" s="84"/>
      <c r="AR113" s="92"/>
      <c r="AS113" s="84"/>
      <c r="AT113" s="84"/>
      <c r="AU113" s="92"/>
      <c r="AV113" s="84"/>
      <c r="AW113" s="84"/>
      <c r="AX113" s="92"/>
      <c r="AY113" s="84"/>
      <c r="AZ113" s="84"/>
      <c r="BA113" s="92"/>
      <c r="BB113" s="84"/>
      <c r="BC113" s="84"/>
      <c r="BD113" s="92"/>
      <c r="BE113" s="84"/>
      <c r="BF113" s="84"/>
      <c r="BG113" s="92"/>
      <c r="BH113" s="84"/>
    </row>
    <row r="114" spans="43:60" ht="23.25" customHeight="1" x14ac:dyDescent="0.25">
      <c r="AQ114" s="84"/>
      <c r="AR114" s="92"/>
      <c r="AS114" s="84"/>
      <c r="AT114" s="84"/>
      <c r="AU114" s="92"/>
      <c r="AV114" s="84"/>
      <c r="AW114" s="84"/>
      <c r="AX114" s="92"/>
      <c r="AY114" s="84"/>
      <c r="AZ114" s="84"/>
      <c r="BA114" s="92"/>
      <c r="BB114" s="84"/>
      <c r="BC114" s="84"/>
      <c r="BD114" s="92"/>
      <c r="BE114" s="84"/>
      <c r="BF114" s="84"/>
      <c r="BG114" s="92"/>
      <c r="BH114" s="84"/>
    </row>
    <row r="115" spans="43:60" ht="23.25" customHeight="1" x14ac:dyDescent="0.25">
      <c r="AQ115" s="84"/>
      <c r="AR115" s="92"/>
      <c r="AS115" s="84"/>
      <c r="AT115" s="84"/>
      <c r="AU115" s="92"/>
      <c r="AV115" s="84"/>
      <c r="AW115" s="84"/>
      <c r="AX115" s="92"/>
      <c r="AY115" s="84"/>
      <c r="AZ115" s="84"/>
      <c r="BA115" s="92"/>
      <c r="BB115" s="84"/>
      <c r="BC115" s="84"/>
      <c r="BD115" s="92"/>
      <c r="BE115" s="84"/>
      <c r="BF115" s="84"/>
      <c r="BG115" s="92"/>
      <c r="BH115" s="84"/>
    </row>
    <row r="116" spans="43:60" ht="23.25" customHeight="1" x14ac:dyDescent="0.25">
      <c r="AQ116" s="84"/>
      <c r="AR116" s="92"/>
      <c r="AS116" s="84"/>
      <c r="AT116" s="84"/>
      <c r="AU116" s="92"/>
      <c r="AV116" s="84"/>
      <c r="AW116" s="84"/>
      <c r="AX116" s="92"/>
      <c r="AY116" s="84"/>
      <c r="AZ116" s="84"/>
      <c r="BA116" s="92"/>
      <c r="BB116" s="84"/>
      <c r="BC116" s="84"/>
      <c r="BD116" s="92"/>
      <c r="BE116" s="84"/>
      <c r="BF116" s="84"/>
      <c r="BG116" s="92"/>
      <c r="BH116" s="84"/>
    </row>
    <row r="117" spans="43:60" ht="23.25" customHeight="1" x14ac:dyDescent="0.25">
      <c r="AQ117" s="84"/>
      <c r="AR117" s="92"/>
      <c r="AS117" s="84"/>
      <c r="AT117" s="84"/>
      <c r="AU117" s="92"/>
      <c r="AV117" s="84"/>
      <c r="AW117" s="84"/>
      <c r="AX117" s="92"/>
      <c r="AY117" s="84"/>
      <c r="AZ117" s="84"/>
      <c r="BA117" s="92"/>
      <c r="BB117" s="84"/>
      <c r="BC117" s="84"/>
      <c r="BD117" s="92"/>
      <c r="BE117" s="84"/>
      <c r="BF117" s="84"/>
      <c r="BG117" s="92"/>
      <c r="BH117" s="84"/>
    </row>
    <row r="118" spans="43:60" ht="23.25" customHeight="1" x14ac:dyDescent="0.25">
      <c r="AQ118" s="84"/>
      <c r="AR118" s="92"/>
      <c r="AS118" s="84"/>
      <c r="AT118" s="84"/>
      <c r="AU118" s="92"/>
      <c r="AV118" s="84"/>
      <c r="AW118" s="84"/>
      <c r="AX118" s="92"/>
      <c r="AY118" s="84"/>
      <c r="AZ118" s="84"/>
      <c r="BA118" s="92"/>
      <c r="BB118" s="84"/>
      <c r="BC118" s="84"/>
      <c r="BD118" s="92"/>
      <c r="BE118" s="84"/>
      <c r="BF118" s="84"/>
      <c r="BG118" s="92"/>
      <c r="BH118" s="84"/>
    </row>
    <row r="119" spans="43:60" ht="23.25" customHeight="1" x14ac:dyDescent="0.25">
      <c r="AQ119" s="84"/>
      <c r="AR119" s="92"/>
      <c r="AS119" s="84"/>
      <c r="AT119" s="84"/>
      <c r="AU119" s="92"/>
      <c r="AV119" s="84"/>
      <c r="AW119" s="84"/>
      <c r="AX119" s="92"/>
      <c r="AY119" s="84"/>
      <c r="AZ119" s="84"/>
      <c r="BA119" s="92"/>
      <c r="BB119" s="84"/>
      <c r="BC119" s="84"/>
      <c r="BD119" s="92"/>
      <c r="BE119" s="84"/>
      <c r="BF119" s="84"/>
      <c r="BG119" s="92"/>
      <c r="BH119" s="84"/>
    </row>
    <row r="120" spans="43:60" ht="23.25" customHeight="1" x14ac:dyDescent="0.25">
      <c r="AQ120" s="84"/>
      <c r="AR120" s="92"/>
      <c r="AS120" s="84"/>
      <c r="AT120" s="84"/>
      <c r="AU120" s="92"/>
      <c r="AV120" s="84"/>
      <c r="AW120" s="84"/>
      <c r="AX120" s="92"/>
      <c r="AY120" s="84"/>
      <c r="AZ120" s="84"/>
      <c r="BA120" s="92"/>
      <c r="BB120" s="84"/>
      <c r="BC120" s="84"/>
      <c r="BD120" s="92"/>
      <c r="BE120" s="84"/>
      <c r="BF120" s="84"/>
      <c r="BG120" s="92"/>
      <c r="BH120" s="84"/>
    </row>
    <row r="121" spans="43:60" ht="23.25" customHeight="1" x14ac:dyDescent="0.25">
      <c r="AQ121" s="84"/>
      <c r="AR121" s="92"/>
      <c r="AS121" s="84"/>
      <c r="AT121" s="84"/>
      <c r="AU121" s="92"/>
      <c r="AV121" s="84"/>
      <c r="AW121" s="84"/>
      <c r="AX121" s="92"/>
      <c r="AY121" s="84"/>
      <c r="AZ121" s="84"/>
      <c r="BA121" s="92"/>
      <c r="BB121" s="84"/>
      <c r="BC121" s="84"/>
      <c r="BD121" s="92"/>
      <c r="BE121" s="84"/>
      <c r="BF121" s="84"/>
      <c r="BG121" s="92"/>
      <c r="BH121" s="84"/>
    </row>
    <row r="122" spans="43:60" ht="23.25" customHeight="1" x14ac:dyDescent="0.25">
      <c r="AQ122" s="84"/>
      <c r="AR122" s="92"/>
      <c r="AS122" s="84"/>
      <c r="AT122" s="84"/>
      <c r="AU122" s="92"/>
      <c r="AV122" s="84"/>
      <c r="AW122" s="84"/>
      <c r="AX122" s="92"/>
      <c r="AY122" s="84"/>
      <c r="AZ122" s="84"/>
      <c r="BA122" s="92"/>
      <c r="BB122" s="84"/>
      <c r="BC122" s="84"/>
      <c r="BD122" s="92"/>
      <c r="BE122" s="84"/>
      <c r="BF122" s="84"/>
      <c r="BG122" s="92"/>
      <c r="BH122" s="84"/>
    </row>
    <row r="123" spans="43:60" ht="23.25" customHeight="1" x14ac:dyDescent="0.25">
      <c r="AQ123" s="84"/>
      <c r="AR123" s="92"/>
      <c r="AS123" s="84"/>
      <c r="AT123" s="84"/>
      <c r="AU123" s="92"/>
      <c r="AV123" s="84"/>
      <c r="AW123" s="84"/>
      <c r="AX123" s="92"/>
      <c r="AY123" s="84"/>
      <c r="AZ123" s="84"/>
      <c r="BA123" s="92"/>
      <c r="BB123" s="84"/>
      <c r="BC123" s="84"/>
      <c r="BD123" s="92"/>
      <c r="BE123" s="84"/>
      <c r="BF123" s="84"/>
      <c r="BG123" s="92"/>
      <c r="BH123" s="84"/>
    </row>
    <row r="124" spans="43:60" ht="23.25" customHeight="1" x14ac:dyDescent="0.25">
      <c r="AQ124" s="84"/>
      <c r="AR124" s="92"/>
      <c r="AS124" s="84"/>
      <c r="AT124" s="84"/>
      <c r="AU124" s="92"/>
      <c r="AV124" s="84"/>
      <c r="AW124" s="84"/>
      <c r="AX124" s="92"/>
      <c r="AY124" s="84"/>
      <c r="AZ124" s="84"/>
      <c r="BA124" s="92"/>
      <c r="BB124" s="84"/>
      <c r="BC124" s="84"/>
      <c r="BD124" s="92"/>
      <c r="BE124" s="84"/>
      <c r="BF124" s="84"/>
      <c r="BG124" s="92"/>
      <c r="BH124" s="84"/>
    </row>
    <row r="125" spans="43:60" ht="23.25" customHeight="1" x14ac:dyDescent="0.25">
      <c r="AQ125" s="93">
        <f>SUM(BF7:BF61)</f>
        <v>4654</v>
      </c>
      <c r="AR125" s="94"/>
      <c r="AS125" s="95">
        <f>SUM(BH7:BH61)</f>
        <v>642258000</v>
      </c>
    </row>
    <row r="126" spans="43:60" ht="23.25" customHeight="1" x14ac:dyDescent="0.25">
      <c r="AQ126" s="96"/>
      <c r="AS126" s="98"/>
    </row>
  </sheetData>
  <sortState ref="A66:G105">
    <sortCondition ref="B66:B105"/>
  </sortState>
  <mergeCells count="23">
    <mergeCell ref="AH4:AJ4"/>
    <mergeCell ref="A2:AP2"/>
    <mergeCell ref="AN4:AP4"/>
    <mergeCell ref="H4:J4"/>
    <mergeCell ref="O4:Q4"/>
    <mergeCell ref="V4:X4"/>
    <mergeCell ref="AB4:AD4"/>
    <mergeCell ref="AE4:AG4"/>
    <mergeCell ref="AK4:AM4"/>
    <mergeCell ref="Y4:AA4"/>
    <mergeCell ref="A63:C63"/>
    <mergeCell ref="R4:U4"/>
    <mergeCell ref="D4:G4"/>
    <mergeCell ref="C4:C5"/>
    <mergeCell ref="A4:A5"/>
    <mergeCell ref="B4:B5"/>
    <mergeCell ref="K4:N4"/>
    <mergeCell ref="BF4:BH4"/>
    <mergeCell ref="AQ4:AS4"/>
    <mergeCell ref="AT4:AV4"/>
    <mergeCell ref="AW4:AY4"/>
    <mergeCell ref="AZ4:BB4"/>
    <mergeCell ref="BC4:BE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24"/>
  <sheetViews>
    <sheetView workbookViewId="0">
      <selection activeCell="D68" sqref="D68"/>
    </sheetView>
  </sheetViews>
  <sheetFormatPr defaultColWidth="9.140625" defaultRowHeight="26.25" customHeight="1" x14ac:dyDescent="0.25"/>
  <cols>
    <col min="1" max="1" width="6" style="7" customWidth="1"/>
    <col min="2" max="2" width="7.7109375" style="117" customWidth="1"/>
    <col min="3" max="3" width="39.85546875" style="3" customWidth="1"/>
    <col min="4" max="4" width="8.7109375" style="7" customWidth="1"/>
    <col min="5" max="5" width="16.5703125" style="119" customWidth="1"/>
    <col min="6" max="6" width="8.7109375" style="3" customWidth="1"/>
    <col min="7" max="7" width="16.5703125" style="123" customWidth="1"/>
    <col min="8" max="8" width="8.7109375" style="3" customWidth="1"/>
    <col min="9" max="9" width="16.5703125" style="123" customWidth="1"/>
    <col min="10" max="10" width="2.85546875" style="3" customWidth="1"/>
    <col min="11" max="16384" width="9.140625" style="3"/>
  </cols>
  <sheetData>
    <row r="1" spans="1:9" ht="26.25" customHeight="1" x14ac:dyDescent="0.25">
      <c r="A1" s="104"/>
      <c r="B1" s="105"/>
      <c r="C1" s="106"/>
      <c r="H1" s="6"/>
      <c r="I1" s="102"/>
    </row>
    <row r="2" spans="1:9" s="6" customFormat="1" ht="26.25" customHeight="1" x14ac:dyDescent="0.25">
      <c r="A2" s="143" t="s">
        <v>148</v>
      </c>
      <c r="B2" s="143"/>
      <c r="C2" s="143"/>
      <c r="D2" s="143"/>
      <c r="E2" s="143"/>
      <c r="F2" s="143"/>
      <c r="G2" s="143"/>
      <c r="H2" s="143"/>
      <c r="I2" s="143"/>
    </row>
    <row r="3" spans="1:9" s="6" customFormat="1" ht="26.25" customHeight="1" x14ac:dyDescent="0.25">
      <c r="B3" s="101"/>
      <c r="D3" s="29"/>
      <c r="E3" s="120"/>
      <c r="F3" s="3"/>
      <c r="G3" s="123"/>
      <c r="H3" s="144" t="s">
        <v>121</v>
      </c>
      <c r="I3" s="144"/>
    </row>
    <row r="4" spans="1:9" ht="26.25" customHeight="1" x14ac:dyDescent="0.25">
      <c r="A4" s="140" t="s">
        <v>5</v>
      </c>
      <c r="B4" s="141" t="s">
        <v>57</v>
      </c>
      <c r="C4" s="140" t="s">
        <v>2</v>
      </c>
      <c r="D4" s="139" t="s">
        <v>120</v>
      </c>
      <c r="E4" s="139"/>
      <c r="F4" s="142" t="s">
        <v>146</v>
      </c>
      <c r="G4" s="139"/>
      <c r="H4" s="139" t="s">
        <v>126</v>
      </c>
      <c r="I4" s="139"/>
    </row>
    <row r="5" spans="1:9" s="6" customFormat="1" ht="26.25" customHeight="1" x14ac:dyDescent="0.25">
      <c r="A5" s="140"/>
      <c r="B5" s="141"/>
      <c r="C5" s="140"/>
      <c r="D5" s="33" t="s">
        <v>3</v>
      </c>
      <c r="E5" s="121" t="s">
        <v>4</v>
      </c>
      <c r="F5" s="11" t="s">
        <v>3</v>
      </c>
      <c r="G5" s="121" t="s">
        <v>4</v>
      </c>
      <c r="H5" s="11" t="s">
        <v>3</v>
      </c>
      <c r="I5" s="121" t="s">
        <v>4</v>
      </c>
    </row>
    <row r="6" spans="1:9" s="6" customFormat="1" ht="26.25" customHeight="1" x14ac:dyDescent="0.25">
      <c r="A6" s="8">
        <v>1</v>
      </c>
      <c r="B6" s="107" t="s">
        <v>58</v>
      </c>
      <c r="C6" s="108" t="s">
        <v>37</v>
      </c>
      <c r="D6" s="8">
        <v>270</v>
      </c>
      <c r="E6" s="122">
        <v>9835100</v>
      </c>
      <c r="F6" s="103">
        <v>198</v>
      </c>
      <c r="G6" s="122">
        <v>8892000</v>
      </c>
      <c r="H6" s="103">
        <v>250</v>
      </c>
      <c r="I6" s="122">
        <v>13125000</v>
      </c>
    </row>
    <row r="7" spans="1:9" s="9" customFormat="1" ht="26.25" customHeight="1" x14ac:dyDescent="0.25">
      <c r="A7" s="103">
        <v>2</v>
      </c>
      <c r="B7" s="107" t="s">
        <v>88</v>
      </c>
      <c r="C7" s="108" t="s">
        <v>28</v>
      </c>
      <c r="D7" s="8">
        <v>3158</v>
      </c>
      <c r="E7" s="122">
        <v>119848180</v>
      </c>
      <c r="F7" s="103">
        <v>1754</v>
      </c>
      <c r="G7" s="122">
        <v>85817000</v>
      </c>
      <c r="H7" s="103">
        <v>1901</v>
      </c>
      <c r="I7" s="122">
        <v>100753000</v>
      </c>
    </row>
    <row r="8" spans="1:9" s="9" customFormat="1" ht="26.25" customHeight="1" x14ac:dyDescent="0.25">
      <c r="A8" s="8">
        <v>3</v>
      </c>
      <c r="B8" s="107" t="s">
        <v>59</v>
      </c>
      <c r="C8" s="108" t="s">
        <v>45</v>
      </c>
      <c r="D8" s="8">
        <v>1003</v>
      </c>
      <c r="E8" s="122">
        <v>43962450</v>
      </c>
      <c r="F8" s="103">
        <v>725</v>
      </c>
      <c r="G8" s="122">
        <v>41747500</v>
      </c>
      <c r="H8" s="103">
        <v>940</v>
      </c>
      <c r="I8" s="122">
        <v>58750000</v>
      </c>
    </row>
    <row r="9" spans="1:9" s="9" customFormat="1" ht="26.25" customHeight="1" x14ac:dyDescent="0.25">
      <c r="A9" s="103">
        <v>4</v>
      </c>
      <c r="B9" s="107" t="s">
        <v>93</v>
      </c>
      <c r="C9" s="109" t="s">
        <v>50</v>
      </c>
      <c r="D9" s="8">
        <v>80</v>
      </c>
      <c r="E9" s="122">
        <v>4946240</v>
      </c>
      <c r="F9" s="103">
        <v>20</v>
      </c>
      <c r="G9" s="122">
        <v>1810000</v>
      </c>
      <c r="H9" s="103">
        <v>80</v>
      </c>
      <c r="I9" s="122">
        <v>7240000</v>
      </c>
    </row>
    <row r="10" spans="1:9" s="9" customFormat="1" ht="26.25" customHeight="1" x14ac:dyDescent="0.25">
      <c r="A10" s="8">
        <v>5</v>
      </c>
      <c r="B10" s="107" t="s">
        <v>89</v>
      </c>
      <c r="C10" s="109" t="s">
        <v>38</v>
      </c>
      <c r="D10" s="8">
        <v>41</v>
      </c>
      <c r="E10" s="122">
        <v>1958630</v>
      </c>
      <c r="F10" s="103">
        <v>244</v>
      </c>
      <c r="G10" s="122">
        <v>14223400</v>
      </c>
      <c r="H10" s="103">
        <v>200</v>
      </c>
      <c r="I10" s="122">
        <v>12800000</v>
      </c>
    </row>
    <row r="11" spans="1:9" s="9" customFormat="1" ht="26.25" customHeight="1" x14ac:dyDescent="0.25">
      <c r="A11" s="103">
        <v>6</v>
      </c>
      <c r="B11" s="107" t="s">
        <v>60</v>
      </c>
      <c r="C11" s="108" t="s">
        <v>15</v>
      </c>
      <c r="D11" s="8">
        <v>713</v>
      </c>
      <c r="E11" s="122">
        <v>33094160</v>
      </c>
      <c r="F11" s="103">
        <v>650</v>
      </c>
      <c r="G11" s="122">
        <v>38027000</v>
      </c>
      <c r="H11" s="103">
        <v>750</v>
      </c>
      <c r="I11" s="122">
        <v>48375000</v>
      </c>
    </row>
    <row r="12" spans="1:9" s="9" customFormat="1" ht="26.25" customHeight="1" x14ac:dyDescent="0.25">
      <c r="A12" s="8">
        <v>7</v>
      </c>
      <c r="B12" s="107" t="s">
        <v>61</v>
      </c>
      <c r="C12" s="108" t="s">
        <v>46</v>
      </c>
      <c r="D12" s="8">
        <v>50</v>
      </c>
      <c r="E12" s="122">
        <v>2401000</v>
      </c>
      <c r="F12" s="103">
        <v>100</v>
      </c>
      <c r="G12" s="122">
        <v>6730000</v>
      </c>
      <c r="H12" s="103">
        <v>0</v>
      </c>
      <c r="I12" s="122">
        <v>0</v>
      </c>
    </row>
    <row r="13" spans="1:9" s="9" customFormat="1" ht="26.25" customHeight="1" x14ac:dyDescent="0.25">
      <c r="A13" s="103">
        <v>8</v>
      </c>
      <c r="B13" s="107" t="s">
        <v>91</v>
      </c>
      <c r="C13" s="108" t="s">
        <v>35</v>
      </c>
      <c r="D13" s="8">
        <v>100</v>
      </c>
      <c r="E13" s="122">
        <v>5670000</v>
      </c>
      <c r="F13" s="103">
        <v>60</v>
      </c>
      <c r="G13" s="122">
        <v>4220000</v>
      </c>
      <c r="H13" s="103">
        <v>138</v>
      </c>
      <c r="I13" s="122">
        <v>10005000</v>
      </c>
    </row>
    <row r="14" spans="1:9" s="9" customFormat="1" ht="26.25" customHeight="1" x14ac:dyDescent="0.25">
      <c r="A14" s="8">
        <v>9</v>
      </c>
      <c r="B14" s="107" t="s">
        <v>90</v>
      </c>
      <c r="C14" s="108" t="s">
        <v>34</v>
      </c>
      <c r="D14" s="8">
        <v>156</v>
      </c>
      <c r="E14" s="122">
        <v>9188660</v>
      </c>
      <c r="F14" s="103">
        <v>260</v>
      </c>
      <c r="G14" s="122">
        <v>17560000</v>
      </c>
      <c r="H14" s="103">
        <v>250</v>
      </c>
      <c r="I14" s="122">
        <v>19125000</v>
      </c>
    </row>
    <row r="15" spans="1:9" s="9" customFormat="1" ht="26.25" customHeight="1" x14ac:dyDescent="0.25">
      <c r="A15" s="103">
        <v>10</v>
      </c>
      <c r="B15" s="107" t="s">
        <v>92</v>
      </c>
      <c r="C15" s="109" t="s">
        <v>39</v>
      </c>
      <c r="D15" s="8">
        <v>146</v>
      </c>
      <c r="E15" s="122">
        <v>8172380</v>
      </c>
      <c r="F15" s="103">
        <v>260</v>
      </c>
      <c r="G15" s="122">
        <v>19535000</v>
      </c>
      <c r="H15" s="103">
        <v>179</v>
      </c>
      <c r="I15" s="122">
        <v>14141000</v>
      </c>
    </row>
    <row r="16" spans="1:9" s="9" customFormat="1" ht="26.25" customHeight="1" x14ac:dyDescent="0.25">
      <c r="A16" s="8">
        <v>11</v>
      </c>
      <c r="B16" s="107" t="s">
        <v>62</v>
      </c>
      <c r="C16" s="108" t="s">
        <v>6</v>
      </c>
      <c r="D16" s="8">
        <v>975</v>
      </c>
      <c r="E16" s="122">
        <v>53238600</v>
      </c>
      <c r="F16" s="103">
        <v>444</v>
      </c>
      <c r="G16" s="122">
        <v>33279000</v>
      </c>
      <c r="H16" s="103">
        <v>480</v>
      </c>
      <c r="I16" s="122">
        <v>38160000</v>
      </c>
    </row>
    <row r="17" spans="1:9" s="9" customFormat="1" ht="26.25" customHeight="1" x14ac:dyDescent="0.25">
      <c r="A17" s="103">
        <v>12</v>
      </c>
      <c r="B17" s="107" t="s">
        <v>94</v>
      </c>
      <c r="C17" s="109" t="s">
        <v>40</v>
      </c>
      <c r="D17" s="8">
        <v>78</v>
      </c>
      <c r="E17" s="122">
        <v>5848120</v>
      </c>
      <c r="F17" s="103">
        <v>115</v>
      </c>
      <c r="G17" s="122">
        <v>10762000</v>
      </c>
      <c r="H17" s="103">
        <v>80</v>
      </c>
      <c r="I17" s="122">
        <v>8000000</v>
      </c>
    </row>
    <row r="18" spans="1:9" s="9" customFormat="1" ht="26.25" customHeight="1" x14ac:dyDescent="0.25">
      <c r="A18" s="8">
        <v>13</v>
      </c>
      <c r="B18" s="107" t="s">
        <v>63</v>
      </c>
      <c r="C18" s="108" t="s">
        <v>16</v>
      </c>
      <c r="D18" s="8">
        <v>1476</v>
      </c>
      <c r="E18" s="122">
        <v>90138060</v>
      </c>
      <c r="F18" s="103">
        <v>755</v>
      </c>
      <c r="G18" s="122">
        <v>59427500</v>
      </c>
      <c r="H18" s="103">
        <v>850</v>
      </c>
      <c r="I18" s="122">
        <v>71825000</v>
      </c>
    </row>
    <row r="19" spans="1:9" s="9" customFormat="1" ht="26.25" customHeight="1" x14ac:dyDescent="0.25">
      <c r="A19" s="103">
        <v>14</v>
      </c>
      <c r="B19" s="107" t="s">
        <v>64</v>
      </c>
      <c r="C19" s="108" t="s">
        <v>25</v>
      </c>
      <c r="D19" s="8">
        <v>2074</v>
      </c>
      <c r="E19" s="122">
        <v>133159200</v>
      </c>
      <c r="F19" s="103">
        <v>1126</v>
      </c>
      <c r="G19" s="122">
        <v>93020000</v>
      </c>
      <c r="H19" s="103">
        <v>1279</v>
      </c>
      <c r="I19" s="122">
        <v>115110000</v>
      </c>
    </row>
    <row r="20" spans="1:9" s="9" customFormat="1" ht="26.25" customHeight="1" x14ac:dyDescent="0.25">
      <c r="A20" s="8">
        <v>15</v>
      </c>
      <c r="B20" s="107" t="s">
        <v>66</v>
      </c>
      <c r="C20" s="109" t="s">
        <v>41</v>
      </c>
      <c r="D20" s="8">
        <v>6</v>
      </c>
      <c r="E20" s="122">
        <v>385140</v>
      </c>
      <c r="F20" s="103">
        <v>40</v>
      </c>
      <c r="G20" s="122">
        <v>2884000</v>
      </c>
      <c r="H20" s="103">
        <v>25</v>
      </c>
      <c r="I20" s="122">
        <v>2525000</v>
      </c>
    </row>
    <row r="21" spans="1:9" s="9" customFormat="1" ht="26.25" customHeight="1" x14ac:dyDescent="0.25">
      <c r="A21" s="103">
        <v>16</v>
      </c>
      <c r="B21" s="107" t="s">
        <v>67</v>
      </c>
      <c r="C21" s="110" t="s">
        <v>53</v>
      </c>
      <c r="D21" s="8">
        <v>4</v>
      </c>
      <c r="E21" s="122">
        <v>260680</v>
      </c>
      <c r="F21" s="103">
        <v>50</v>
      </c>
      <c r="G21" s="122">
        <v>3660000</v>
      </c>
      <c r="H21" s="103">
        <v>50</v>
      </c>
      <c r="I21" s="122">
        <v>5100000</v>
      </c>
    </row>
    <row r="22" spans="1:9" s="9" customFormat="1" ht="26.25" customHeight="1" x14ac:dyDescent="0.25">
      <c r="A22" s="8">
        <v>17</v>
      </c>
      <c r="B22" s="107" t="s">
        <v>96</v>
      </c>
      <c r="C22" s="108" t="s">
        <v>26</v>
      </c>
      <c r="D22" s="8">
        <v>240</v>
      </c>
      <c r="E22" s="122">
        <v>23405050</v>
      </c>
      <c r="F22" s="103">
        <v>88</v>
      </c>
      <c r="G22" s="122">
        <v>11792000</v>
      </c>
      <c r="H22" s="103">
        <v>170</v>
      </c>
      <c r="I22" s="122">
        <v>22780000</v>
      </c>
    </row>
    <row r="23" spans="1:9" s="9" customFormat="1" ht="26.25" customHeight="1" x14ac:dyDescent="0.25">
      <c r="A23" s="103">
        <v>18</v>
      </c>
      <c r="B23" s="107" t="s">
        <v>97</v>
      </c>
      <c r="C23" s="109" t="s">
        <v>17</v>
      </c>
      <c r="D23" s="8">
        <v>116</v>
      </c>
      <c r="E23" s="122">
        <v>11799840</v>
      </c>
      <c r="F23" s="103">
        <v>105</v>
      </c>
      <c r="G23" s="122">
        <v>13185000</v>
      </c>
      <c r="H23" s="103">
        <v>161</v>
      </c>
      <c r="I23" s="122">
        <v>21896000</v>
      </c>
    </row>
    <row r="24" spans="1:9" s="9" customFormat="1" ht="26.25" customHeight="1" x14ac:dyDescent="0.25">
      <c r="A24" s="8">
        <v>19</v>
      </c>
      <c r="B24" s="107" t="s">
        <v>65</v>
      </c>
      <c r="C24" s="108" t="s">
        <v>24</v>
      </c>
      <c r="D24" s="8">
        <v>186</v>
      </c>
      <c r="E24" s="122">
        <v>20704320</v>
      </c>
      <c r="F24" s="103">
        <v>0</v>
      </c>
      <c r="G24" s="122">
        <v>0</v>
      </c>
      <c r="H24" s="103">
        <v>140</v>
      </c>
      <c r="I24" s="122">
        <v>22260000</v>
      </c>
    </row>
    <row r="25" spans="1:9" s="9" customFormat="1" ht="26.25" customHeight="1" x14ac:dyDescent="0.25">
      <c r="A25" s="103">
        <v>20</v>
      </c>
      <c r="B25" s="107" t="s">
        <v>68</v>
      </c>
      <c r="C25" s="108" t="s">
        <v>36</v>
      </c>
      <c r="D25" s="8">
        <v>561</v>
      </c>
      <c r="E25" s="122">
        <v>44825040</v>
      </c>
      <c r="F25" s="103">
        <v>575</v>
      </c>
      <c r="G25" s="122">
        <v>61847000</v>
      </c>
      <c r="H25" s="103">
        <v>580</v>
      </c>
      <c r="I25" s="122">
        <v>68440000</v>
      </c>
    </row>
    <row r="26" spans="1:9" s="9" customFormat="1" ht="26.25" customHeight="1" x14ac:dyDescent="0.25">
      <c r="A26" s="8">
        <v>21</v>
      </c>
      <c r="B26" s="107" t="s">
        <v>69</v>
      </c>
      <c r="C26" s="108" t="s">
        <v>13</v>
      </c>
      <c r="D26" s="8">
        <v>1210</v>
      </c>
      <c r="E26" s="122">
        <v>96395800</v>
      </c>
      <c r="F26" s="103">
        <v>815</v>
      </c>
      <c r="G26" s="122">
        <v>89510000</v>
      </c>
      <c r="H26" s="103">
        <v>869</v>
      </c>
      <c r="I26" s="122">
        <v>103411000</v>
      </c>
    </row>
    <row r="27" spans="1:9" s="9" customFormat="1" ht="26.25" customHeight="1" x14ac:dyDescent="0.25">
      <c r="A27" s="103">
        <v>22</v>
      </c>
      <c r="B27" s="107" t="s">
        <v>70</v>
      </c>
      <c r="C27" s="108" t="s">
        <v>47</v>
      </c>
      <c r="D27" s="8">
        <v>478</v>
      </c>
      <c r="E27" s="122">
        <v>42819500</v>
      </c>
      <c r="F27" s="103">
        <v>435</v>
      </c>
      <c r="G27" s="122">
        <v>51740000</v>
      </c>
      <c r="H27" s="103">
        <v>410</v>
      </c>
      <c r="I27" s="122">
        <v>52480000</v>
      </c>
    </row>
    <row r="28" spans="1:9" s="9" customFormat="1" ht="26.25" customHeight="1" x14ac:dyDescent="0.25">
      <c r="A28" s="8">
        <v>23</v>
      </c>
      <c r="B28" s="107" t="s">
        <v>115</v>
      </c>
      <c r="C28" s="108" t="s">
        <v>106</v>
      </c>
      <c r="D28" s="8">
        <v>0</v>
      </c>
      <c r="E28" s="122">
        <v>0</v>
      </c>
      <c r="F28" s="103">
        <v>0</v>
      </c>
      <c r="G28" s="122">
        <v>0</v>
      </c>
      <c r="H28" s="103">
        <v>0</v>
      </c>
      <c r="I28" s="122">
        <v>0</v>
      </c>
    </row>
    <row r="29" spans="1:9" s="9" customFormat="1" ht="26.25" customHeight="1" x14ac:dyDescent="0.25">
      <c r="A29" s="103">
        <v>24</v>
      </c>
      <c r="B29" s="107" t="s">
        <v>116</v>
      </c>
      <c r="C29" s="108" t="s">
        <v>117</v>
      </c>
      <c r="D29" s="8">
        <v>0</v>
      </c>
      <c r="E29" s="122">
        <v>0</v>
      </c>
      <c r="F29" s="103">
        <v>35</v>
      </c>
      <c r="G29" s="122">
        <v>4256000</v>
      </c>
      <c r="H29" s="103">
        <v>110</v>
      </c>
      <c r="I29" s="122">
        <v>15400000</v>
      </c>
    </row>
    <row r="30" spans="1:9" s="9" customFormat="1" ht="26.25" customHeight="1" x14ac:dyDescent="0.25">
      <c r="A30" s="8">
        <v>25</v>
      </c>
      <c r="B30" s="107" t="s">
        <v>71</v>
      </c>
      <c r="C30" s="108" t="s">
        <v>9</v>
      </c>
      <c r="D30" s="8">
        <v>449</v>
      </c>
      <c r="E30" s="122">
        <v>43320320</v>
      </c>
      <c r="F30" s="103">
        <v>300</v>
      </c>
      <c r="G30" s="122">
        <v>37745000</v>
      </c>
      <c r="H30" s="103">
        <v>450</v>
      </c>
      <c r="I30" s="122">
        <v>60525000</v>
      </c>
    </row>
    <row r="31" spans="1:9" s="9" customFormat="1" ht="26.25" customHeight="1" x14ac:dyDescent="0.25">
      <c r="A31" s="103">
        <v>26</v>
      </c>
      <c r="B31" s="107" t="s">
        <v>72</v>
      </c>
      <c r="C31" s="108" t="s">
        <v>10</v>
      </c>
      <c r="D31" s="8">
        <v>2264</v>
      </c>
      <c r="E31" s="122">
        <v>225270860</v>
      </c>
      <c r="F31" s="103">
        <v>1278</v>
      </c>
      <c r="G31" s="122">
        <v>168062000</v>
      </c>
      <c r="H31" s="103">
        <v>1400</v>
      </c>
      <c r="I31" s="122">
        <v>194600000</v>
      </c>
    </row>
    <row r="32" spans="1:9" s="9" customFormat="1" ht="26.25" customHeight="1" x14ac:dyDescent="0.25">
      <c r="A32" s="8">
        <v>27</v>
      </c>
      <c r="B32" s="107" t="s">
        <v>73</v>
      </c>
      <c r="C32" s="108" t="s">
        <v>11</v>
      </c>
      <c r="D32" s="8">
        <v>406</v>
      </c>
      <c r="E32" s="122">
        <v>47729110</v>
      </c>
      <c r="F32" s="103">
        <v>452</v>
      </c>
      <c r="G32" s="122">
        <v>69606000</v>
      </c>
      <c r="H32" s="103">
        <v>448</v>
      </c>
      <c r="I32" s="122">
        <v>75264000</v>
      </c>
    </row>
    <row r="33" spans="1:9" s="9" customFormat="1" ht="26.25" customHeight="1" x14ac:dyDescent="0.25">
      <c r="A33" s="103">
        <v>28</v>
      </c>
      <c r="B33" s="107" t="s">
        <v>74</v>
      </c>
      <c r="C33" s="108" t="s">
        <v>18</v>
      </c>
      <c r="D33" s="8">
        <v>1183</v>
      </c>
      <c r="E33" s="122">
        <v>148003080</v>
      </c>
      <c r="F33" s="103">
        <v>731</v>
      </c>
      <c r="G33" s="122">
        <v>118605000</v>
      </c>
      <c r="H33" s="103">
        <v>875</v>
      </c>
      <c r="I33" s="122">
        <v>149625000</v>
      </c>
    </row>
    <row r="34" spans="1:9" s="9" customFormat="1" ht="26.25" customHeight="1" x14ac:dyDescent="0.25">
      <c r="A34" s="8">
        <v>29</v>
      </c>
      <c r="B34" s="107" t="s">
        <v>75</v>
      </c>
      <c r="C34" s="108" t="s">
        <v>19</v>
      </c>
      <c r="D34" s="8">
        <v>356</v>
      </c>
      <c r="E34" s="122">
        <v>47980400</v>
      </c>
      <c r="F34" s="103">
        <v>140</v>
      </c>
      <c r="G34" s="122">
        <v>24295000</v>
      </c>
      <c r="H34" s="103">
        <v>190</v>
      </c>
      <c r="I34" s="122">
        <v>36195000</v>
      </c>
    </row>
    <row r="35" spans="1:9" s="9" customFormat="1" ht="26.25" customHeight="1" x14ac:dyDescent="0.25">
      <c r="A35" s="103">
        <v>30</v>
      </c>
      <c r="B35" s="107" t="s">
        <v>100</v>
      </c>
      <c r="C35" s="108" t="s">
        <v>20</v>
      </c>
      <c r="D35" s="8">
        <v>373</v>
      </c>
      <c r="E35" s="122">
        <v>55646030</v>
      </c>
      <c r="F35" s="103">
        <v>150</v>
      </c>
      <c r="G35" s="122">
        <v>29960000</v>
      </c>
      <c r="H35" s="103">
        <v>221</v>
      </c>
      <c r="I35" s="122">
        <v>45526000</v>
      </c>
    </row>
    <row r="36" spans="1:9" s="9" customFormat="1" ht="26.25" customHeight="1" x14ac:dyDescent="0.25">
      <c r="A36" s="8">
        <v>31</v>
      </c>
      <c r="B36" s="107" t="s">
        <v>76</v>
      </c>
      <c r="C36" s="108" t="s">
        <v>14</v>
      </c>
      <c r="D36" s="8">
        <v>545</v>
      </c>
      <c r="E36" s="122">
        <v>81306700</v>
      </c>
      <c r="F36" s="103">
        <v>257</v>
      </c>
      <c r="G36" s="122">
        <v>49712000</v>
      </c>
      <c r="H36" s="103">
        <v>310</v>
      </c>
      <c r="I36" s="122">
        <v>63860000</v>
      </c>
    </row>
    <row r="37" spans="1:9" s="9" customFormat="1" ht="26.25" customHeight="1" x14ac:dyDescent="0.25">
      <c r="A37" s="103">
        <v>32</v>
      </c>
      <c r="B37" s="107" t="s">
        <v>77</v>
      </c>
      <c r="C37" s="108" t="s">
        <v>12</v>
      </c>
      <c r="D37" s="8">
        <v>2569</v>
      </c>
      <c r="E37" s="122">
        <v>400847760</v>
      </c>
      <c r="F37" s="103">
        <v>1301</v>
      </c>
      <c r="G37" s="122">
        <v>257165500</v>
      </c>
      <c r="H37" s="103">
        <v>1530</v>
      </c>
      <c r="I37" s="122">
        <v>326655000</v>
      </c>
    </row>
    <row r="38" spans="1:9" s="9" customFormat="1" ht="26.25" customHeight="1" x14ac:dyDescent="0.25">
      <c r="A38" s="111">
        <v>33</v>
      </c>
      <c r="B38" s="112" t="s">
        <v>101</v>
      </c>
      <c r="C38" s="113" t="s">
        <v>21</v>
      </c>
      <c r="D38" s="8">
        <f>108+154</f>
        <v>262</v>
      </c>
      <c r="E38" s="122">
        <f>16934400+27104000</f>
        <v>44038400</v>
      </c>
      <c r="F38" s="103">
        <v>160</v>
      </c>
      <c r="G38" s="122">
        <v>36560000</v>
      </c>
      <c r="H38" s="103">
        <f>433+100</f>
        <v>533</v>
      </c>
      <c r="I38" s="122">
        <f>93744500+22850000</f>
        <v>116594500</v>
      </c>
    </row>
    <row r="39" spans="1:9" s="9" customFormat="1" ht="26.25" customHeight="1" x14ac:dyDescent="0.25">
      <c r="A39" s="103">
        <v>34</v>
      </c>
      <c r="B39" s="107" t="s">
        <v>95</v>
      </c>
      <c r="C39" s="108" t="s">
        <v>48</v>
      </c>
      <c r="D39" s="8">
        <v>44</v>
      </c>
      <c r="E39" s="122">
        <v>3882040</v>
      </c>
      <c r="F39" s="103">
        <v>20</v>
      </c>
      <c r="G39" s="122">
        <v>2570000</v>
      </c>
      <c r="H39" s="103">
        <v>40</v>
      </c>
      <c r="I39" s="122">
        <v>5140000</v>
      </c>
    </row>
    <row r="40" spans="1:9" s="9" customFormat="1" ht="26.25" customHeight="1" x14ac:dyDescent="0.25">
      <c r="A40" s="8">
        <v>35</v>
      </c>
      <c r="B40" s="107" t="s">
        <v>102</v>
      </c>
      <c r="C40" s="108" t="s">
        <v>42</v>
      </c>
      <c r="D40" s="8">
        <v>30</v>
      </c>
      <c r="E40" s="122">
        <v>5736000</v>
      </c>
      <c r="F40" s="103">
        <v>70</v>
      </c>
      <c r="G40" s="122">
        <v>16174000</v>
      </c>
      <c r="H40" s="103">
        <v>100</v>
      </c>
      <c r="I40" s="122">
        <v>24700000</v>
      </c>
    </row>
    <row r="41" spans="1:9" s="9" customFormat="1" ht="26.25" customHeight="1" x14ac:dyDescent="0.25">
      <c r="A41" s="103">
        <v>36</v>
      </c>
      <c r="B41" s="107" t="s">
        <v>78</v>
      </c>
      <c r="C41" s="114" t="s">
        <v>7</v>
      </c>
      <c r="D41" s="8">
        <f>711+536</f>
        <v>1247</v>
      </c>
      <c r="E41" s="122">
        <f>127510740+105305700</f>
        <v>232816440</v>
      </c>
      <c r="F41" s="103">
        <v>862</v>
      </c>
      <c r="G41" s="122">
        <v>204683500</v>
      </c>
      <c r="H41" s="103">
        <v>760</v>
      </c>
      <c r="I41" s="122">
        <v>194560000</v>
      </c>
    </row>
    <row r="42" spans="1:9" s="9" customFormat="1" ht="26.25" customHeight="1" x14ac:dyDescent="0.25">
      <c r="A42" s="8">
        <v>37</v>
      </c>
      <c r="B42" s="107" t="s">
        <v>103</v>
      </c>
      <c r="C42" s="109" t="s">
        <v>43</v>
      </c>
      <c r="D42" s="8">
        <v>22</v>
      </c>
      <c r="E42" s="122">
        <v>4355120</v>
      </c>
      <c r="F42" s="103">
        <v>112</v>
      </c>
      <c r="G42" s="122">
        <v>28840000</v>
      </c>
      <c r="H42" s="103">
        <v>230</v>
      </c>
      <c r="I42" s="122">
        <v>59225000</v>
      </c>
    </row>
    <row r="43" spans="1:9" s="9" customFormat="1" ht="26.25" customHeight="1" x14ac:dyDescent="0.25">
      <c r="A43" s="103">
        <v>38</v>
      </c>
      <c r="B43" s="107" t="s">
        <v>105</v>
      </c>
      <c r="C43" s="108" t="s">
        <v>51</v>
      </c>
      <c r="D43" s="8">
        <v>46</v>
      </c>
      <c r="E43" s="122">
        <v>8962960</v>
      </c>
      <c r="F43" s="103">
        <v>12</v>
      </c>
      <c r="G43" s="122">
        <v>2521200</v>
      </c>
      <c r="H43" s="103">
        <v>60</v>
      </c>
      <c r="I43" s="122">
        <v>16740000</v>
      </c>
    </row>
    <row r="44" spans="1:9" s="9" customFormat="1" ht="26.25" customHeight="1" x14ac:dyDescent="0.25">
      <c r="A44" s="8">
        <v>39</v>
      </c>
      <c r="B44" s="107" t="s">
        <v>104</v>
      </c>
      <c r="C44" s="108" t="s">
        <v>49</v>
      </c>
      <c r="D44" s="8">
        <v>15</v>
      </c>
      <c r="E44" s="122">
        <v>2734200</v>
      </c>
      <c r="F44" s="103">
        <v>21</v>
      </c>
      <c r="G44" s="122">
        <v>5449500</v>
      </c>
      <c r="H44" s="103">
        <v>47</v>
      </c>
      <c r="I44" s="122">
        <v>12196500</v>
      </c>
    </row>
    <row r="45" spans="1:9" s="9" customFormat="1" ht="26.25" customHeight="1" x14ac:dyDescent="0.25">
      <c r="A45" s="103">
        <v>40</v>
      </c>
      <c r="B45" s="107" t="s">
        <v>79</v>
      </c>
      <c r="C45" s="108" t="s">
        <v>22</v>
      </c>
      <c r="D45" s="8">
        <v>340</v>
      </c>
      <c r="E45" s="122">
        <v>68827900</v>
      </c>
      <c r="F45" s="103">
        <v>248</v>
      </c>
      <c r="G45" s="122">
        <v>65588000</v>
      </c>
      <c r="H45" s="103">
        <v>340</v>
      </c>
      <c r="I45" s="122">
        <v>93330000</v>
      </c>
    </row>
    <row r="46" spans="1:9" s="9" customFormat="1" ht="26.25" customHeight="1" x14ac:dyDescent="0.25">
      <c r="A46" s="8">
        <v>41</v>
      </c>
      <c r="B46" s="107" t="s">
        <v>107</v>
      </c>
      <c r="C46" s="108" t="s">
        <v>27</v>
      </c>
      <c r="D46" s="8">
        <v>50</v>
      </c>
      <c r="E46" s="122">
        <v>9898000</v>
      </c>
      <c r="F46" s="103">
        <v>82</v>
      </c>
      <c r="G46" s="122">
        <v>23124000</v>
      </c>
      <c r="H46" s="103">
        <v>205</v>
      </c>
      <c r="I46" s="122">
        <v>57810000</v>
      </c>
    </row>
    <row r="47" spans="1:9" s="9" customFormat="1" ht="26.25" customHeight="1" x14ac:dyDescent="0.25">
      <c r="A47" s="103">
        <v>42</v>
      </c>
      <c r="B47" s="107" t="s">
        <v>98</v>
      </c>
      <c r="C47" s="108" t="s">
        <v>52</v>
      </c>
      <c r="D47" s="8">
        <v>475</v>
      </c>
      <c r="E47" s="122">
        <v>40545500</v>
      </c>
      <c r="F47" s="103">
        <v>430</v>
      </c>
      <c r="G47" s="122">
        <v>49060000</v>
      </c>
      <c r="H47" s="103">
        <v>300</v>
      </c>
      <c r="I47" s="122">
        <v>36600000</v>
      </c>
    </row>
    <row r="48" spans="1:9" s="9" customFormat="1" ht="26.25" customHeight="1" x14ac:dyDescent="0.25">
      <c r="A48" s="8">
        <v>43</v>
      </c>
      <c r="B48" s="107" t="s">
        <v>80</v>
      </c>
      <c r="C48" s="108" t="s">
        <v>23</v>
      </c>
      <c r="D48" s="8">
        <v>235</v>
      </c>
      <c r="E48" s="122">
        <v>61601500</v>
      </c>
      <c r="F48" s="103">
        <v>150</v>
      </c>
      <c r="G48" s="122">
        <v>54525000</v>
      </c>
      <c r="H48" s="103">
        <v>330</v>
      </c>
      <c r="I48" s="122">
        <v>119955000</v>
      </c>
    </row>
    <row r="49" spans="1:9" s="9" customFormat="1" ht="26.25" customHeight="1" x14ac:dyDescent="0.25">
      <c r="A49" s="103">
        <v>44</v>
      </c>
      <c r="B49" s="107" t="s">
        <v>108</v>
      </c>
      <c r="C49" s="108" t="s">
        <v>29</v>
      </c>
      <c r="D49" s="8">
        <v>115</v>
      </c>
      <c r="E49" s="122">
        <v>28467480</v>
      </c>
      <c r="F49" s="103">
        <v>76</v>
      </c>
      <c r="G49" s="122">
        <v>25369800</v>
      </c>
      <c r="H49" s="103">
        <v>200</v>
      </c>
      <c r="I49" s="122">
        <v>68100000</v>
      </c>
    </row>
    <row r="50" spans="1:9" s="9" customFormat="1" ht="26.25" customHeight="1" x14ac:dyDescent="0.25">
      <c r="A50" s="8">
        <v>45</v>
      </c>
      <c r="B50" s="107" t="s">
        <v>81</v>
      </c>
      <c r="C50" s="108" t="s">
        <v>114</v>
      </c>
      <c r="D50" s="8">
        <v>70</v>
      </c>
      <c r="E50" s="122">
        <v>12129070</v>
      </c>
      <c r="F50" s="103">
        <v>33</v>
      </c>
      <c r="G50" s="122">
        <v>6855000</v>
      </c>
      <c r="H50" s="103">
        <v>60</v>
      </c>
      <c r="I50" s="122">
        <v>13320000</v>
      </c>
    </row>
    <row r="51" spans="1:9" s="9" customFormat="1" ht="26.25" customHeight="1" x14ac:dyDescent="0.25">
      <c r="A51" s="103">
        <v>46</v>
      </c>
      <c r="B51" s="107" t="s">
        <v>82</v>
      </c>
      <c r="C51" s="108" t="s">
        <v>30</v>
      </c>
      <c r="D51" s="8">
        <v>290</v>
      </c>
      <c r="E51" s="122">
        <v>4037600</v>
      </c>
      <c r="F51" s="103">
        <v>160</v>
      </c>
      <c r="G51" s="122">
        <v>3140000</v>
      </c>
      <c r="H51" s="103">
        <v>260</v>
      </c>
      <c r="I51" s="122">
        <v>5200000</v>
      </c>
    </row>
    <row r="52" spans="1:9" s="9" customFormat="1" ht="26.25" customHeight="1" x14ac:dyDescent="0.25">
      <c r="A52" s="8">
        <v>47</v>
      </c>
      <c r="B52" s="107" t="s">
        <v>83</v>
      </c>
      <c r="C52" s="109" t="s">
        <v>55</v>
      </c>
      <c r="D52" s="8">
        <v>14</v>
      </c>
      <c r="E52" s="122">
        <v>3091700</v>
      </c>
      <c r="F52" s="103">
        <v>26</v>
      </c>
      <c r="G52" s="122">
        <v>7405000</v>
      </c>
      <c r="H52" s="103">
        <v>54</v>
      </c>
      <c r="I52" s="122">
        <v>16562500</v>
      </c>
    </row>
    <row r="53" spans="1:9" s="9" customFormat="1" ht="26.25" customHeight="1" x14ac:dyDescent="0.25">
      <c r="A53" s="103">
        <v>48</v>
      </c>
      <c r="B53" s="107" t="s">
        <v>109</v>
      </c>
      <c r="C53" s="109" t="s">
        <v>31</v>
      </c>
      <c r="D53" s="8">
        <v>65</v>
      </c>
      <c r="E53" s="122">
        <v>16080420</v>
      </c>
      <c r="F53" s="103">
        <v>48</v>
      </c>
      <c r="G53" s="122">
        <v>15557000</v>
      </c>
      <c r="H53" s="103">
        <v>106</v>
      </c>
      <c r="I53" s="122">
        <v>35934000</v>
      </c>
    </row>
    <row r="54" spans="1:9" s="9" customFormat="1" ht="26.25" customHeight="1" x14ac:dyDescent="0.25">
      <c r="A54" s="8">
        <v>49</v>
      </c>
      <c r="B54" s="107" t="s">
        <v>84</v>
      </c>
      <c r="C54" s="109" t="s">
        <v>44</v>
      </c>
      <c r="D54" s="8">
        <v>2</v>
      </c>
      <c r="E54" s="122">
        <v>499800</v>
      </c>
      <c r="F54" s="103">
        <v>10</v>
      </c>
      <c r="G54" s="122">
        <v>3539000</v>
      </c>
      <c r="H54" s="103">
        <v>90</v>
      </c>
      <c r="I54" s="122">
        <v>31851000</v>
      </c>
    </row>
    <row r="55" spans="1:9" s="9" customFormat="1" ht="26.25" customHeight="1" x14ac:dyDescent="0.25">
      <c r="A55" s="103">
        <v>50</v>
      </c>
      <c r="B55" s="107" t="s">
        <v>85</v>
      </c>
      <c r="C55" s="108" t="s">
        <v>33</v>
      </c>
      <c r="D55" s="8">
        <v>410</v>
      </c>
      <c r="E55" s="122">
        <v>6108000</v>
      </c>
      <c r="F55" s="103">
        <v>350</v>
      </c>
      <c r="G55" s="122">
        <v>6940000</v>
      </c>
      <c r="H55" s="103">
        <v>630</v>
      </c>
      <c r="I55" s="122">
        <v>12600000</v>
      </c>
    </row>
    <row r="56" spans="1:9" s="9" customFormat="1" ht="26.25" customHeight="1" x14ac:dyDescent="0.25">
      <c r="A56" s="8">
        <v>51</v>
      </c>
      <c r="B56" s="107" t="s">
        <v>86</v>
      </c>
      <c r="C56" s="108" t="s">
        <v>119</v>
      </c>
      <c r="D56" s="8">
        <v>2</v>
      </c>
      <c r="E56" s="122">
        <v>241800</v>
      </c>
      <c r="F56" s="103">
        <v>33</v>
      </c>
      <c r="G56" s="122">
        <v>5704500</v>
      </c>
      <c r="H56" s="103">
        <v>20</v>
      </c>
      <c r="I56" s="122">
        <v>3530000</v>
      </c>
    </row>
    <row r="57" spans="1:9" s="9" customFormat="1" ht="26.25" customHeight="1" x14ac:dyDescent="0.25">
      <c r="A57" s="103">
        <v>52</v>
      </c>
      <c r="B57" s="107" t="s">
        <v>110</v>
      </c>
      <c r="C57" s="108" t="s">
        <v>112</v>
      </c>
      <c r="D57" s="8">
        <v>19</v>
      </c>
      <c r="E57" s="122">
        <v>3310200</v>
      </c>
      <c r="F57" s="103">
        <v>50</v>
      </c>
      <c r="G57" s="122">
        <v>10925000</v>
      </c>
      <c r="H57" s="103">
        <v>30</v>
      </c>
      <c r="I57" s="122">
        <v>7350000</v>
      </c>
    </row>
    <row r="58" spans="1:9" s="9" customFormat="1" ht="26.25" customHeight="1" x14ac:dyDescent="0.25">
      <c r="A58" s="8">
        <v>53</v>
      </c>
      <c r="B58" s="107" t="s">
        <v>118</v>
      </c>
      <c r="C58" s="108" t="s">
        <v>54</v>
      </c>
      <c r="D58" s="8">
        <v>0</v>
      </c>
      <c r="E58" s="122">
        <v>0</v>
      </c>
      <c r="F58" s="103">
        <v>56</v>
      </c>
      <c r="G58" s="122">
        <v>13120000</v>
      </c>
      <c r="H58" s="103">
        <v>46</v>
      </c>
      <c r="I58" s="122">
        <v>12489000</v>
      </c>
    </row>
    <row r="59" spans="1:9" s="9" customFormat="1" ht="26.25" customHeight="1" x14ac:dyDescent="0.25">
      <c r="A59" s="103">
        <v>54</v>
      </c>
      <c r="B59" s="107" t="s">
        <v>111</v>
      </c>
      <c r="C59" s="108" t="s">
        <v>113</v>
      </c>
      <c r="D59" s="8">
        <v>1804</v>
      </c>
      <c r="E59" s="122">
        <v>72523720</v>
      </c>
      <c r="F59" s="103">
        <v>1869</v>
      </c>
      <c r="G59" s="122">
        <v>96519500</v>
      </c>
      <c r="H59" s="103">
        <v>2611</v>
      </c>
      <c r="I59" s="122">
        <v>144910500</v>
      </c>
    </row>
    <row r="60" spans="1:9" s="9" customFormat="1" ht="26.25" customHeight="1" x14ac:dyDescent="0.25">
      <c r="A60" s="8">
        <v>55</v>
      </c>
      <c r="B60" s="115" t="s">
        <v>87</v>
      </c>
      <c r="C60" s="109" t="s">
        <v>32</v>
      </c>
      <c r="D60" s="8">
        <v>30</v>
      </c>
      <c r="E60" s="122">
        <v>3150000</v>
      </c>
      <c r="F60" s="103">
        <v>30</v>
      </c>
      <c r="G60" s="122">
        <v>3495000</v>
      </c>
      <c r="H60" s="103">
        <v>50</v>
      </c>
      <c r="I60" s="122">
        <v>6975000</v>
      </c>
    </row>
    <row r="61" spans="1:9" s="9" customFormat="1" ht="26.25" customHeight="1" x14ac:dyDescent="0.25">
      <c r="A61" s="103">
        <v>56</v>
      </c>
      <c r="B61" s="107" t="s">
        <v>99</v>
      </c>
      <c r="C61" s="116" t="s">
        <v>56</v>
      </c>
      <c r="D61" s="8">
        <v>10</v>
      </c>
      <c r="E61" s="122">
        <v>1850000</v>
      </c>
      <c r="F61" s="103">
        <v>28</v>
      </c>
      <c r="G61" s="122">
        <v>6356000</v>
      </c>
      <c r="H61" s="103">
        <v>15</v>
      </c>
      <c r="I61" s="122">
        <v>3517500</v>
      </c>
    </row>
    <row r="62" spans="1:9" s="9" customFormat="1" ht="26.25" customHeight="1" x14ac:dyDescent="0.25">
      <c r="A62" s="8">
        <v>57</v>
      </c>
      <c r="B62" s="107" t="s">
        <v>123</v>
      </c>
      <c r="C62" s="116" t="s">
        <v>124</v>
      </c>
      <c r="D62" s="8"/>
      <c r="E62" s="122"/>
      <c r="F62" s="103">
        <v>0</v>
      </c>
      <c r="G62" s="122">
        <v>0</v>
      </c>
      <c r="H62" s="103">
        <v>20</v>
      </c>
      <c r="I62" s="122">
        <v>3300000</v>
      </c>
    </row>
    <row r="63" spans="1:9" ht="26.25" customHeight="1" x14ac:dyDescent="0.25">
      <c r="A63" s="136" t="s">
        <v>0</v>
      </c>
      <c r="B63" s="137"/>
      <c r="C63" s="138"/>
      <c r="D63" s="125">
        <f t="shared" ref="D63:I63" si="0">SUM(D6:D62)</f>
        <v>26863</v>
      </c>
      <c r="E63" s="126">
        <f t="shared" si="0"/>
        <v>2447048260</v>
      </c>
      <c r="F63" s="118">
        <f t="shared" si="0"/>
        <v>18399</v>
      </c>
      <c r="G63" s="124">
        <f t="shared" si="0"/>
        <v>2123095900</v>
      </c>
      <c r="H63" s="125">
        <f t="shared" si="0"/>
        <v>22453</v>
      </c>
      <c r="I63" s="126">
        <f t="shared" si="0"/>
        <v>2886441500</v>
      </c>
    </row>
    <row r="64" spans="1:9" ht="26.25" customHeight="1" x14ac:dyDescent="0.25">
      <c r="A64" s="3"/>
      <c r="B64" s="3"/>
      <c r="D64" s="3"/>
      <c r="E64" s="123"/>
      <c r="H64" s="6"/>
      <c r="I64" s="102"/>
    </row>
    <row r="66" spans="6:7" ht="26.25" customHeight="1" x14ac:dyDescent="0.25">
      <c r="F66" s="6"/>
      <c r="G66" s="102"/>
    </row>
    <row r="68" spans="6:7" ht="26.25" customHeight="1" x14ac:dyDescent="0.25">
      <c r="F68" s="6"/>
      <c r="G68" s="102"/>
    </row>
    <row r="70" spans="6:7" ht="26.25" customHeight="1" x14ac:dyDescent="0.25">
      <c r="F70" s="9"/>
      <c r="G70" s="28"/>
    </row>
    <row r="71" spans="6:7" ht="26.25" customHeight="1" x14ac:dyDescent="0.25">
      <c r="F71" s="9"/>
      <c r="G71" s="28"/>
    </row>
    <row r="72" spans="6:7" ht="26.25" customHeight="1" x14ac:dyDescent="0.25">
      <c r="F72" s="9"/>
      <c r="G72" s="28"/>
    </row>
    <row r="73" spans="6:7" ht="26.25" customHeight="1" x14ac:dyDescent="0.25">
      <c r="F73" s="9"/>
      <c r="G73" s="28"/>
    </row>
    <row r="74" spans="6:7" ht="26.25" customHeight="1" x14ac:dyDescent="0.25">
      <c r="F74" s="9"/>
      <c r="G74" s="28"/>
    </row>
    <row r="75" spans="6:7" ht="26.25" customHeight="1" x14ac:dyDescent="0.25">
      <c r="F75" s="9"/>
      <c r="G75" s="28"/>
    </row>
    <row r="76" spans="6:7" ht="26.25" customHeight="1" x14ac:dyDescent="0.25">
      <c r="F76" s="9"/>
      <c r="G76" s="28"/>
    </row>
    <row r="77" spans="6:7" ht="26.25" customHeight="1" x14ac:dyDescent="0.25">
      <c r="F77" s="9"/>
      <c r="G77" s="28"/>
    </row>
    <row r="78" spans="6:7" ht="26.25" customHeight="1" x14ac:dyDescent="0.25">
      <c r="F78" s="9"/>
      <c r="G78" s="28"/>
    </row>
    <row r="79" spans="6:7" ht="26.25" customHeight="1" x14ac:dyDescent="0.25">
      <c r="F79" s="9"/>
      <c r="G79" s="28"/>
    </row>
    <row r="80" spans="6:7" ht="26.25" customHeight="1" x14ac:dyDescent="0.25">
      <c r="F80" s="9"/>
      <c r="G80" s="28"/>
    </row>
    <row r="81" spans="6:7" ht="26.25" customHeight="1" x14ac:dyDescent="0.25">
      <c r="F81" s="9"/>
      <c r="G81" s="28"/>
    </row>
    <row r="82" spans="6:7" ht="26.25" customHeight="1" x14ac:dyDescent="0.25">
      <c r="F82" s="9"/>
      <c r="G82" s="28"/>
    </row>
    <row r="83" spans="6:7" ht="26.25" customHeight="1" x14ac:dyDescent="0.25">
      <c r="F83" s="9"/>
      <c r="G83" s="28"/>
    </row>
    <row r="84" spans="6:7" ht="26.25" customHeight="1" x14ac:dyDescent="0.25">
      <c r="F84" s="9"/>
      <c r="G84" s="28"/>
    </row>
    <row r="85" spans="6:7" ht="26.25" customHeight="1" x14ac:dyDescent="0.25">
      <c r="F85" s="9"/>
      <c r="G85" s="28"/>
    </row>
    <row r="86" spans="6:7" ht="26.25" customHeight="1" x14ac:dyDescent="0.25">
      <c r="F86" s="9"/>
      <c r="G86" s="28"/>
    </row>
    <row r="87" spans="6:7" ht="26.25" customHeight="1" x14ac:dyDescent="0.25">
      <c r="F87" s="9"/>
      <c r="G87" s="28"/>
    </row>
    <row r="88" spans="6:7" ht="26.25" customHeight="1" x14ac:dyDescent="0.25">
      <c r="F88" s="9"/>
      <c r="G88" s="28"/>
    </row>
    <row r="89" spans="6:7" ht="26.25" customHeight="1" x14ac:dyDescent="0.25">
      <c r="F89" s="9"/>
      <c r="G89" s="28"/>
    </row>
    <row r="90" spans="6:7" ht="26.25" customHeight="1" x14ac:dyDescent="0.25">
      <c r="F90" s="9"/>
      <c r="G90" s="28"/>
    </row>
    <row r="91" spans="6:7" ht="26.25" customHeight="1" x14ac:dyDescent="0.25">
      <c r="F91" s="9"/>
      <c r="G91" s="28"/>
    </row>
    <row r="92" spans="6:7" ht="26.25" customHeight="1" x14ac:dyDescent="0.25">
      <c r="F92" s="9"/>
      <c r="G92" s="28"/>
    </row>
    <row r="93" spans="6:7" ht="26.25" customHeight="1" x14ac:dyDescent="0.25">
      <c r="F93" s="9"/>
      <c r="G93" s="28"/>
    </row>
    <row r="94" spans="6:7" ht="26.25" customHeight="1" x14ac:dyDescent="0.25">
      <c r="F94" s="9"/>
      <c r="G94" s="28"/>
    </row>
    <row r="95" spans="6:7" ht="26.25" customHeight="1" x14ac:dyDescent="0.25">
      <c r="F95" s="9"/>
      <c r="G95" s="28"/>
    </row>
    <row r="96" spans="6:7" ht="26.25" customHeight="1" x14ac:dyDescent="0.25">
      <c r="F96" s="9"/>
      <c r="G96" s="28"/>
    </row>
    <row r="97" spans="6:7" ht="26.25" customHeight="1" x14ac:dyDescent="0.25">
      <c r="F97" s="9"/>
      <c r="G97" s="28"/>
    </row>
    <row r="98" spans="6:7" ht="26.25" customHeight="1" x14ac:dyDescent="0.25">
      <c r="F98" s="9"/>
      <c r="G98" s="28"/>
    </row>
    <row r="99" spans="6:7" ht="26.25" customHeight="1" x14ac:dyDescent="0.25">
      <c r="F99" s="9"/>
      <c r="G99" s="28"/>
    </row>
    <row r="100" spans="6:7" ht="26.25" customHeight="1" x14ac:dyDescent="0.25">
      <c r="F100" s="9"/>
      <c r="G100" s="28"/>
    </row>
    <row r="101" spans="6:7" ht="26.25" customHeight="1" x14ac:dyDescent="0.25">
      <c r="F101" s="9"/>
      <c r="G101" s="28"/>
    </row>
    <row r="102" spans="6:7" ht="26.25" customHeight="1" x14ac:dyDescent="0.25">
      <c r="F102" s="9"/>
      <c r="G102" s="28"/>
    </row>
    <row r="103" spans="6:7" ht="26.25" customHeight="1" x14ac:dyDescent="0.25">
      <c r="F103" s="9"/>
      <c r="G103" s="28"/>
    </row>
    <row r="104" spans="6:7" ht="26.25" customHeight="1" x14ac:dyDescent="0.25">
      <c r="F104" s="9"/>
      <c r="G104" s="28"/>
    </row>
    <row r="105" spans="6:7" ht="26.25" customHeight="1" x14ac:dyDescent="0.25">
      <c r="F105" s="9"/>
      <c r="G105" s="28"/>
    </row>
    <row r="106" spans="6:7" ht="26.25" customHeight="1" x14ac:dyDescent="0.25">
      <c r="F106" s="9"/>
      <c r="G106" s="28"/>
    </row>
    <row r="107" spans="6:7" ht="26.25" customHeight="1" x14ac:dyDescent="0.25">
      <c r="F107" s="9"/>
      <c r="G107" s="28"/>
    </row>
    <row r="108" spans="6:7" ht="26.25" customHeight="1" x14ac:dyDescent="0.25">
      <c r="F108" s="9"/>
      <c r="G108" s="28"/>
    </row>
    <row r="109" spans="6:7" ht="26.25" customHeight="1" x14ac:dyDescent="0.25">
      <c r="F109" s="9"/>
      <c r="G109" s="28"/>
    </row>
    <row r="110" spans="6:7" ht="26.25" customHeight="1" x14ac:dyDescent="0.25">
      <c r="F110" s="9"/>
      <c r="G110" s="28"/>
    </row>
    <row r="111" spans="6:7" ht="26.25" customHeight="1" x14ac:dyDescent="0.25">
      <c r="F111" s="9"/>
      <c r="G111" s="28"/>
    </row>
    <row r="112" spans="6:7" ht="26.25" customHeight="1" x14ac:dyDescent="0.25">
      <c r="F112" s="9"/>
      <c r="G112" s="28"/>
    </row>
    <row r="113" spans="6:7" ht="26.25" customHeight="1" x14ac:dyDescent="0.25">
      <c r="F113" s="9"/>
      <c r="G113" s="28"/>
    </row>
    <row r="114" spans="6:7" ht="26.25" customHeight="1" x14ac:dyDescent="0.25">
      <c r="F114" s="9"/>
      <c r="G114" s="28"/>
    </row>
    <row r="115" spans="6:7" ht="26.25" customHeight="1" x14ac:dyDescent="0.25">
      <c r="F115" s="9"/>
      <c r="G115" s="28"/>
    </row>
    <row r="116" spans="6:7" ht="26.25" customHeight="1" x14ac:dyDescent="0.25">
      <c r="F116" s="9"/>
      <c r="G116" s="28"/>
    </row>
    <row r="117" spans="6:7" ht="26.25" customHeight="1" x14ac:dyDescent="0.25">
      <c r="F117" s="9"/>
      <c r="G117" s="28"/>
    </row>
    <row r="118" spans="6:7" ht="26.25" customHeight="1" x14ac:dyDescent="0.25">
      <c r="F118" s="9"/>
      <c r="G118" s="28"/>
    </row>
    <row r="119" spans="6:7" ht="26.25" customHeight="1" x14ac:dyDescent="0.25">
      <c r="F119" s="9"/>
      <c r="G119" s="28"/>
    </row>
    <row r="120" spans="6:7" ht="26.25" customHeight="1" x14ac:dyDescent="0.25">
      <c r="F120" s="9"/>
      <c r="G120" s="28"/>
    </row>
    <row r="121" spans="6:7" ht="26.25" customHeight="1" x14ac:dyDescent="0.25">
      <c r="F121" s="9"/>
      <c r="G121" s="28"/>
    </row>
    <row r="122" spans="6:7" ht="26.25" customHeight="1" x14ac:dyDescent="0.25">
      <c r="F122" s="9"/>
      <c r="G122" s="28"/>
    </row>
    <row r="123" spans="6:7" ht="26.25" customHeight="1" x14ac:dyDescent="0.25">
      <c r="F123" s="9"/>
      <c r="G123" s="28"/>
    </row>
    <row r="124" spans="6:7" ht="26.25" customHeight="1" x14ac:dyDescent="0.25">
      <c r="F124" s="9"/>
      <c r="G124" s="28"/>
    </row>
  </sheetData>
  <mergeCells count="9">
    <mergeCell ref="A2:I2"/>
    <mergeCell ref="H3:I3"/>
    <mergeCell ref="D4:E4"/>
    <mergeCell ref="A63:C63"/>
    <mergeCell ref="H4:I4"/>
    <mergeCell ref="A4:A5"/>
    <mergeCell ref="B4:B5"/>
    <mergeCell ref="C4:C5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M(2021)&amp;(H1-22)Compare</vt:lpstr>
      <vt:lpstr>M (2021)&amp;(H1-22) (Summary)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UNiQUE</dc:creator>
  <cp:lastModifiedBy>Administrator</cp:lastModifiedBy>
  <cp:lastPrinted>2021-06-24T03:59:57Z</cp:lastPrinted>
  <dcterms:created xsi:type="dcterms:W3CDTF">2016-09-09T02:25:40Z</dcterms:created>
  <dcterms:modified xsi:type="dcterms:W3CDTF">2022-07-15T07:35:52Z</dcterms:modified>
</cp:coreProperties>
</file>