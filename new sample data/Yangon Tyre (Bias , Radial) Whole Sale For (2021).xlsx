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lon Sale (2021)" sheetId="1" r:id="rId4"/>
    <sheet state="visible" name="N Whole Sale Summary (2021)" sheetId="2" r:id="rId5"/>
    <sheet state="visible" name="Radial Sale (2021)" sheetId="3" r:id="rId6"/>
    <sheet state="visible" name="R Whole Sale Summary (2021)" sheetId="4" r:id="rId7"/>
  </sheets>
  <definedNames>
    <definedName name="apple">#REF!</definedName>
  </definedNames>
  <calcPr/>
  <extLst>
    <ext uri="GoogleSheetsCustomDataVersion1">
      <go:sheetsCustomData xmlns:go="http://customooxmlschemas.google.com/" r:id="rId8" roundtripDataSignature="AMtx7mhp3WCCFXLbGPTWOYwGXttBgXGXaQ=="/>
    </ext>
  </extLst>
</workbook>
</file>

<file path=xl/sharedStrings.xml><?xml version="1.0" encoding="utf-8"?>
<sst xmlns="http://schemas.openxmlformats.org/spreadsheetml/2006/main" count="599" uniqueCount="128">
  <si>
    <t xml:space="preserve">                                                                          ဦးတော်မီ 2021 - Yangon Tyre (Nylon) အလုံးရေအရောင်းစာရင်းချုပ်                               </t>
  </si>
  <si>
    <t xml:space="preserve">                                                                             Date-31-12-2021</t>
  </si>
  <si>
    <t>No.</t>
  </si>
  <si>
    <t>Particular</t>
  </si>
  <si>
    <t>5.00-12 Rib</t>
  </si>
  <si>
    <t>5.00-12 R/L</t>
  </si>
  <si>
    <t>5.00-12 (Lug) 747</t>
  </si>
  <si>
    <t>6.00-12 555 AG</t>
  </si>
  <si>
    <t>5.50-13 Rib</t>
  </si>
  <si>
    <t>5.50-13 Lug</t>
  </si>
  <si>
    <t>6.00-13(8PR)Rib(H.W)</t>
  </si>
  <si>
    <t>6.00-13(10PR)Rib</t>
  </si>
  <si>
    <t>6.00-13(10PR)Lug</t>
  </si>
  <si>
    <t>6.00-14 Rib</t>
  </si>
  <si>
    <t>6.00-14 Lug</t>
  </si>
  <si>
    <t>6.50-14 Rib</t>
  </si>
  <si>
    <t>6.00-15 Rib</t>
  </si>
  <si>
    <t>6.00-15 Lug</t>
  </si>
  <si>
    <t>6.50-15 (Rib)</t>
  </si>
  <si>
    <t>6.50-15 (Lug)</t>
  </si>
  <si>
    <t>7.00-15 Grip</t>
  </si>
  <si>
    <t>7.00-15 Rib</t>
  </si>
  <si>
    <t>7.50-15 Rib</t>
  </si>
  <si>
    <t>6.00-16 555 AG</t>
  </si>
  <si>
    <t>6.50-16 (Rib)</t>
  </si>
  <si>
    <t>6.50-16 (Lug)</t>
  </si>
  <si>
    <t>7.00-16(12PR) Rib(H.W)</t>
  </si>
  <si>
    <t>7.00-16(12PR) Rib(727)</t>
  </si>
  <si>
    <t>7.00-16 Grip</t>
  </si>
  <si>
    <t>7.00-16 (14PR)Rib</t>
  </si>
  <si>
    <t>7.00-16 Lug</t>
  </si>
  <si>
    <t>7.50-16 (Rib)</t>
  </si>
  <si>
    <t>7.50-16 (Lug)713</t>
  </si>
  <si>
    <t>7.50-16 (Lug)747</t>
  </si>
  <si>
    <t>8.25-16 (14PR) (Rib)H.W</t>
  </si>
  <si>
    <t>8.25-16 (Lug)713</t>
  </si>
  <si>
    <t>8.25-16 (Lug)747</t>
  </si>
  <si>
    <t>8.25-16 (Lug)737</t>
  </si>
  <si>
    <t>6.50-20 AG</t>
  </si>
  <si>
    <t>8.25-20 (Rib)717</t>
  </si>
  <si>
    <t>8.25-20 (Lug)747</t>
  </si>
  <si>
    <t>8.25-20 (Lug)737</t>
  </si>
  <si>
    <t>9.00-20 (Rib)</t>
  </si>
  <si>
    <t>9.00-20 (Lug)746</t>
  </si>
  <si>
    <t>9.00-20 (Lug)747</t>
  </si>
  <si>
    <t>9.00-20 (Lug)737</t>
  </si>
  <si>
    <t>7.50-16 (AG)</t>
  </si>
  <si>
    <t>11.00-20 (Lug)747</t>
  </si>
  <si>
    <t>10.00-20 (Lug)747</t>
  </si>
  <si>
    <t>10.00-20 (Lug)737</t>
  </si>
  <si>
    <t>9.5 x 24 (8PR)(AG-357)</t>
  </si>
  <si>
    <t>9.5 x 24 (12PR)(AG-357)</t>
  </si>
  <si>
    <t>4.00-8(6PR) Lug(YT-713)</t>
  </si>
  <si>
    <t>4.00-8(6PR)Rib )(YT-748)</t>
  </si>
  <si>
    <t>12.4.24(8PR) AG</t>
  </si>
  <si>
    <t>12.4.24(12PR) AG</t>
  </si>
  <si>
    <t>11.2-24 (12PR) (AG)</t>
  </si>
  <si>
    <t>11.2-24 (8PR) (AG)</t>
  </si>
  <si>
    <t>8.3-24 (8PR)AG</t>
  </si>
  <si>
    <t>8.00-18(8PR)AG</t>
  </si>
  <si>
    <t xml:space="preserve">Total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</si>
  <si>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</si>
  <si>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</si>
  <si>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</si>
  <si>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</si>
  <si>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</si>
  <si>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</si>
  <si>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</si>
  <si>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</si>
  <si>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</si>
  <si>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</si>
  <si>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</si>
  <si>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</si>
  <si>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</si>
  <si>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Page  - 73</t>
  </si>
  <si>
    <t xml:space="preserve">                                                                         ဦး‌မောင်မောင် 2021 - Yangon Tyre (Nylon) အလုံးရေအရောင်းစာရင်းချုပ်                               </t>
  </si>
  <si>
    <t xml:space="preserve">                                                                         Date-31-12-2021</t>
  </si>
  <si>
    <t xml:space="preserve">Page-74 </t>
  </si>
  <si>
    <t xml:space="preserve">                           ဦးအီဆပ် 2021 - Yangon Tyre (Nylon) အလုံးရေအရောင်းစာရင်းချုပ်                               </t>
  </si>
  <si>
    <t xml:space="preserve">                                                                                Date-31-12-2021</t>
  </si>
  <si>
    <t>R Tyre</t>
  </si>
  <si>
    <t xml:space="preserve">                Page-75</t>
  </si>
  <si>
    <t xml:space="preserve">                                                               မန်းပါဝါ 2021 - Yangon Tyre (Nylon) အလုံးရေအရောင်းစာရင်းချုပ်                               </t>
  </si>
  <si>
    <t xml:space="preserve">                                                        Date-31-12-2021</t>
  </si>
  <si>
    <t>4-Customer Yangon Bias Tyre  Whole Sale For (2021)  { အလုံးရေအရောင်းစာရင်းချုပ် }</t>
  </si>
  <si>
    <t>U Tommy</t>
  </si>
  <si>
    <t>U Mg Mg</t>
  </si>
  <si>
    <t>U Eisat</t>
  </si>
  <si>
    <t>Manpower</t>
  </si>
  <si>
    <t>Grand Total</t>
  </si>
  <si>
    <t xml:space="preserve">                       ဦးတော်မီ 2021 - Yangon Tyre (Radial) အလုံးရေအရောင်းစာရင်းချုပ်   </t>
  </si>
  <si>
    <t>31.12.2021</t>
  </si>
  <si>
    <t>145 R 12 C (YT-168)</t>
  </si>
  <si>
    <t>155 R 12 C (YT 168)</t>
  </si>
  <si>
    <t>165 R 13 C (YT 168)</t>
  </si>
  <si>
    <t>165 / 80 R 13 (YT 219)</t>
  </si>
  <si>
    <t>175 R 13 C (YT 168)</t>
  </si>
  <si>
    <t>175 R 14 C (YT 168)</t>
  </si>
  <si>
    <t>175/70 R 14 C (YT 567)</t>
  </si>
  <si>
    <t>185/70 R 14(Premier Taxi)</t>
  </si>
  <si>
    <t>185/70 R 14 (YT-P1)</t>
  </si>
  <si>
    <t>185 R 14 C (YT-168)</t>
  </si>
  <si>
    <t>195 R 14 C (YT-168)</t>
  </si>
  <si>
    <t>195/70 R 14 C (YT-569)</t>
  </si>
  <si>
    <t>215/75 R 15 (YT-701)</t>
  </si>
  <si>
    <t>195 R 15 C (YT-168)</t>
  </si>
  <si>
    <t>195/65 R 15 C (YT-168)</t>
  </si>
  <si>
    <t>195/65 R 15 C (YT-P1)</t>
  </si>
  <si>
    <t>205/70 R 15 (YT-579)</t>
  </si>
  <si>
    <t>205/65 R 15 (YT-P1)</t>
  </si>
  <si>
    <t>205/75 R 16 C (YT-168)</t>
  </si>
  <si>
    <t>265/70 R 16 (YT-700)</t>
  </si>
  <si>
    <t>6.50 R 16 (YTB-300)</t>
  </si>
  <si>
    <t>7.00 R 16 (YT-300)</t>
  </si>
  <si>
    <t>6.50 R 16 (YTB-210)</t>
  </si>
  <si>
    <t>205/85 R 16 (YT-210)</t>
  </si>
  <si>
    <t>195/85 R 16 (YT-210)</t>
  </si>
  <si>
    <t>195/85 R 16 (YT-804)</t>
  </si>
  <si>
    <t>205/85 R 16 (YT-804)</t>
  </si>
  <si>
    <t>700 R 16 (YT-210)</t>
  </si>
  <si>
    <t>5.00 R 12 (YT-268)</t>
  </si>
  <si>
    <t xml:space="preserve">  Page - 15</t>
  </si>
  <si>
    <t xml:space="preserve">                                ဦးမောင်မောင် 2021 - Yangon Tyre (Radial) အလုံးရေအရောင်းစာရင်းချုပ်       </t>
  </si>
  <si>
    <t xml:space="preserve"> </t>
  </si>
  <si>
    <t xml:space="preserve">                                 ဦးအီဆပ် 2021 - Yangon Tyre (Radial) အလုံးရေအရောင်းစာရင်းချုပ်</t>
  </si>
  <si>
    <t xml:space="preserve">                                ဦးစိုင်းလှမြင့် 2021 - Yangon Tyre (Radial) အလုံးရေအရောင်းစာရင်းချုပ်</t>
  </si>
  <si>
    <t>4-Customer Yangon Steel Radial Tyre Whole Sale For (2021)  { အလုံးရေအရောင်းစာရင်းချုပ် }</t>
  </si>
  <si>
    <t>U Sai Hla Myint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</si>
</sst>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Pyidaungsu"/>
    </font>
    <font>
      <b/>
      <sz val="11.0"/>
      <color theme="1"/>
      <name val="Pyidaungsu book"/>
    </font>
    <font>
      <b/>
      <sz val="11.0"/>
      <color theme="1"/>
      <name val="Pyidaungsu"/>
    </font>
    <font/>
    <font>
      <sz val="14.0"/>
      <color theme="1"/>
      <name val="Pyidaungsu"/>
    </font>
    <font>
      <b/>
      <sz val="10.0"/>
      <color theme="1"/>
      <name val="Pyidaungsu"/>
    </font>
    <font>
      <b/>
      <sz val="11.0"/>
      <color theme="1"/>
      <name val="Arial"/>
    </font>
    <font>
      <sz val="10.0"/>
      <color theme="1"/>
      <name val="Pyidaungsu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2" fillId="0" fontId="1" numFmtId="0" xfId="0" applyAlignment="1" applyBorder="1" applyFont="1">
      <alignment horizontal="center" textRotation="90" vertical="center"/>
    </xf>
    <xf borderId="3" fillId="0" fontId="3" numFmtId="0" xfId="0" applyAlignment="1" applyBorder="1" applyFont="1">
      <alignment horizontal="center" textRotation="90" vertical="center"/>
    </xf>
    <xf borderId="4" fillId="0" fontId="4" numFmtId="0" xfId="0" applyBorder="1" applyFont="1"/>
    <xf borderId="5" fillId="0" fontId="3" numFmtId="0" xfId="0" applyAlignment="1" applyBorder="1" applyFont="1">
      <alignment horizontal="center" shrinkToFit="0" textRotation="90" vertical="center" wrapText="1"/>
    </xf>
    <xf borderId="2" fillId="0" fontId="3" numFmtId="0" xfId="0" applyAlignment="1" applyBorder="1" applyFont="1">
      <alignment horizontal="center" shrinkToFit="0" textRotation="90" vertical="center" wrapText="1"/>
    </xf>
    <xf borderId="5" fillId="0" fontId="3" numFmtId="0" xfId="0" applyAlignment="1" applyBorder="1" applyFont="1">
      <alignment horizontal="center" textRotation="90" vertical="center"/>
    </xf>
    <xf borderId="2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2" fillId="2" fontId="3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9" fillId="0" fontId="4" numFmtId="0" xfId="0" applyBorder="1" applyFont="1"/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6" fillId="0" fontId="6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6" fillId="0" fontId="7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13" fillId="0" fontId="4" numFmtId="0" xfId="0" applyBorder="1" applyFont="1"/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textRotation="90" vertical="center"/>
    </xf>
    <xf borderId="6" fillId="0" fontId="8" numFmtId="0" xfId="0" applyAlignment="1" applyBorder="1" applyFont="1">
      <alignment horizontal="center" shrinkToFit="0" textRotation="90" vertical="center" wrapText="1"/>
    </xf>
    <xf borderId="6" fillId="0" fontId="8" numFmtId="0" xfId="0" applyAlignment="1" applyBorder="1" applyFont="1">
      <alignment horizontal="center" textRotation="90" vertical="center"/>
    </xf>
    <xf borderId="2" fillId="0" fontId="8" numFmtId="0" xfId="0" applyAlignment="1" applyBorder="1" applyFont="1">
      <alignment horizontal="center" shrinkToFit="0" textRotation="90" vertical="center" wrapText="1"/>
    </xf>
    <xf borderId="7" fillId="0" fontId="8" numFmtId="0" xfId="0" applyAlignment="1" applyBorder="1" applyFont="1">
      <alignment horizontal="center" textRotation="90" vertical="center"/>
    </xf>
    <xf borderId="2" fillId="0" fontId="6" numFmtId="0" xfId="0" applyAlignment="1" applyBorder="1" applyFont="1">
      <alignment horizontal="center" shrinkToFit="0" textRotation="90" vertical="center" wrapText="1"/>
    </xf>
    <xf borderId="5" fillId="0" fontId="8" numFmtId="0" xfId="0" applyAlignment="1" applyBorder="1" applyFont="1">
      <alignment horizontal="center" shrinkToFit="0" textRotation="90" vertical="center" wrapText="1"/>
    </xf>
    <xf borderId="2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6" fillId="3" fontId="8" numFmtId="0" xfId="0" applyAlignment="1" applyBorder="1" applyFill="1" applyFont="1">
      <alignment horizontal="center" vertical="center"/>
    </xf>
    <xf borderId="2" fillId="3" fontId="8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14" fillId="3" fontId="8" numFmtId="0" xfId="0" applyAlignment="1" applyBorder="1" applyFont="1">
      <alignment horizontal="center" vertical="center"/>
    </xf>
    <xf borderId="15" fillId="0" fontId="4" numFmtId="0" xfId="0" applyBorder="1" applyFont="1"/>
    <xf borderId="2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vertical="center"/>
    </xf>
    <xf borderId="11" fillId="0" fontId="9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vertical="center"/>
    </xf>
    <xf borderId="2" fillId="2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vertical="center"/>
    </xf>
    <xf borderId="16" fillId="0" fontId="4" numFmtId="0" xfId="0" applyBorder="1" applyFont="1"/>
    <xf borderId="2" fillId="2" fontId="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0"/>
    <col customWidth="1" min="3" max="3" width="8.57"/>
    <col customWidth="1" min="4" max="60" width="5.71"/>
    <col customWidth="1" min="61" max="62" width="6.0"/>
    <col customWidth="1" min="63" max="63" width="4.71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ht="30.0" customHeight="1">
      <c r="A2" s="1"/>
      <c r="B2" s="2" t="s">
        <v>0</v>
      </c>
      <c r="BI2" s="3"/>
      <c r="BJ2" s="3"/>
      <c r="BK2" s="3"/>
    </row>
    <row r="3" ht="27.75" customHeight="1">
      <c r="A3" s="1"/>
      <c r="B3" s="3"/>
      <c r="C3" s="3"/>
      <c r="D3" s="3"/>
      <c r="E3" s="3"/>
      <c r="F3" s="3"/>
      <c r="G3" s="3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4" t="s">
        <v>1</v>
      </c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3"/>
      <c r="BJ3" s="3"/>
      <c r="BK3" s="3"/>
    </row>
    <row r="4" ht="168.0" customHeight="1">
      <c r="A4" s="6" t="s">
        <v>2</v>
      </c>
      <c r="B4" s="7" t="s">
        <v>3</v>
      </c>
      <c r="C4" s="8"/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9" t="s">
        <v>15</v>
      </c>
      <c r="P4" s="9" t="s">
        <v>16</v>
      </c>
      <c r="Q4" s="9" t="s">
        <v>17</v>
      </c>
      <c r="R4" s="9" t="s">
        <v>18</v>
      </c>
      <c r="S4" s="9" t="s">
        <v>19</v>
      </c>
      <c r="T4" s="9" t="s">
        <v>20</v>
      </c>
      <c r="U4" s="9" t="s">
        <v>21</v>
      </c>
      <c r="V4" s="9" t="s">
        <v>22</v>
      </c>
      <c r="W4" s="9" t="s">
        <v>23</v>
      </c>
      <c r="X4" s="9" t="s">
        <v>24</v>
      </c>
      <c r="Y4" s="9" t="s">
        <v>25</v>
      </c>
      <c r="Z4" s="9" t="s">
        <v>26</v>
      </c>
      <c r="AA4" s="9" t="s">
        <v>27</v>
      </c>
      <c r="AB4" s="9" t="s">
        <v>28</v>
      </c>
      <c r="AC4" s="9" t="s">
        <v>29</v>
      </c>
      <c r="AD4" s="9" t="s">
        <v>30</v>
      </c>
      <c r="AE4" s="9" t="s">
        <v>31</v>
      </c>
      <c r="AF4" s="9" t="s">
        <v>32</v>
      </c>
      <c r="AG4" s="9" t="s">
        <v>33</v>
      </c>
      <c r="AH4" s="11" t="s">
        <v>34</v>
      </c>
      <c r="AI4" s="9" t="s">
        <v>35</v>
      </c>
      <c r="AJ4" s="9" t="s">
        <v>36</v>
      </c>
      <c r="AK4" s="9" t="s">
        <v>37</v>
      </c>
      <c r="AL4" s="9" t="s">
        <v>38</v>
      </c>
      <c r="AM4" s="9" t="s">
        <v>39</v>
      </c>
      <c r="AN4" s="9" t="s">
        <v>40</v>
      </c>
      <c r="AO4" s="9" t="s">
        <v>41</v>
      </c>
      <c r="AP4" s="9" t="s">
        <v>42</v>
      </c>
      <c r="AQ4" s="9" t="s">
        <v>43</v>
      </c>
      <c r="AR4" s="9" t="s">
        <v>44</v>
      </c>
      <c r="AS4" s="9" t="s">
        <v>45</v>
      </c>
      <c r="AT4" s="9" t="s">
        <v>46</v>
      </c>
      <c r="AU4" s="9" t="s">
        <v>47</v>
      </c>
      <c r="AV4" s="9" t="s">
        <v>48</v>
      </c>
      <c r="AW4" s="9" t="s">
        <v>49</v>
      </c>
      <c r="AX4" s="9" t="s">
        <v>50</v>
      </c>
      <c r="AY4" s="9" t="s">
        <v>51</v>
      </c>
      <c r="AZ4" s="9" t="s">
        <v>52</v>
      </c>
      <c r="BA4" s="9" t="s">
        <v>53</v>
      </c>
      <c r="BB4" s="9" t="s">
        <v>54</v>
      </c>
      <c r="BC4" s="9" t="s">
        <v>55</v>
      </c>
      <c r="BD4" s="9" t="s">
        <v>56</v>
      </c>
      <c r="BE4" s="9" t="s">
        <v>57</v>
      </c>
      <c r="BF4" s="9" t="s">
        <v>58</v>
      </c>
      <c r="BG4" s="9" t="s">
        <v>59</v>
      </c>
      <c r="BH4" s="9" t="s">
        <v>60</v>
      </c>
      <c r="BI4" s="1"/>
      <c r="BJ4" s="1"/>
      <c r="BK4" s="1"/>
    </row>
    <row r="5" ht="37.5" customHeight="1">
      <c r="A5" s="12">
        <v>1.0</v>
      </c>
      <c r="B5" s="13" t="s">
        <v>61</v>
      </c>
      <c r="C5" s="14"/>
      <c r="D5" s="12"/>
      <c r="E5" s="12">
        <v>955.0</v>
      </c>
      <c r="F5" s="12">
        <v>140.0</v>
      </c>
      <c r="G5" s="12">
        <v>785.0</v>
      </c>
      <c r="H5" s="12"/>
      <c r="I5" s="12">
        <v>80.0</v>
      </c>
      <c r="J5" s="12">
        <v>20.0</v>
      </c>
      <c r="K5" s="12"/>
      <c r="L5" s="12"/>
      <c r="M5" s="12"/>
      <c r="N5" s="12">
        <v>435.0</v>
      </c>
      <c r="O5" s="12"/>
      <c r="P5" s="12">
        <v>254.0</v>
      </c>
      <c r="Q5" s="12">
        <v>464.0</v>
      </c>
      <c r="R5" s="12">
        <v>20.0</v>
      </c>
      <c r="S5" s="12">
        <v>20.0</v>
      </c>
      <c r="T5" s="12"/>
      <c r="U5" s="12"/>
      <c r="V5" s="12">
        <v>20.0</v>
      </c>
      <c r="W5" s="12"/>
      <c r="X5" s="12">
        <v>174.0</v>
      </c>
      <c r="Y5" s="12">
        <v>421.0</v>
      </c>
      <c r="Z5" s="12">
        <v>91.0</v>
      </c>
      <c r="AA5" s="12"/>
      <c r="AB5" s="12"/>
      <c r="AC5" s="12">
        <v>118.0</v>
      </c>
      <c r="AD5" s="12">
        <v>620.0</v>
      </c>
      <c r="AE5" s="12">
        <v>74.0</v>
      </c>
      <c r="AF5" s="12">
        <v>414.0</v>
      </c>
      <c r="AG5" s="12">
        <v>31.0</v>
      </c>
      <c r="AH5" s="12"/>
      <c r="AI5" s="12">
        <v>147.0</v>
      </c>
      <c r="AJ5" s="12">
        <v>490.0</v>
      </c>
      <c r="AK5" s="12"/>
      <c r="AL5" s="12"/>
      <c r="AM5" s="12"/>
      <c r="AN5" s="12">
        <v>144.0</v>
      </c>
      <c r="AO5" s="12"/>
      <c r="AP5" s="12"/>
      <c r="AQ5" s="12"/>
      <c r="AR5" s="12">
        <v>100.0</v>
      </c>
      <c r="AS5" s="12"/>
      <c r="AT5" s="12"/>
      <c r="AU5" s="12">
        <v>46.0</v>
      </c>
      <c r="AV5" s="12">
        <v>25.0</v>
      </c>
      <c r="AW5" s="12">
        <v>57.0</v>
      </c>
      <c r="AX5" s="12">
        <v>6.0</v>
      </c>
      <c r="AY5" s="12"/>
      <c r="AZ5" s="12">
        <v>100.0</v>
      </c>
      <c r="BA5" s="12">
        <v>180.0</v>
      </c>
      <c r="BB5" s="12"/>
      <c r="BC5" s="12">
        <v>14.0</v>
      </c>
      <c r="BD5" s="12"/>
      <c r="BE5" s="12"/>
      <c r="BF5" s="12"/>
      <c r="BG5" s="12"/>
      <c r="BH5" s="12">
        <f t="shared" ref="BH5:BH17" si="1">SUM(D5:BG5)</f>
        <v>6445</v>
      </c>
      <c r="BI5" s="1"/>
      <c r="BJ5" s="1"/>
      <c r="BK5" s="1"/>
    </row>
    <row r="6" ht="37.5" customHeight="1">
      <c r="A6" s="12">
        <v>2.0</v>
      </c>
      <c r="B6" s="13" t="s">
        <v>62</v>
      </c>
      <c r="C6" s="14"/>
      <c r="D6" s="12">
        <v>135.0</v>
      </c>
      <c r="E6" s="12">
        <v>360.0</v>
      </c>
      <c r="F6" s="12">
        <v>185.0</v>
      </c>
      <c r="G6" s="12">
        <v>245.0</v>
      </c>
      <c r="H6" s="12"/>
      <c r="I6" s="12"/>
      <c r="J6" s="12"/>
      <c r="K6" s="12"/>
      <c r="L6" s="12"/>
      <c r="M6" s="12"/>
      <c r="N6" s="12">
        <v>180.0</v>
      </c>
      <c r="O6" s="12"/>
      <c r="P6" s="12">
        <v>351.0</v>
      </c>
      <c r="Q6" s="12">
        <v>300.0</v>
      </c>
      <c r="R6" s="12"/>
      <c r="S6" s="12"/>
      <c r="T6" s="12"/>
      <c r="U6" s="12"/>
      <c r="V6" s="12"/>
      <c r="W6" s="12"/>
      <c r="X6" s="12"/>
      <c r="Y6" s="12">
        <v>355.0</v>
      </c>
      <c r="Z6" s="12">
        <v>54.0</v>
      </c>
      <c r="AA6" s="12"/>
      <c r="AB6" s="12"/>
      <c r="AC6" s="12"/>
      <c r="AD6" s="12">
        <v>497.0</v>
      </c>
      <c r="AE6" s="12">
        <v>160.0</v>
      </c>
      <c r="AF6" s="12">
        <v>284.0</v>
      </c>
      <c r="AG6" s="12">
        <v>45.0</v>
      </c>
      <c r="AH6" s="12">
        <v>128.0</v>
      </c>
      <c r="AI6" s="12">
        <v>106.0</v>
      </c>
      <c r="AJ6" s="12">
        <v>297.0</v>
      </c>
      <c r="AK6" s="12"/>
      <c r="AL6" s="12"/>
      <c r="AM6" s="12"/>
      <c r="AN6" s="12">
        <v>71.0</v>
      </c>
      <c r="AO6" s="12"/>
      <c r="AP6" s="12">
        <v>20.0</v>
      </c>
      <c r="AQ6" s="12"/>
      <c r="AR6" s="12">
        <v>80.0</v>
      </c>
      <c r="AS6" s="12"/>
      <c r="AT6" s="12">
        <v>130.0</v>
      </c>
      <c r="AU6" s="12"/>
      <c r="AV6" s="12"/>
      <c r="AW6" s="12"/>
      <c r="AX6" s="12"/>
      <c r="AY6" s="12"/>
      <c r="AZ6" s="12">
        <v>50.0</v>
      </c>
      <c r="BA6" s="12">
        <v>50.0</v>
      </c>
      <c r="BB6" s="12"/>
      <c r="BC6" s="12"/>
      <c r="BD6" s="12"/>
      <c r="BE6" s="12"/>
      <c r="BF6" s="12"/>
      <c r="BG6" s="12"/>
      <c r="BH6" s="12">
        <f t="shared" si="1"/>
        <v>4083</v>
      </c>
      <c r="BI6" s="1"/>
      <c r="BJ6" s="1"/>
      <c r="BK6" s="1"/>
    </row>
    <row r="7" ht="37.5" customHeight="1">
      <c r="A7" s="12">
        <v>3.0</v>
      </c>
      <c r="B7" s="13" t="s">
        <v>63</v>
      </c>
      <c r="C7" s="14"/>
      <c r="D7" s="12">
        <v>65.0</v>
      </c>
      <c r="E7" s="12">
        <v>113.0</v>
      </c>
      <c r="F7" s="12">
        <v>55.0</v>
      </c>
      <c r="G7" s="12">
        <v>75.0</v>
      </c>
      <c r="H7" s="12"/>
      <c r="I7" s="12">
        <v>130.0</v>
      </c>
      <c r="J7" s="12"/>
      <c r="K7" s="12"/>
      <c r="L7" s="12"/>
      <c r="M7" s="12">
        <v>125.0</v>
      </c>
      <c r="N7" s="12">
        <v>169.0</v>
      </c>
      <c r="O7" s="12">
        <v>100.0</v>
      </c>
      <c r="P7" s="12">
        <v>95.0</v>
      </c>
      <c r="Q7" s="12">
        <v>221.0</v>
      </c>
      <c r="R7" s="12"/>
      <c r="S7" s="12"/>
      <c r="T7" s="12">
        <v>80.0</v>
      </c>
      <c r="U7" s="12"/>
      <c r="V7" s="12"/>
      <c r="W7" s="12"/>
      <c r="X7" s="12">
        <v>58.0</v>
      </c>
      <c r="Y7" s="12">
        <v>180.0</v>
      </c>
      <c r="Z7" s="12">
        <v>40.0</v>
      </c>
      <c r="AA7" s="12"/>
      <c r="AB7" s="12"/>
      <c r="AC7" s="12">
        <v>130.0</v>
      </c>
      <c r="AD7" s="12">
        <v>330.0</v>
      </c>
      <c r="AE7" s="12"/>
      <c r="AF7" s="12">
        <v>135.0</v>
      </c>
      <c r="AG7" s="12">
        <v>54.0</v>
      </c>
      <c r="AH7" s="12">
        <v>70.0</v>
      </c>
      <c r="AI7" s="12"/>
      <c r="AJ7" s="12">
        <v>215.0</v>
      </c>
      <c r="AK7" s="12">
        <v>55.0</v>
      </c>
      <c r="AL7" s="12"/>
      <c r="AM7" s="12"/>
      <c r="AN7" s="12">
        <v>19.0</v>
      </c>
      <c r="AO7" s="12"/>
      <c r="AP7" s="12"/>
      <c r="AQ7" s="12">
        <v>27.0</v>
      </c>
      <c r="AR7" s="12"/>
      <c r="AS7" s="12"/>
      <c r="AT7" s="12">
        <v>75.0</v>
      </c>
      <c r="AU7" s="12">
        <v>19.0</v>
      </c>
      <c r="AV7" s="12">
        <v>16.0</v>
      </c>
      <c r="AW7" s="12"/>
      <c r="AX7" s="12"/>
      <c r="AY7" s="12"/>
      <c r="AZ7" s="12"/>
      <c r="BA7" s="12">
        <v>20.0</v>
      </c>
      <c r="BB7" s="12"/>
      <c r="BC7" s="12"/>
      <c r="BD7" s="12"/>
      <c r="BE7" s="12"/>
      <c r="BF7" s="12"/>
      <c r="BG7" s="12"/>
      <c r="BH7" s="12">
        <f t="shared" si="1"/>
        <v>2671</v>
      </c>
      <c r="BI7" s="1"/>
      <c r="BJ7" s="1"/>
      <c r="BK7" s="1"/>
    </row>
    <row r="8" ht="37.5" customHeight="1">
      <c r="A8" s="12">
        <v>4.0</v>
      </c>
      <c r="B8" s="13" t="s">
        <v>64</v>
      </c>
      <c r="C8" s="14"/>
      <c r="D8" s="12"/>
      <c r="E8" s="12">
        <v>266.0</v>
      </c>
      <c r="F8" s="12">
        <v>100.0</v>
      </c>
      <c r="G8" s="12">
        <v>110.0</v>
      </c>
      <c r="H8" s="12"/>
      <c r="I8" s="12">
        <v>20.0</v>
      </c>
      <c r="J8" s="12"/>
      <c r="K8" s="12"/>
      <c r="L8" s="12"/>
      <c r="M8" s="12"/>
      <c r="N8" s="12">
        <v>276.0</v>
      </c>
      <c r="O8" s="12"/>
      <c r="P8" s="12">
        <v>200.0</v>
      </c>
      <c r="Q8" s="12">
        <v>152.0</v>
      </c>
      <c r="R8" s="12"/>
      <c r="S8" s="12"/>
      <c r="T8" s="12"/>
      <c r="U8" s="12"/>
      <c r="V8" s="12"/>
      <c r="W8" s="12"/>
      <c r="X8" s="12">
        <v>80.0</v>
      </c>
      <c r="Y8" s="12">
        <v>200.0</v>
      </c>
      <c r="Z8" s="12">
        <v>142.0</v>
      </c>
      <c r="AA8" s="12"/>
      <c r="AB8" s="12"/>
      <c r="AC8" s="12">
        <v>50.0</v>
      </c>
      <c r="AD8" s="12">
        <v>170.0</v>
      </c>
      <c r="AE8" s="12">
        <v>31.0</v>
      </c>
      <c r="AF8" s="12">
        <v>114.0</v>
      </c>
      <c r="AG8" s="12">
        <v>37.0</v>
      </c>
      <c r="AH8" s="12">
        <v>60.0</v>
      </c>
      <c r="AI8" s="12">
        <v>65.0</v>
      </c>
      <c r="AJ8" s="12">
        <v>225.0</v>
      </c>
      <c r="AK8" s="12"/>
      <c r="AL8" s="12"/>
      <c r="AM8" s="12"/>
      <c r="AN8" s="12">
        <v>35.0</v>
      </c>
      <c r="AO8" s="12"/>
      <c r="AP8" s="12"/>
      <c r="AQ8" s="12"/>
      <c r="AR8" s="12"/>
      <c r="AS8" s="12"/>
      <c r="AT8" s="12">
        <v>52.0</v>
      </c>
      <c r="AU8" s="12"/>
      <c r="AV8" s="12"/>
      <c r="AW8" s="12"/>
      <c r="AX8" s="12"/>
      <c r="AY8" s="12"/>
      <c r="AZ8" s="12">
        <v>60.0</v>
      </c>
      <c r="BA8" s="12">
        <v>25.0</v>
      </c>
      <c r="BB8" s="12"/>
      <c r="BC8" s="12">
        <v>10.0</v>
      </c>
      <c r="BD8" s="12"/>
      <c r="BE8" s="12"/>
      <c r="BF8" s="12"/>
      <c r="BG8" s="12"/>
      <c r="BH8" s="12">
        <f t="shared" si="1"/>
        <v>2480</v>
      </c>
      <c r="BI8" s="1"/>
      <c r="BJ8" s="1"/>
      <c r="BK8" s="1"/>
    </row>
    <row r="9" ht="37.5" customHeight="1">
      <c r="A9" s="12">
        <v>5.0</v>
      </c>
      <c r="B9" s="13" t="s">
        <v>65</v>
      </c>
      <c r="C9" s="14"/>
      <c r="D9" s="12"/>
      <c r="E9" s="12">
        <v>661.0</v>
      </c>
      <c r="F9" s="12">
        <v>585.0</v>
      </c>
      <c r="G9" s="12">
        <v>450.0</v>
      </c>
      <c r="H9" s="12"/>
      <c r="I9" s="12">
        <v>315.0</v>
      </c>
      <c r="J9" s="12"/>
      <c r="K9" s="12"/>
      <c r="L9" s="12">
        <v>105.0</v>
      </c>
      <c r="M9" s="12"/>
      <c r="N9" s="12">
        <v>405.0</v>
      </c>
      <c r="O9" s="12"/>
      <c r="P9" s="12">
        <v>270.0</v>
      </c>
      <c r="Q9" s="12">
        <v>405.0</v>
      </c>
      <c r="R9" s="12"/>
      <c r="S9" s="12"/>
      <c r="T9" s="12">
        <v>170.0</v>
      </c>
      <c r="U9" s="12">
        <v>80.0</v>
      </c>
      <c r="V9" s="12">
        <v>75.0</v>
      </c>
      <c r="W9" s="12"/>
      <c r="X9" s="12"/>
      <c r="Y9" s="12">
        <v>280.0</v>
      </c>
      <c r="Z9" s="12"/>
      <c r="AA9" s="12"/>
      <c r="AB9" s="12"/>
      <c r="AC9" s="12">
        <v>170.0</v>
      </c>
      <c r="AD9" s="12">
        <v>620.0</v>
      </c>
      <c r="AE9" s="12">
        <v>69.0</v>
      </c>
      <c r="AF9" s="12">
        <v>291.0</v>
      </c>
      <c r="AG9" s="12">
        <v>50.0</v>
      </c>
      <c r="AH9" s="12">
        <v>105.0</v>
      </c>
      <c r="AI9" s="12">
        <v>105.0</v>
      </c>
      <c r="AJ9" s="12">
        <v>555.0</v>
      </c>
      <c r="AK9" s="12">
        <v>60.0</v>
      </c>
      <c r="AL9" s="12">
        <v>65.0</v>
      </c>
      <c r="AM9" s="12"/>
      <c r="AN9" s="12">
        <v>275.0</v>
      </c>
      <c r="AO9" s="12"/>
      <c r="AP9" s="12"/>
      <c r="AQ9" s="12"/>
      <c r="AR9" s="12">
        <v>40.0</v>
      </c>
      <c r="AS9" s="12"/>
      <c r="AT9" s="12">
        <v>83.0</v>
      </c>
      <c r="AU9" s="12">
        <v>60.0</v>
      </c>
      <c r="AV9" s="12">
        <v>54.0</v>
      </c>
      <c r="AW9" s="12"/>
      <c r="AX9" s="12"/>
      <c r="AY9" s="12"/>
      <c r="AZ9" s="12">
        <v>190.0</v>
      </c>
      <c r="BA9" s="12">
        <v>175.0</v>
      </c>
      <c r="BB9" s="12"/>
      <c r="BC9" s="12"/>
      <c r="BD9" s="12"/>
      <c r="BE9" s="12"/>
      <c r="BF9" s="12"/>
      <c r="BG9" s="12"/>
      <c r="BH9" s="12">
        <f t="shared" si="1"/>
        <v>6768</v>
      </c>
      <c r="BI9" s="1"/>
      <c r="BJ9" s="1"/>
      <c r="BK9" s="1"/>
    </row>
    <row r="10" ht="30.75" customHeight="1">
      <c r="A10" s="12">
        <v>6.0</v>
      </c>
      <c r="B10" s="13" t="s">
        <v>66</v>
      </c>
      <c r="C10" s="14"/>
      <c r="D10" s="12">
        <v>20.0</v>
      </c>
      <c r="E10" s="12">
        <v>530.0</v>
      </c>
      <c r="F10" s="12">
        <v>245.0</v>
      </c>
      <c r="G10" s="12">
        <v>80.0</v>
      </c>
      <c r="H10" s="12">
        <v>20.0</v>
      </c>
      <c r="I10" s="12">
        <v>65.0</v>
      </c>
      <c r="J10" s="12"/>
      <c r="K10" s="12">
        <v>150.0</v>
      </c>
      <c r="L10" s="12">
        <v>35.0</v>
      </c>
      <c r="M10" s="12">
        <v>140.0</v>
      </c>
      <c r="N10" s="12">
        <v>120.0</v>
      </c>
      <c r="O10" s="12">
        <v>120.0</v>
      </c>
      <c r="P10" s="12">
        <v>265.0</v>
      </c>
      <c r="Q10" s="12">
        <v>323.0</v>
      </c>
      <c r="R10" s="12"/>
      <c r="S10" s="12"/>
      <c r="T10" s="12">
        <v>60.0</v>
      </c>
      <c r="U10" s="12">
        <v>55.0</v>
      </c>
      <c r="V10" s="12">
        <v>35.0</v>
      </c>
      <c r="W10" s="12">
        <v>75.0</v>
      </c>
      <c r="X10" s="12">
        <v>190.0</v>
      </c>
      <c r="Y10" s="12">
        <v>240.0</v>
      </c>
      <c r="Z10" s="12">
        <v>100.0</v>
      </c>
      <c r="AA10" s="12"/>
      <c r="AB10" s="12"/>
      <c r="AC10" s="12">
        <v>200.0</v>
      </c>
      <c r="AD10" s="12">
        <v>340.0</v>
      </c>
      <c r="AE10" s="12">
        <v>130.0</v>
      </c>
      <c r="AF10" s="12">
        <v>220.0</v>
      </c>
      <c r="AG10" s="12">
        <v>65.0</v>
      </c>
      <c r="AH10" s="12">
        <v>65.0</v>
      </c>
      <c r="AI10" s="12">
        <v>30.0</v>
      </c>
      <c r="AJ10" s="12">
        <v>260.0</v>
      </c>
      <c r="AK10" s="12">
        <v>60.0</v>
      </c>
      <c r="AL10" s="12"/>
      <c r="AM10" s="12">
        <v>35.0</v>
      </c>
      <c r="AN10" s="12">
        <v>75.0</v>
      </c>
      <c r="AO10" s="12">
        <v>30.0</v>
      </c>
      <c r="AP10" s="12"/>
      <c r="AQ10" s="12"/>
      <c r="AR10" s="12">
        <v>95.0</v>
      </c>
      <c r="AS10" s="12"/>
      <c r="AT10" s="12">
        <v>15.0</v>
      </c>
      <c r="AU10" s="12">
        <v>40.0</v>
      </c>
      <c r="AV10" s="12"/>
      <c r="AW10" s="12"/>
      <c r="AX10" s="12">
        <v>10.0</v>
      </c>
      <c r="AY10" s="12"/>
      <c r="AZ10" s="12">
        <v>50.0</v>
      </c>
      <c r="BA10" s="12">
        <v>60.0</v>
      </c>
      <c r="BB10" s="12"/>
      <c r="BC10" s="12">
        <v>12.0</v>
      </c>
      <c r="BD10" s="12"/>
      <c r="BE10" s="12">
        <v>8.0</v>
      </c>
      <c r="BF10" s="12"/>
      <c r="BG10" s="12">
        <v>6.0</v>
      </c>
      <c r="BH10" s="12">
        <f t="shared" si="1"/>
        <v>4674</v>
      </c>
      <c r="BI10" s="1"/>
      <c r="BJ10" s="1"/>
      <c r="BK10" s="1"/>
    </row>
    <row r="11" ht="37.5" customHeight="1">
      <c r="A11" s="12">
        <v>7.0</v>
      </c>
      <c r="B11" s="13" t="s">
        <v>67</v>
      </c>
      <c r="C11" s="14"/>
      <c r="D11" s="12">
        <v>80.0</v>
      </c>
      <c r="E11" s="12">
        <v>230.0</v>
      </c>
      <c r="F11" s="12"/>
      <c r="G11" s="12"/>
      <c r="H11" s="12">
        <v>120.0</v>
      </c>
      <c r="I11" s="12">
        <v>40.0</v>
      </c>
      <c r="J11" s="12"/>
      <c r="K11" s="12"/>
      <c r="L11" s="12">
        <v>40.0</v>
      </c>
      <c r="M11" s="12"/>
      <c r="N11" s="12"/>
      <c r="O11" s="12"/>
      <c r="P11" s="12">
        <v>80.0</v>
      </c>
      <c r="Q11" s="12"/>
      <c r="R11" s="12"/>
      <c r="S11" s="12"/>
      <c r="T11" s="12"/>
      <c r="U11" s="12"/>
      <c r="V11" s="12"/>
      <c r="W11" s="12"/>
      <c r="X11" s="12">
        <v>50.0</v>
      </c>
      <c r="Y11" s="12">
        <v>20.0</v>
      </c>
      <c r="Z11" s="12">
        <v>20.0</v>
      </c>
      <c r="AA11" s="12"/>
      <c r="AB11" s="12"/>
      <c r="AC11" s="12">
        <v>60.0</v>
      </c>
      <c r="AD11" s="12">
        <v>15.0</v>
      </c>
      <c r="AE11" s="12">
        <v>90.0</v>
      </c>
      <c r="AF11" s="12">
        <v>30.0</v>
      </c>
      <c r="AG11" s="12">
        <v>25.0</v>
      </c>
      <c r="AH11" s="12"/>
      <c r="AI11" s="12"/>
      <c r="AJ11" s="12">
        <v>15.0</v>
      </c>
      <c r="AK11" s="12">
        <v>25.0</v>
      </c>
      <c r="AL11" s="12"/>
      <c r="AM11" s="12"/>
      <c r="AN11" s="12"/>
      <c r="AO11" s="12"/>
      <c r="AP11" s="12">
        <v>6.0</v>
      </c>
      <c r="AQ11" s="12"/>
      <c r="AR11" s="12"/>
      <c r="AS11" s="12"/>
      <c r="AT11" s="12"/>
      <c r="AU11" s="12"/>
      <c r="AV11" s="12"/>
      <c r="AW11" s="12"/>
      <c r="AX11" s="12">
        <v>4.0</v>
      </c>
      <c r="AY11" s="12"/>
      <c r="AZ11" s="12"/>
      <c r="BA11" s="12"/>
      <c r="BB11" s="12"/>
      <c r="BC11" s="12"/>
      <c r="BD11" s="12"/>
      <c r="BE11" s="12"/>
      <c r="BF11" s="12"/>
      <c r="BG11" s="12"/>
      <c r="BH11" s="12">
        <f t="shared" si="1"/>
        <v>950</v>
      </c>
      <c r="BI11" s="1"/>
      <c r="BJ11" s="1"/>
      <c r="BK11" s="1"/>
    </row>
    <row r="12" ht="37.5" customHeight="1">
      <c r="A12" s="12">
        <v>8.0</v>
      </c>
      <c r="B12" s="13" t="s">
        <v>68</v>
      </c>
      <c r="C12" s="14"/>
      <c r="D12" s="12">
        <v>30.0</v>
      </c>
      <c r="E12" s="12">
        <v>190.0</v>
      </c>
      <c r="F12" s="12">
        <v>100.0</v>
      </c>
      <c r="G12" s="12"/>
      <c r="H12" s="12">
        <v>10.0</v>
      </c>
      <c r="I12" s="12">
        <v>60.0</v>
      </c>
      <c r="J12" s="12">
        <v>50.0</v>
      </c>
      <c r="K12" s="12">
        <v>50.0</v>
      </c>
      <c r="L12" s="12">
        <v>80.0</v>
      </c>
      <c r="M12" s="12">
        <v>50.0</v>
      </c>
      <c r="N12" s="12"/>
      <c r="O12" s="12"/>
      <c r="P12" s="12">
        <v>85.0</v>
      </c>
      <c r="Q12" s="12"/>
      <c r="R12" s="12">
        <v>20.0</v>
      </c>
      <c r="S12" s="12"/>
      <c r="T12" s="12"/>
      <c r="U12" s="12">
        <v>30.0</v>
      </c>
      <c r="V12" s="12">
        <v>40.0</v>
      </c>
      <c r="W12" s="12"/>
      <c r="X12" s="12">
        <v>82.0</v>
      </c>
      <c r="Y12" s="12">
        <v>60.0</v>
      </c>
      <c r="Z12" s="12">
        <v>80.0</v>
      </c>
      <c r="AA12" s="12"/>
      <c r="AB12" s="12"/>
      <c r="AC12" s="12">
        <v>140.0</v>
      </c>
      <c r="AD12" s="12">
        <v>126.0</v>
      </c>
      <c r="AE12" s="12">
        <v>80.0</v>
      </c>
      <c r="AF12" s="12">
        <v>15.0</v>
      </c>
      <c r="AG12" s="12"/>
      <c r="AH12" s="12">
        <v>30.0</v>
      </c>
      <c r="AI12" s="12"/>
      <c r="AJ12" s="12">
        <v>35.0</v>
      </c>
      <c r="AK12" s="12"/>
      <c r="AL12" s="12">
        <v>20.0</v>
      </c>
      <c r="AM12" s="12">
        <v>45.0</v>
      </c>
      <c r="AN12" s="12">
        <v>40.0</v>
      </c>
      <c r="AO12" s="12"/>
      <c r="AP12" s="12">
        <v>44.0</v>
      </c>
      <c r="AQ12" s="12"/>
      <c r="AR12" s="12">
        <v>50.0</v>
      </c>
      <c r="AS12" s="12"/>
      <c r="AT12" s="12"/>
      <c r="AU12" s="12"/>
      <c r="AV12" s="12">
        <v>25.0</v>
      </c>
      <c r="AW12" s="12"/>
      <c r="AX12" s="12">
        <v>8.0</v>
      </c>
      <c r="AY12" s="12"/>
      <c r="AZ12" s="12">
        <v>100.0</v>
      </c>
      <c r="BA12" s="12">
        <v>140.0</v>
      </c>
      <c r="BB12" s="12"/>
      <c r="BC12" s="12"/>
      <c r="BD12" s="12"/>
      <c r="BE12" s="12"/>
      <c r="BF12" s="12"/>
      <c r="BG12" s="12">
        <v>6.0</v>
      </c>
      <c r="BH12" s="12">
        <f t="shared" si="1"/>
        <v>1921</v>
      </c>
      <c r="BI12" s="1"/>
      <c r="BJ12" s="1"/>
      <c r="BK12" s="1"/>
    </row>
    <row r="13" ht="37.5" customHeight="1">
      <c r="A13" s="12">
        <v>9.0</v>
      </c>
      <c r="B13" s="13" t="s">
        <v>69</v>
      </c>
      <c r="C13" s="14"/>
      <c r="D13" s="12">
        <v>130.0</v>
      </c>
      <c r="E13" s="12">
        <v>450.0</v>
      </c>
      <c r="F13" s="12">
        <v>200.0</v>
      </c>
      <c r="G13" s="12">
        <v>60.0</v>
      </c>
      <c r="H13" s="12">
        <v>100.0</v>
      </c>
      <c r="I13" s="12">
        <v>80.0</v>
      </c>
      <c r="J13" s="12"/>
      <c r="K13" s="12">
        <v>50.0</v>
      </c>
      <c r="L13" s="12">
        <v>80.0</v>
      </c>
      <c r="M13" s="12">
        <v>50.0</v>
      </c>
      <c r="N13" s="12">
        <v>140.0</v>
      </c>
      <c r="O13" s="12">
        <v>50.0</v>
      </c>
      <c r="P13" s="12">
        <v>150.0</v>
      </c>
      <c r="Q13" s="12">
        <v>200.0</v>
      </c>
      <c r="R13" s="12">
        <v>50.0</v>
      </c>
      <c r="S13" s="12">
        <v>40.0</v>
      </c>
      <c r="T13" s="12"/>
      <c r="U13" s="12">
        <v>35.0</v>
      </c>
      <c r="V13" s="12"/>
      <c r="W13" s="12"/>
      <c r="X13" s="12">
        <v>140.0</v>
      </c>
      <c r="Y13" s="12">
        <v>190.0</v>
      </c>
      <c r="Z13" s="12">
        <v>18.0</v>
      </c>
      <c r="AA13" s="12"/>
      <c r="AB13" s="12"/>
      <c r="AC13" s="12">
        <v>120.0</v>
      </c>
      <c r="AD13" s="12">
        <v>250.0</v>
      </c>
      <c r="AE13" s="12">
        <v>100.0</v>
      </c>
      <c r="AF13" s="12">
        <v>190.0</v>
      </c>
      <c r="AG13" s="12">
        <v>13.0</v>
      </c>
      <c r="AH13" s="12"/>
      <c r="AI13" s="12"/>
      <c r="AJ13" s="12">
        <v>210.0</v>
      </c>
      <c r="AK13" s="12">
        <v>50.0</v>
      </c>
      <c r="AL13" s="12">
        <v>40.0</v>
      </c>
      <c r="AM13" s="12">
        <v>20.0</v>
      </c>
      <c r="AN13" s="12">
        <v>75.0</v>
      </c>
      <c r="AO13" s="12">
        <v>70.0</v>
      </c>
      <c r="AP13" s="12"/>
      <c r="AQ13" s="12"/>
      <c r="AR13" s="12">
        <v>15.0</v>
      </c>
      <c r="AS13" s="12"/>
      <c r="AT13" s="12">
        <v>15.0</v>
      </c>
      <c r="AU13" s="12">
        <v>0.0</v>
      </c>
      <c r="AV13" s="12">
        <v>30.0</v>
      </c>
      <c r="AW13" s="12"/>
      <c r="AX13" s="12">
        <v>4.0</v>
      </c>
      <c r="AY13" s="12"/>
      <c r="AZ13" s="12">
        <v>50.0</v>
      </c>
      <c r="BA13" s="12"/>
      <c r="BB13" s="12"/>
      <c r="BC13" s="12">
        <v>2.0</v>
      </c>
      <c r="BD13" s="12"/>
      <c r="BE13" s="12">
        <v>4.0</v>
      </c>
      <c r="BF13" s="12">
        <v>2.0</v>
      </c>
      <c r="BG13" s="12"/>
      <c r="BH13" s="12">
        <f t="shared" si="1"/>
        <v>3473</v>
      </c>
      <c r="BI13" s="1"/>
      <c r="BJ13" s="1"/>
      <c r="BK13" s="1"/>
    </row>
    <row r="14" ht="37.5" customHeight="1">
      <c r="A14" s="12">
        <v>10.0</v>
      </c>
      <c r="B14" s="13" t="s">
        <v>70</v>
      </c>
      <c r="C14" s="14"/>
      <c r="D14" s="12">
        <v>40.0</v>
      </c>
      <c r="E14" s="12">
        <v>205.0</v>
      </c>
      <c r="F14" s="12">
        <v>120.0</v>
      </c>
      <c r="G14" s="12">
        <v>65.0</v>
      </c>
      <c r="H14" s="12"/>
      <c r="I14" s="12">
        <v>30.0</v>
      </c>
      <c r="J14" s="12"/>
      <c r="K14" s="12"/>
      <c r="L14" s="12">
        <v>20.0</v>
      </c>
      <c r="M14" s="12"/>
      <c r="N14" s="12">
        <v>137.0</v>
      </c>
      <c r="O14" s="12">
        <v>31.0</v>
      </c>
      <c r="P14" s="12">
        <v>70.0</v>
      </c>
      <c r="Q14" s="12">
        <v>100.0</v>
      </c>
      <c r="R14" s="12"/>
      <c r="S14" s="12"/>
      <c r="T14" s="12"/>
      <c r="U14" s="12"/>
      <c r="V14" s="12"/>
      <c r="W14" s="12"/>
      <c r="X14" s="12">
        <v>68.0</v>
      </c>
      <c r="Y14" s="12">
        <v>110.0</v>
      </c>
      <c r="Z14" s="12">
        <v>160.0</v>
      </c>
      <c r="AA14" s="12"/>
      <c r="AB14" s="12"/>
      <c r="AC14" s="12">
        <v>110.0</v>
      </c>
      <c r="AD14" s="12">
        <v>290.0</v>
      </c>
      <c r="AE14" s="12">
        <v>60.0</v>
      </c>
      <c r="AF14" s="12">
        <v>60.0</v>
      </c>
      <c r="AG14" s="12"/>
      <c r="AH14" s="12">
        <v>75.0</v>
      </c>
      <c r="AI14" s="12"/>
      <c r="AJ14" s="12">
        <v>105.0</v>
      </c>
      <c r="AK14" s="12">
        <v>11.0</v>
      </c>
      <c r="AL14" s="12"/>
      <c r="AM14" s="12">
        <v>20.0</v>
      </c>
      <c r="AN14" s="12"/>
      <c r="AO14" s="12"/>
      <c r="AP14" s="12"/>
      <c r="AQ14" s="12"/>
      <c r="AR14" s="12">
        <v>20.0</v>
      </c>
      <c r="AS14" s="12"/>
      <c r="AT14" s="12"/>
      <c r="AU14" s="12"/>
      <c r="AV14" s="12"/>
      <c r="AW14" s="12"/>
      <c r="AX14" s="12"/>
      <c r="AY14" s="12"/>
      <c r="AZ14" s="12">
        <v>160.0</v>
      </c>
      <c r="BA14" s="12">
        <v>100.0</v>
      </c>
      <c r="BB14" s="12"/>
      <c r="BC14" s="12">
        <v>12.0</v>
      </c>
      <c r="BD14" s="12"/>
      <c r="BE14" s="12">
        <v>6.0</v>
      </c>
      <c r="BF14" s="12"/>
      <c r="BG14" s="12"/>
      <c r="BH14" s="12">
        <f t="shared" si="1"/>
        <v>2185</v>
      </c>
      <c r="BI14" s="1"/>
      <c r="BJ14" s="1"/>
      <c r="BK14" s="1"/>
    </row>
    <row r="15" ht="37.5" customHeight="1">
      <c r="A15" s="12">
        <v>11.0</v>
      </c>
      <c r="B15" s="13" t="s">
        <v>71</v>
      </c>
      <c r="C15" s="14"/>
      <c r="D15" s="12">
        <v>39.0</v>
      </c>
      <c r="E15" s="12">
        <v>438.0</v>
      </c>
      <c r="F15" s="12">
        <v>228.0</v>
      </c>
      <c r="G15" s="12">
        <v>300.0</v>
      </c>
      <c r="H15" s="12">
        <v>60.0</v>
      </c>
      <c r="I15" s="12">
        <v>100.0</v>
      </c>
      <c r="J15" s="12">
        <v>38.0</v>
      </c>
      <c r="K15" s="12">
        <v>20.0</v>
      </c>
      <c r="L15" s="12">
        <v>39.0</v>
      </c>
      <c r="M15" s="12"/>
      <c r="N15" s="12">
        <v>120.0</v>
      </c>
      <c r="O15" s="12"/>
      <c r="P15" s="12">
        <v>165.0</v>
      </c>
      <c r="Q15" s="12">
        <v>180.0</v>
      </c>
      <c r="R15" s="12"/>
      <c r="S15" s="12">
        <v>20.0</v>
      </c>
      <c r="T15" s="12"/>
      <c r="U15" s="12"/>
      <c r="V15" s="12"/>
      <c r="W15" s="12"/>
      <c r="X15" s="12">
        <v>100.0</v>
      </c>
      <c r="Y15" s="12">
        <v>238.0</v>
      </c>
      <c r="Z15" s="12">
        <v>57.0</v>
      </c>
      <c r="AA15" s="12"/>
      <c r="AB15" s="12"/>
      <c r="AC15" s="12">
        <v>145.0</v>
      </c>
      <c r="AD15" s="12">
        <v>289.0</v>
      </c>
      <c r="AE15" s="12">
        <v>89.0</v>
      </c>
      <c r="AF15" s="12">
        <v>130.0</v>
      </c>
      <c r="AG15" s="12"/>
      <c r="AH15" s="12">
        <v>38.0</v>
      </c>
      <c r="AI15" s="12">
        <v>40.0</v>
      </c>
      <c r="AJ15" s="12">
        <v>223.0</v>
      </c>
      <c r="AK15" s="12"/>
      <c r="AL15" s="12"/>
      <c r="AM15" s="12">
        <v>9.0</v>
      </c>
      <c r="AN15" s="12">
        <v>89.0</v>
      </c>
      <c r="AO15" s="12"/>
      <c r="AP15" s="12">
        <v>4.0</v>
      </c>
      <c r="AQ15" s="12"/>
      <c r="AR15" s="12">
        <v>34.0</v>
      </c>
      <c r="AS15" s="12">
        <v>50.0</v>
      </c>
      <c r="AT15" s="12"/>
      <c r="AU15" s="12">
        <v>5.0</v>
      </c>
      <c r="AV15" s="12">
        <v>18.0</v>
      </c>
      <c r="AW15" s="12"/>
      <c r="AX15" s="12">
        <v>20.0</v>
      </c>
      <c r="AY15" s="12"/>
      <c r="AZ15" s="12"/>
      <c r="BA15" s="12">
        <v>140.0</v>
      </c>
      <c r="BB15" s="12"/>
      <c r="BC15" s="12"/>
      <c r="BD15" s="12"/>
      <c r="BE15" s="12"/>
      <c r="BF15" s="12">
        <v>6.0</v>
      </c>
      <c r="BG15" s="12"/>
      <c r="BH15" s="12">
        <f t="shared" si="1"/>
        <v>3471</v>
      </c>
      <c r="BI15" s="1"/>
      <c r="BJ15" s="1"/>
      <c r="BK15" s="1"/>
    </row>
    <row r="16" ht="37.5" customHeight="1">
      <c r="A16" s="12">
        <v>12.0</v>
      </c>
      <c r="B16" s="13" t="s">
        <v>72</v>
      </c>
      <c r="C16" s="14"/>
      <c r="D16" s="12">
        <v>91.0</v>
      </c>
      <c r="E16" s="12">
        <v>429.0</v>
      </c>
      <c r="F16" s="12">
        <v>131.0</v>
      </c>
      <c r="G16" s="12">
        <v>220.0</v>
      </c>
      <c r="H16" s="12">
        <v>19.0</v>
      </c>
      <c r="I16" s="12">
        <v>89.0</v>
      </c>
      <c r="J16" s="12">
        <v>38.0</v>
      </c>
      <c r="K16" s="12">
        <v>59.0</v>
      </c>
      <c r="L16" s="12">
        <v>81.0</v>
      </c>
      <c r="M16" s="12">
        <v>100.0</v>
      </c>
      <c r="N16" s="12">
        <v>180.0</v>
      </c>
      <c r="O16" s="12"/>
      <c r="P16" s="12">
        <v>193.0</v>
      </c>
      <c r="Q16" s="12">
        <v>220.0</v>
      </c>
      <c r="R16" s="12"/>
      <c r="S16" s="12"/>
      <c r="T16" s="12"/>
      <c r="U16" s="12">
        <v>50.0</v>
      </c>
      <c r="V16" s="12">
        <v>50.0</v>
      </c>
      <c r="W16" s="12"/>
      <c r="X16" s="12">
        <v>140.0</v>
      </c>
      <c r="Y16" s="12">
        <v>229.0</v>
      </c>
      <c r="Z16" s="12">
        <v>43.0</v>
      </c>
      <c r="AA16" s="12"/>
      <c r="AB16" s="12"/>
      <c r="AC16" s="12">
        <v>123.0</v>
      </c>
      <c r="AD16" s="12">
        <v>399.0</v>
      </c>
      <c r="AE16" s="12">
        <v>59.0</v>
      </c>
      <c r="AF16" s="12">
        <v>200.0</v>
      </c>
      <c r="AG16" s="12">
        <v>50.0</v>
      </c>
      <c r="AH16" s="12">
        <v>62.0</v>
      </c>
      <c r="AI16" s="12">
        <v>60.0</v>
      </c>
      <c r="AJ16" s="12">
        <v>257.0</v>
      </c>
      <c r="AK16" s="12"/>
      <c r="AL16" s="12"/>
      <c r="AM16" s="12">
        <v>41.0</v>
      </c>
      <c r="AN16" s="12">
        <v>111.0</v>
      </c>
      <c r="AO16" s="12"/>
      <c r="AP16" s="12">
        <v>46.0</v>
      </c>
      <c r="AQ16" s="12">
        <v>33.0</v>
      </c>
      <c r="AR16" s="12">
        <v>116.0</v>
      </c>
      <c r="AS16" s="12">
        <v>41.0</v>
      </c>
      <c r="AT16" s="12"/>
      <c r="AU16" s="12">
        <v>54.0</v>
      </c>
      <c r="AV16" s="12">
        <v>32.0</v>
      </c>
      <c r="AW16" s="12"/>
      <c r="AX16" s="12"/>
      <c r="AY16" s="12"/>
      <c r="AZ16" s="12"/>
      <c r="BA16" s="12">
        <v>260.0</v>
      </c>
      <c r="BB16" s="12"/>
      <c r="BC16" s="12">
        <v>10.0</v>
      </c>
      <c r="BD16" s="12"/>
      <c r="BE16" s="12"/>
      <c r="BF16" s="12"/>
      <c r="BG16" s="12"/>
      <c r="BH16" s="12">
        <f t="shared" si="1"/>
        <v>4316</v>
      </c>
      <c r="BI16" s="1"/>
      <c r="BJ16" s="1"/>
      <c r="BK16" s="1"/>
    </row>
    <row r="17" ht="50.25" customHeight="1">
      <c r="A17" s="13" t="s">
        <v>73</v>
      </c>
      <c r="B17" s="15"/>
      <c r="C17" s="14"/>
      <c r="D17" s="12">
        <f t="shared" ref="D17:BG17" si="2">SUM(D5:D16)</f>
        <v>630</v>
      </c>
      <c r="E17" s="12">
        <f t="shared" si="2"/>
        <v>4827</v>
      </c>
      <c r="F17" s="12">
        <f t="shared" si="2"/>
        <v>2089</v>
      </c>
      <c r="G17" s="12">
        <f t="shared" si="2"/>
        <v>2390</v>
      </c>
      <c r="H17" s="12">
        <f t="shared" si="2"/>
        <v>329</v>
      </c>
      <c r="I17" s="12">
        <f t="shared" si="2"/>
        <v>1009</v>
      </c>
      <c r="J17" s="12">
        <f t="shared" si="2"/>
        <v>146</v>
      </c>
      <c r="K17" s="12">
        <f t="shared" si="2"/>
        <v>329</v>
      </c>
      <c r="L17" s="12">
        <f t="shared" si="2"/>
        <v>480</v>
      </c>
      <c r="M17" s="12">
        <f t="shared" si="2"/>
        <v>465</v>
      </c>
      <c r="N17" s="12">
        <f t="shared" si="2"/>
        <v>2162</v>
      </c>
      <c r="O17" s="12">
        <f t="shared" si="2"/>
        <v>301</v>
      </c>
      <c r="P17" s="12">
        <f t="shared" si="2"/>
        <v>2178</v>
      </c>
      <c r="Q17" s="12">
        <f t="shared" si="2"/>
        <v>2565</v>
      </c>
      <c r="R17" s="12">
        <f t="shared" si="2"/>
        <v>90</v>
      </c>
      <c r="S17" s="12">
        <f t="shared" si="2"/>
        <v>80</v>
      </c>
      <c r="T17" s="12">
        <f t="shared" si="2"/>
        <v>310</v>
      </c>
      <c r="U17" s="12">
        <f t="shared" si="2"/>
        <v>250</v>
      </c>
      <c r="V17" s="12">
        <f t="shared" si="2"/>
        <v>220</v>
      </c>
      <c r="W17" s="12">
        <f t="shared" si="2"/>
        <v>75</v>
      </c>
      <c r="X17" s="12">
        <f t="shared" si="2"/>
        <v>1082</v>
      </c>
      <c r="Y17" s="12">
        <f t="shared" si="2"/>
        <v>2523</v>
      </c>
      <c r="Z17" s="12">
        <f t="shared" si="2"/>
        <v>805</v>
      </c>
      <c r="AA17" s="12">
        <f t="shared" si="2"/>
        <v>0</v>
      </c>
      <c r="AB17" s="12">
        <f t="shared" si="2"/>
        <v>0</v>
      </c>
      <c r="AC17" s="12">
        <f t="shared" si="2"/>
        <v>1366</v>
      </c>
      <c r="AD17" s="12">
        <f t="shared" si="2"/>
        <v>3946</v>
      </c>
      <c r="AE17" s="12">
        <f t="shared" si="2"/>
        <v>942</v>
      </c>
      <c r="AF17" s="12">
        <f t="shared" si="2"/>
        <v>2083</v>
      </c>
      <c r="AG17" s="12">
        <f t="shared" si="2"/>
        <v>370</v>
      </c>
      <c r="AH17" s="12">
        <f t="shared" si="2"/>
        <v>633</v>
      </c>
      <c r="AI17" s="12">
        <f t="shared" si="2"/>
        <v>553</v>
      </c>
      <c r="AJ17" s="12">
        <f t="shared" si="2"/>
        <v>2887</v>
      </c>
      <c r="AK17" s="12">
        <f t="shared" si="2"/>
        <v>261</v>
      </c>
      <c r="AL17" s="12">
        <f t="shared" si="2"/>
        <v>125</v>
      </c>
      <c r="AM17" s="12">
        <f t="shared" si="2"/>
        <v>170</v>
      </c>
      <c r="AN17" s="12">
        <f t="shared" si="2"/>
        <v>934</v>
      </c>
      <c r="AO17" s="12">
        <f t="shared" si="2"/>
        <v>100</v>
      </c>
      <c r="AP17" s="12">
        <f t="shared" si="2"/>
        <v>120</v>
      </c>
      <c r="AQ17" s="12">
        <f t="shared" si="2"/>
        <v>60</v>
      </c>
      <c r="AR17" s="12">
        <f t="shared" si="2"/>
        <v>550</v>
      </c>
      <c r="AS17" s="12">
        <f t="shared" si="2"/>
        <v>91</v>
      </c>
      <c r="AT17" s="12">
        <f t="shared" si="2"/>
        <v>370</v>
      </c>
      <c r="AU17" s="12">
        <f t="shared" si="2"/>
        <v>224</v>
      </c>
      <c r="AV17" s="12">
        <f t="shared" si="2"/>
        <v>200</v>
      </c>
      <c r="AW17" s="12">
        <f t="shared" si="2"/>
        <v>57</v>
      </c>
      <c r="AX17" s="12">
        <f t="shared" si="2"/>
        <v>52</v>
      </c>
      <c r="AY17" s="12">
        <f t="shared" si="2"/>
        <v>0</v>
      </c>
      <c r="AZ17" s="12">
        <f t="shared" si="2"/>
        <v>760</v>
      </c>
      <c r="BA17" s="12">
        <f t="shared" si="2"/>
        <v>1150</v>
      </c>
      <c r="BB17" s="12">
        <f t="shared" si="2"/>
        <v>0</v>
      </c>
      <c r="BC17" s="12">
        <f t="shared" si="2"/>
        <v>60</v>
      </c>
      <c r="BD17" s="12">
        <f t="shared" si="2"/>
        <v>0</v>
      </c>
      <c r="BE17" s="12">
        <f t="shared" si="2"/>
        <v>18</v>
      </c>
      <c r="BF17" s="12">
        <f t="shared" si="2"/>
        <v>8</v>
      </c>
      <c r="BG17" s="12">
        <f t="shared" si="2"/>
        <v>12</v>
      </c>
      <c r="BH17" s="12">
        <f t="shared" si="1"/>
        <v>43437</v>
      </c>
      <c r="BI17" s="1"/>
      <c r="BJ17" s="1"/>
      <c r="BK17" s="1"/>
    </row>
    <row r="18" ht="22.5" customHeight="1">
      <c r="A18" s="1"/>
      <c r="B18" s="1" t="s">
        <v>74</v>
      </c>
      <c r="BI18" s="1"/>
      <c r="BJ18" s="1"/>
      <c r="BK18" s="1"/>
    </row>
    <row r="19" ht="18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ht="32.25" customHeight="1">
      <c r="A20" s="1"/>
      <c r="B20" s="2" t="s">
        <v>75</v>
      </c>
      <c r="BI20" s="3"/>
      <c r="BJ20" s="3"/>
      <c r="BK20" s="3"/>
    </row>
    <row r="21" ht="42.75" customHeight="1">
      <c r="A21" s="1"/>
      <c r="B21" s="3"/>
      <c r="C21" s="3"/>
      <c r="D21" s="3"/>
      <c r="E21" s="3"/>
      <c r="F21" s="3"/>
      <c r="G21" s="3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4" t="s">
        <v>76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3"/>
      <c r="BJ21" s="3"/>
      <c r="BK21" s="3"/>
    </row>
    <row r="22" ht="150.0" customHeight="1">
      <c r="A22" s="6" t="s">
        <v>2</v>
      </c>
      <c r="B22" s="7" t="s">
        <v>3</v>
      </c>
      <c r="C22" s="8"/>
      <c r="D22" s="9" t="s">
        <v>4</v>
      </c>
      <c r="E22" s="9" t="s">
        <v>5</v>
      </c>
      <c r="F22" s="9" t="s">
        <v>6</v>
      </c>
      <c r="G22" s="9" t="s">
        <v>7</v>
      </c>
      <c r="H22" s="9" t="s">
        <v>8</v>
      </c>
      <c r="I22" s="10" t="s">
        <v>9</v>
      </c>
      <c r="J22" s="9" t="s">
        <v>10</v>
      </c>
      <c r="K22" s="9" t="s">
        <v>11</v>
      </c>
      <c r="L22" s="9" t="s">
        <v>12</v>
      </c>
      <c r="M22" s="9" t="s">
        <v>13</v>
      </c>
      <c r="N22" s="9" t="s">
        <v>14</v>
      </c>
      <c r="O22" s="9" t="s">
        <v>15</v>
      </c>
      <c r="P22" s="9" t="s">
        <v>16</v>
      </c>
      <c r="Q22" s="9" t="s">
        <v>17</v>
      </c>
      <c r="R22" s="9" t="s">
        <v>18</v>
      </c>
      <c r="S22" s="9" t="s">
        <v>19</v>
      </c>
      <c r="T22" s="9" t="s">
        <v>20</v>
      </c>
      <c r="U22" s="9" t="s">
        <v>21</v>
      </c>
      <c r="V22" s="9" t="s">
        <v>22</v>
      </c>
      <c r="W22" s="9" t="s">
        <v>23</v>
      </c>
      <c r="X22" s="9" t="s">
        <v>24</v>
      </c>
      <c r="Y22" s="9" t="s">
        <v>25</v>
      </c>
      <c r="Z22" s="9" t="s">
        <v>26</v>
      </c>
      <c r="AA22" s="9" t="s">
        <v>27</v>
      </c>
      <c r="AB22" s="9" t="s">
        <v>28</v>
      </c>
      <c r="AC22" s="9" t="s">
        <v>29</v>
      </c>
      <c r="AD22" s="9" t="s">
        <v>30</v>
      </c>
      <c r="AE22" s="9" t="s">
        <v>31</v>
      </c>
      <c r="AF22" s="9" t="s">
        <v>32</v>
      </c>
      <c r="AG22" s="9" t="s">
        <v>33</v>
      </c>
      <c r="AH22" s="11" t="s">
        <v>34</v>
      </c>
      <c r="AI22" s="9" t="s">
        <v>35</v>
      </c>
      <c r="AJ22" s="9" t="s">
        <v>36</v>
      </c>
      <c r="AK22" s="9" t="s">
        <v>37</v>
      </c>
      <c r="AL22" s="9" t="s">
        <v>38</v>
      </c>
      <c r="AM22" s="9" t="s">
        <v>39</v>
      </c>
      <c r="AN22" s="9" t="s">
        <v>40</v>
      </c>
      <c r="AO22" s="9" t="s">
        <v>41</v>
      </c>
      <c r="AP22" s="9" t="s">
        <v>42</v>
      </c>
      <c r="AQ22" s="9" t="s">
        <v>43</v>
      </c>
      <c r="AR22" s="9" t="s">
        <v>44</v>
      </c>
      <c r="AS22" s="9" t="s">
        <v>45</v>
      </c>
      <c r="AT22" s="9" t="s">
        <v>46</v>
      </c>
      <c r="AU22" s="9" t="s">
        <v>47</v>
      </c>
      <c r="AV22" s="9" t="s">
        <v>48</v>
      </c>
      <c r="AW22" s="9" t="s">
        <v>49</v>
      </c>
      <c r="AX22" s="9" t="s">
        <v>50</v>
      </c>
      <c r="AY22" s="9" t="s">
        <v>51</v>
      </c>
      <c r="AZ22" s="9" t="s">
        <v>52</v>
      </c>
      <c r="BA22" s="9" t="s">
        <v>53</v>
      </c>
      <c r="BB22" s="9" t="s">
        <v>54</v>
      </c>
      <c r="BC22" s="9" t="s">
        <v>55</v>
      </c>
      <c r="BD22" s="9" t="s">
        <v>56</v>
      </c>
      <c r="BE22" s="9" t="s">
        <v>57</v>
      </c>
      <c r="BF22" s="9" t="s">
        <v>58</v>
      </c>
      <c r="BG22" s="9" t="s">
        <v>59</v>
      </c>
      <c r="BH22" s="9" t="s">
        <v>60</v>
      </c>
      <c r="BI22" s="1"/>
      <c r="BJ22" s="1"/>
      <c r="BK22" s="1"/>
    </row>
    <row r="23" ht="34.5" customHeight="1">
      <c r="A23" s="12">
        <v>1.0</v>
      </c>
      <c r="B23" s="13" t="s">
        <v>61</v>
      </c>
      <c r="C23" s="14"/>
      <c r="D23" s="12"/>
      <c r="E23" s="12">
        <v>1030.0</v>
      </c>
      <c r="F23" s="12">
        <v>140.0</v>
      </c>
      <c r="G23" s="12">
        <v>265.0</v>
      </c>
      <c r="H23" s="12"/>
      <c r="I23" s="12">
        <v>80.0</v>
      </c>
      <c r="J23" s="12">
        <v>50.0</v>
      </c>
      <c r="K23" s="12"/>
      <c r="L23" s="12"/>
      <c r="M23" s="12"/>
      <c r="N23" s="12">
        <v>275.0</v>
      </c>
      <c r="O23" s="12"/>
      <c r="P23" s="12">
        <v>304.0</v>
      </c>
      <c r="Q23" s="12">
        <v>420.0</v>
      </c>
      <c r="R23" s="12"/>
      <c r="S23" s="12"/>
      <c r="T23" s="12"/>
      <c r="U23" s="12"/>
      <c r="V23" s="12">
        <v>40.0</v>
      </c>
      <c r="W23" s="12"/>
      <c r="X23" s="12">
        <v>166.0</v>
      </c>
      <c r="Y23" s="12">
        <v>391.0</v>
      </c>
      <c r="Z23" s="12">
        <v>77.0</v>
      </c>
      <c r="AA23" s="12"/>
      <c r="AB23" s="12"/>
      <c r="AC23" s="12">
        <v>94.0</v>
      </c>
      <c r="AD23" s="12">
        <v>516.0</v>
      </c>
      <c r="AE23" s="12">
        <v>96.0</v>
      </c>
      <c r="AF23" s="12">
        <v>347.0</v>
      </c>
      <c r="AG23" s="12">
        <v>35.0</v>
      </c>
      <c r="AH23" s="12"/>
      <c r="AI23" s="12">
        <v>122.0</v>
      </c>
      <c r="AJ23" s="12">
        <v>739.0</v>
      </c>
      <c r="AK23" s="12">
        <v>51.0</v>
      </c>
      <c r="AL23" s="12">
        <v>10.0</v>
      </c>
      <c r="AM23" s="12"/>
      <c r="AN23" s="12">
        <v>311.0</v>
      </c>
      <c r="AO23" s="12"/>
      <c r="AP23" s="12"/>
      <c r="AQ23" s="12"/>
      <c r="AR23" s="12">
        <v>84.0</v>
      </c>
      <c r="AS23" s="12"/>
      <c r="AT23" s="12"/>
      <c r="AU23" s="12">
        <v>50.0</v>
      </c>
      <c r="AV23" s="12">
        <v>11.0</v>
      </c>
      <c r="AW23" s="12"/>
      <c r="AX23" s="12">
        <v>6.0</v>
      </c>
      <c r="AY23" s="12"/>
      <c r="AZ23" s="12">
        <v>50.0</v>
      </c>
      <c r="BA23" s="12">
        <v>110.0</v>
      </c>
      <c r="BB23" s="12"/>
      <c r="BC23" s="12"/>
      <c r="BD23" s="12"/>
      <c r="BE23" s="12">
        <v>4.0</v>
      </c>
      <c r="BF23" s="12">
        <v>2.0</v>
      </c>
      <c r="BG23" s="12"/>
      <c r="BH23" s="12">
        <f t="shared" ref="BH23:BH35" si="3">SUM(D23:BG23)</f>
        <v>5876</v>
      </c>
      <c r="BI23" s="1"/>
      <c r="BJ23" s="1"/>
      <c r="BK23" s="1"/>
    </row>
    <row r="24" ht="34.5" customHeight="1">
      <c r="A24" s="12">
        <v>2.0</v>
      </c>
      <c r="B24" s="13" t="s">
        <v>62</v>
      </c>
      <c r="C24" s="14"/>
      <c r="D24" s="12">
        <v>130.0</v>
      </c>
      <c r="E24" s="12">
        <v>390.0</v>
      </c>
      <c r="F24" s="12">
        <v>270.0</v>
      </c>
      <c r="G24" s="12">
        <v>80.0</v>
      </c>
      <c r="H24" s="12"/>
      <c r="I24" s="12"/>
      <c r="J24" s="12"/>
      <c r="K24" s="12"/>
      <c r="L24" s="12">
        <v>26.0</v>
      </c>
      <c r="M24" s="12"/>
      <c r="N24" s="12">
        <v>100.0</v>
      </c>
      <c r="O24" s="12"/>
      <c r="P24" s="12">
        <v>296.0</v>
      </c>
      <c r="Q24" s="12">
        <v>300.0</v>
      </c>
      <c r="R24" s="12"/>
      <c r="S24" s="12"/>
      <c r="T24" s="12">
        <v>15.0</v>
      </c>
      <c r="U24" s="12"/>
      <c r="V24" s="12"/>
      <c r="W24" s="12"/>
      <c r="X24" s="12"/>
      <c r="Y24" s="12">
        <v>169.0</v>
      </c>
      <c r="Z24" s="12">
        <v>60.0</v>
      </c>
      <c r="AA24" s="12"/>
      <c r="AB24" s="12"/>
      <c r="AC24" s="12"/>
      <c r="AD24" s="12">
        <v>405.0</v>
      </c>
      <c r="AE24" s="12">
        <v>143.0</v>
      </c>
      <c r="AF24" s="12">
        <v>135.0</v>
      </c>
      <c r="AG24" s="12">
        <v>47.0</v>
      </c>
      <c r="AH24" s="12">
        <v>95.0</v>
      </c>
      <c r="AI24" s="12">
        <v>57.0</v>
      </c>
      <c r="AJ24" s="12">
        <v>406.0</v>
      </c>
      <c r="AK24" s="12"/>
      <c r="AL24" s="12"/>
      <c r="AM24" s="12"/>
      <c r="AN24" s="12">
        <v>274.0</v>
      </c>
      <c r="AO24" s="12"/>
      <c r="AP24" s="12">
        <v>36.0</v>
      </c>
      <c r="AQ24" s="12">
        <v>15.0</v>
      </c>
      <c r="AR24" s="12">
        <v>85.0</v>
      </c>
      <c r="AS24" s="12">
        <v>18.0</v>
      </c>
      <c r="AT24" s="12">
        <v>20.0</v>
      </c>
      <c r="AU24" s="12">
        <v>34.0</v>
      </c>
      <c r="AV24" s="12"/>
      <c r="AW24" s="12"/>
      <c r="AX24" s="12"/>
      <c r="AY24" s="12"/>
      <c r="AZ24" s="12"/>
      <c r="BA24" s="12"/>
      <c r="BB24" s="12"/>
      <c r="BC24" s="12"/>
      <c r="BD24" s="12"/>
      <c r="BE24" s="12">
        <v>4.0</v>
      </c>
      <c r="BF24" s="12"/>
      <c r="BG24" s="12"/>
      <c r="BH24" s="12">
        <f t="shared" si="3"/>
        <v>3610</v>
      </c>
      <c r="BI24" s="1"/>
      <c r="BJ24" s="1"/>
      <c r="BK24" s="1"/>
    </row>
    <row r="25" ht="34.5" customHeight="1">
      <c r="A25" s="12">
        <v>3.0</v>
      </c>
      <c r="B25" s="13" t="s">
        <v>63</v>
      </c>
      <c r="C25" s="14"/>
      <c r="D25" s="12">
        <v>100.0</v>
      </c>
      <c r="E25" s="12">
        <v>313.0</v>
      </c>
      <c r="F25" s="12">
        <v>334.0</v>
      </c>
      <c r="G25" s="12">
        <v>108.0</v>
      </c>
      <c r="H25" s="12">
        <v>1.0</v>
      </c>
      <c r="I25" s="12">
        <v>123.0</v>
      </c>
      <c r="J25" s="12"/>
      <c r="K25" s="12"/>
      <c r="L25" s="12"/>
      <c r="M25" s="12">
        <v>66.0</v>
      </c>
      <c r="N25" s="12">
        <v>155.0</v>
      </c>
      <c r="O25" s="12">
        <v>4.0</v>
      </c>
      <c r="P25" s="12">
        <v>126.0</v>
      </c>
      <c r="Q25" s="12">
        <v>404.0</v>
      </c>
      <c r="R25" s="12">
        <v>6.0</v>
      </c>
      <c r="S25" s="12">
        <v>4.0</v>
      </c>
      <c r="T25" s="12">
        <v>50.0</v>
      </c>
      <c r="U25" s="12">
        <v>6.0</v>
      </c>
      <c r="V25" s="12">
        <v>6.0</v>
      </c>
      <c r="W25" s="12">
        <v>4.0</v>
      </c>
      <c r="X25" s="12">
        <v>80.0</v>
      </c>
      <c r="Y25" s="12">
        <v>180.0</v>
      </c>
      <c r="Z25" s="12">
        <v>49.0</v>
      </c>
      <c r="AA25" s="12"/>
      <c r="AB25" s="12"/>
      <c r="AC25" s="12">
        <v>120.0</v>
      </c>
      <c r="AD25" s="12">
        <v>320.0</v>
      </c>
      <c r="AE25" s="12">
        <v>2.0</v>
      </c>
      <c r="AF25" s="12">
        <v>161.0</v>
      </c>
      <c r="AG25" s="12">
        <v>84.0</v>
      </c>
      <c r="AH25" s="12">
        <v>78.0</v>
      </c>
      <c r="AI25" s="12">
        <v>41.0</v>
      </c>
      <c r="AJ25" s="12">
        <v>359.0</v>
      </c>
      <c r="AK25" s="12">
        <v>57.0</v>
      </c>
      <c r="AL25" s="12">
        <v>4.0</v>
      </c>
      <c r="AM25" s="12"/>
      <c r="AN25" s="12">
        <v>137.0</v>
      </c>
      <c r="AO25" s="12">
        <v>1.0</v>
      </c>
      <c r="AP25" s="12"/>
      <c r="AQ25" s="12"/>
      <c r="AR25" s="12">
        <v>1.0</v>
      </c>
      <c r="AS25" s="12">
        <v>32.0</v>
      </c>
      <c r="AT25" s="12">
        <v>210.0</v>
      </c>
      <c r="AU25" s="12">
        <v>26.0</v>
      </c>
      <c r="AV25" s="12">
        <v>33.0</v>
      </c>
      <c r="AW25" s="12">
        <v>2.0</v>
      </c>
      <c r="AX25" s="12"/>
      <c r="AY25" s="12"/>
      <c r="AZ25" s="12">
        <v>30.0</v>
      </c>
      <c r="BA25" s="12">
        <v>30.0</v>
      </c>
      <c r="BB25" s="12">
        <v>10.0</v>
      </c>
      <c r="BC25" s="12">
        <v>6.0</v>
      </c>
      <c r="BD25" s="12"/>
      <c r="BE25" s="12">
        <v>5.0</v>
      </c>
      <c r="BF25" s="12"/>
      <c r="BG25" s="12"/>
      <c r="BH25" s="12">
        <f t="shared" si="3"/>
        <v>3868</v>
      </c>
      <c r="BI25" s="1"/>
      <c r="BJ25" s="1"/>
      <c r="BK25" s="1"/>
    </row>
    <row r="26" ht="34.5" customHeight="1">
      <c r="A26" s="12">
        <v>4.0</v>
      </c>
      <c r="B26" s="13" t="s">
        <v>64</v>
      </c>
      <c r="C26" s="14"/>
      <c r="D26" s="12"/>
      <c r="E26" s="12">
        <v>267.0</v>
      </c>
      <c r="F26" s="12">
        <v>126.0</v>
      </c>
      <c r="G26" s="12">
        <v>150.0</v>
      </c>
      <c r="H26" s="12"/>
      <c r="I26" s="12">
        <v>78.0</v>
      </c>
      <c r="J26" s="12"/>
      <c r="K26" s="12"/>
      <c r="L26" s="12"/>
      <c r="M26" s="12"/>
      <c r="N26" s="12">
        <v>230.0</v>
      </c>
      <c r="O26" s="12"/>
      <c r="P26" s="12">
        <v>220.0</v>
      </c>
      <c r="Q26" s="12">
        <v>166.0</v>
      </c>
      <c r="R26" s="12"/>
      <c r="S26" s="12"/>
      <c r="T26" s="12">
        <v>5.0</v>
      </c>
      <c r="U26" s="12"/>
      <c r="V26" s="12"/>
      <c r="W26" s="12"/>
      <c r="X26" s="12">
        <v>129.0</v>
      </c>
      <c r="Y26" s="12">
        <v>220.0</v>
      </c>
      <c r="Z26" s="12">
        <v>142.0</v>
      </c>
      <c r="AA26" s="12"/>
      <c r="AB26" s="12"/>
      <c r="AC26" s="12">
        <v>50.0</v>
      </c>
      <c r="AD26" s="12">
        <v>191.0</v>
      </c>
      <c r="AE26" s="12">
        <v>9.0</v>
      </c>
      <c r="AF26" s="12">
        <v>110.0</v>
      </c>
      <c r="AG26" s="12">
        <v>26.0</v>
      </c>
      <c r="AH26" s="12">
        <v>45.0</v>
      </c>
      <c r="AI26" s="12">
        <v>105.0</v>
      </c>
      <c r="AJ26" s="12">
        <v>255.0</v>
      </c>
      <c r="AK26" s="12"/>
      <c r="AL26" s="12"/>
      <c r="AM26" s="12"/>
      <c r="AN26" s="12">
        <v>34.0</v>
      </c>
      <c r="AO26" s="12"/>
      <c r="AP26" s="12"/>
      <c r="AQ26" s="12"/>
      <c r="AR26" s="12"/>
      <c r="AS26" s="12"/>
      <c r="AT26" s="12">
        <v>64.0</v>
      </c>
      <c r="AU26" s="12"/>
      <c r="AV26" s="12"/>
      <c r="AW26" s="12"/>
      <c r="AX26" s="12"/>
      <c r="AY26" s="12"/>
      <c r="AZ26" s="12"/>
      <c r="BA26" s="12"/>
      <c r="BB26" s="12"/>
      <c r="BC26" s="12">
        <v>59.0</v>
      </c>
      <c r="BD26" s="12"/>
      <c r="BE26" s="12"/>
      <c r="BF26" s="12"/>
      <c r="BG26" s="12"/>
      <c r="BH26" s="12">
        <f t="shared" si="3"/>
        <v>2681</v>
      </c>
      <c r="BI26" s="1"/>
      <c r="BJ26" s="1"/>
      <c r="BK26" s="1"/>
    </row>
    <row r="27" ht="34.5" customHeight="1">
      <c r="A27" s="12">
        <v>5.0</v>
      </c>
      <c r="B27" s="13" t="s">
        <v>65</v>
      </c>
      <c r="C27" s="14"/>
      <c r="D27" s="12"/>
      <c r="E27" s="12">
        <v>603.0</v>
      </c>
      <c r="F27" s="12">
        <v>629.0</v>
      </c>
      <c r="G27" s="12">
        <v>270.0</v>
      </c>
      <c r="H27" s="12"/>
      <c r="I27" s="12">
        <v>340.0</v>
      </c>
      <c r="J27" s="12"/>
      <c r="K27" s="12"/>
      <c r="L27" s="12">
        <v>105.0</v>
      </c>
      <c r="M27" s="12"/>
      <c r="N27" s="12">
        <v>115.0</v>
      </c>
      <c r="O27" s="12"/>
      <c r="P27" s="12">
        <v>230.0</v>
      </c>
      <c r="Q27" s="12">
        <v>399.0</v>
      </c>
      <c r="R27" s="12"/>
      <c r="S27" s="12"/>
      <c r="T27" s="12">
        <v>170.0</v>
      </c>
      <c r="U27" s="12">
        <v>60.0</v>
      </c>
      <c r="V27" s="12">
        <v>50.0</v>
      </c>
      <c r="W27" s="12"/>
      <c r="X27" s="12"/>
      <c r="Y27" s="12">
        <v>200.0</v>
      </c>
      <c r="Z27" s="12"/>
      <c r="AA27" s="12"/>
      <c r="AB27" s="12"/>
      <c r="AC27" s="12">
        <v>50.0</v>
      </c>
      <c r="AD27" s="12">
        <v>592.0</v>
      </c>
      <c r="AE27" s="12">
        <v>66.0</v>
      </c>
      <c r="AF27" s="12">
        <v>270.0</v>
      </c>
      <c r="AG27" s="12">
        <v>64.0</v>
      </c>
      <c r="AH27" s="12">
        <v>55.0</v>
      </c>
      <c r="AI27" s="12">
        <v>85.0</v>
      </c>
      <c r="AJ27" s="12">
        <v>555.0</v>
      </c>
      <c r="AK27" s="12">
        <v>64.0</v>
      </c>
      <c r="AL27" s="12">
        <v>30.0</v>
      </c>
      <c r="AM27" s="12"/>
      <c r="AN27" s="12">
        <v>286.0</v>
      </c>
      <c r="AO27" s="12"/>
      <c r="AP27" s="12"/>
      <c r="AQ27" s="12"/>
      <c r="AR27" s="12">
        <v>54.0</v>
      </c>
      <c r="AS27" s="12"/>
      <c r="AT27" s="12">
        <v>131.0</v>
      </c>
      <c r="AU27" s="12">
        <v>60.0</v>
      </c>
      <c r="AV27" s="12">
        <v>57.0</v>
      </c>
      <c r="AW27" s="12"/>
      <c r="AX27" s="12"/>
      <c r="AY27" s="12"/>
      <c r="AZ27" s="12">
        <v>100.0</v>
      </c>
      <c r="BA27" s="12">
        <v>150.0</v>
      </c>
      <c r="BB27" s="12">
        <v>4.0</v>
      </c>
      <c r="BC27" s="12"/>
      <c r="BD27" s="12"/>
      <c r="BE27" s="12">
        <v>6.0</v>
      </c>
      <c r="BF27" s="12"/>
      <c r="BG27" s="12">
        <v>30.0</v>
      </c>
      <c r="BH27" s="12">
        <f t="shared" si="3"/>
        <v>5880</v>
      </c>
      <c r="BI27" s="1"/>
      <c r="BJ27" s="1"/>
      <c r="BK27" s="1"/>
    </row>
    <row r="28" ht="33.75" customHeight="1">
      <c r="A28" s="12">
        <v>6.0</v>
      </c>
      <c r="B28" s="13" t="s">
        <v>66</v>
      </c>
      <c r="C28" s="14"/>
      <c r="D28" s="12">
        <v>40.0</v>
      </c>
      <c r="E28" s="12">
        <v>555.0</v>
      </c>
      <c r="F28" s="12">
        <v>305.0</v>
      </c>
      <c r="G28" s="12">
        <v>130.0</v>
      </c>
      <c r="H28" s="12">
        <v>40.0</v>
      </c>
      <c r="I28" s="12">
        <v>92.0</v>
      </c>
      <c r="J28" s="12"/>
      <c r="K28" s="12">
        <v>100.0</v>
      </c>
      <c r="L28" s="12">
        <v>25.0</v>
      </c>
      <c r="M28" s="12">
        <v>80.0</v>
      </c>
      <c r="N28" s="12">
        <v>100.0</v>
      </c>
      <c r="O28" s="12">
        <v>74.0</v>
      </c>
      <c r="P28" s="12">
        <v>300.0</v>
      </c>
      <c r="Q28" s="12">
        <v>385.0</v>
      </c>
      <c r="R28" s="12"/>
      <c r="S28" s="12"/>
      <c r="T28" s="12"/>
      <c r="U28" s="12">
        <v>50.0</v>
      </c>
      <c r="V28" s="12">
        <v>90.0</v>
      </c>
      <c r="W28" s="12">
        <v>76.0</v>
      </c>
      <c r="X28" s="12">
        <v>186.0</v>
      </c>
      <c r="Y28" s="12">
        <v>50.0</v>
      </c>
      <c r="Z28" s="12">
        <v>150.0</v>
      </c>
      <c r="AA28" s="12"/>
      <c r="AB28" s="12"/>
      <c r="AC28" s="12">
        <v>135.0</v>
      </c>
      <c r="AD28" s="12">
        <v>240.0</v>
      </c>
      <c r="AE28" s="12">
        <v>90.0</v>
      </c>
      <c r="AF28" s="12">
        <v>160.0</v>
      </c>
      <c r="AG28" s="12">
        <v>100.0</v>
      </c>
      <c r="AH28" s="12">
        <v>100.0</v>
      </c>
      <c r="AI28" s="12">
        <v>135.0</v>
      </c>
      <c r="AJ28" s="12">
        <v>255.0</v>
      </c>
      <c r="AK28" s="12">
        <v>90.0</v>
      </c>
      <c r="AL28" s="12"/>
      <c r="AM28" s="12">
        <v>30.0</v>
      </c>
      <c r="AN28" s="12">
        <v>205.0</v>
      </c>
      <c r="AO28" s="12">
        <v>21.0</v>
      </c>
      <c r="AP28" s="12">
        <v>10.0</v>
      </c>
      <c r="AQ28" s="12"/>
      <c r="AR28" s="12">
        <v>116.0</v>
      </c>
      <c r="AS28" s="12"/>
      <c r="AT28" s="12">
        <v>50.0</v>
      </c>
      <c r="AU28" s="12">
        <v>65.0</v>
      </c>
      <c r="AV28" s="12">
        <v>14.0</v>
      </c>
      <c r="AW28" s="12"/>
      <c r="AX28" s="12">
        <v>64.0</v>
      </c>
      <c r="AY28" s="12">
        <v>10.0</v>
      </c>
      <c r="AZ28" s="12">
        <v>110.0</v>
      </c>
      <c r="BA28" s="12">
        <v>120.0</v>
      </c>
      <c r="BB28" s="12"/>
      <c r="BC28" s="12"/>
      <c r="BD28" s="12"/>
      <c r="BE28" s="12"/>
      <c r="BF28" s="12"/>
      <c r="BG28" s="12"/>
      <c r="BH28" s="12">
        <f t="shared" si="3"/>
        <v>4948</v>
      </c>
      <c r="BI28" s="1"/>
      <c r="BJ28" s="1" t="str">
        <f>BH23+BH24+BH25+BH26+BH27+#REF!+BH28</f>
        <v>#REF!</v>
      </c>
      <c r="BK28" s="1"/>
    </row>
    <row r="29" ht="34.5" customHeight="1">
      <c r="A29" s="12">
        <v>7.0</v>
      </c>
      <c r="B29" s="13" t="s">
        <v>67</v>
      </c>
      <c r="C29" s="14"/>
      <c r="D29" s="12">
        <v>60.0</v>
      </c>
      <c r="E29" s="12">
        <v>300.0</v>
      </c>
      <c r="F29" s="12">
        <v>150.0</v>
      </c>
      <c r="G29" s="12">
        <v>150.0</v>
      </c>
      <c r="H29" s="12">
        <v>16.0</v>
      </c>
      <c r="I29" s="12">
        <v>180.0</v>
      </c>
      <c r="J29" s="12"/>
      <c r="K29" s="12"/>
      <c r="L29" s="12">
        <v>70.0</v>
      </c>
      <c r="M29" s="12"/>
      <c r="N29" s="12">
        <v>20.0</v>
      </c>
      <c r="O29" s="12"/>
      <c r="P29" s="12">
        <v>50.0</v>
      </c>
      <c r="Q29" s="12">
        <v>150.0</v>
      </c>
      <c r="R29" s="12"/>
      <c r="S29" s="12"/>
      <c r="T29" s="12"/>
      <c r="U29" s="12"/>
      <c r="V29" s="12"/>
      <c r="W29" s="12"/>
      <c r="X29" s="12">
        <v>65.0</v>
      </c>
      <c r="Y29" s="12">
        <v>50.0</v>
      </c>
      <c r="Z29" s="12">
        <v>35.0</v>
      </c>
      <c r="AA29" s="12"/>
      <c r="AB29" s="12"/>
      <c r="AC29" s="12">
        <v>35.0</v>
      </c>
      <c r="AD29" s="12">
        <v>70.0</v>
      </c>
      <c r="AE29" s="12">
        <v>85.0</v>
      </c>
      <c r="AF29" s="12">
        <v>100.0</v>
      </c>
      <c r="AG29" s="12"/>
      <c r="AH29" s="12"/>
      <c r="AI29" s="12"/>
      <c r="AJ29" s="12">
        <v>150.0</v>
      </c>
      <c r="AK29" s="12"/>
      <c r="AL29" s="12"/>
      <c r="AM29" s="12"/>
      <c r="AN29" s="12">
        <v>65.0</v>
      </c>
      <c r="AO29" s="12"/>
      <c r="AP29" s="12"/>
      <c r="AQ29" s="12"/>
      <c r="AR29" s="12">
        <v>20.0</v>
      </c>
      <c r="AS29" s="12"/>
      <c r="AT29" s="12"/>
      <c r="AU29" s="12"/>
      <c r="AV29" s="12"/>
      <c r="AW29" s="12"/>
      <c r="AX29" s="12">
        <v>5.0</v>
      </c>
      <c r="AY29" s="12"/>
      <c r="AZ29" s="12"/>
      <c r="BA29" s="12"/>
      <c r="BB29" s="12">
        <v>10.0</v>
      </c>
      <c r="BC29" s="12"/>
      <c r="BD29" s="12">
        <v>32.0</v>
      </c>
      <c r="BE29" s="12"/>
      <c r="BF29" s="12">
        <v>3.0</v>
      </c>
      <c r="BG29" s="12"/>
      <c r="BH29" s="12">
        <f t="shared" si="3"/>
        <v>1871</v>
      </c>
      <c r="BI29" s="1"/>
      <c r="BJ29" s="1"/>
      <c r="BK29" s="1"/>
    </row>
    <row r="30" ht="34.5" customHeight="1">
      <c r="A30" s="12">
        <v>8.0</v>
      </c>
      <c r="B30" s="13" t="s">
        <v>68</v>
      </c>
      <c r="C30" s="14"/>
      <c r="D30" s="12">
        <v>50.0</v>
      </c>
      <c r="E30" s="12">
        <v>150.0</v>
      </c>
      <c r="F30" s="12">
        <v>200.0</v>
      </c>
      <c r="G30" s="12"/>
      <c r="H30" s="12">
        <v>50.0</v>
      </c>
      <c r="I30" s="12"/>
      <c r="J30" s="12"/>
      <c r="K30" s="12"/>
      <c r="L30" s="12">
        <v>50.0</v>
      </c>
      <c r="M30" s="12">
        <v>50.0</v>
      </c>
      <c r="N30" s="12">
        <v>70.0</v>
      </c>
      <c r="O30" s="12">
        <v>30.0</v>
      </c>
      <c r="P30" s="12">
        <v>100.0</v>
      </c>
      <c r="Q30" s="12">
        <v>100.0</v>
      </c>
      <c r="R30" s="12">
        <v>40.0</v>
      </c>
      <c r="S30" s="12">
        <v>50.0</v>
      </c>
      <c r="T30" s="12"/>
      <c r="U30" s="12"/>
      <c r="V30" s="12"/>
      <c r="W30" s="12"/>
      <c r="X30" s="12">
        <v>50.0</v>
      </c>
      <c r="Y30" s="12">
        <v>100.0</v>
      </c>
      <c r="Z30" s="12">
        <v>65.0</v>
      </c>
      <c r="AA30" s="12"/>
      <c r="AB30" s="12">
        <v>20.0</v>
      </c>
      <c r="AC30" s="12">
        <v>15.0</v>
      </c>
      <c r="AD30" s="12">
        <v>130.0</v>
      </c>
      <c r="AE30" s="12">
        <v>50.0</v>
      </c>
      <c r="AF30" s="12">
        <v>50.0</v>
      </c>
      <c r="AG30" s="12">
        <v>50.0</v>
      </c>
      <c r="AH30" s="12">
        <v>20.0</v>
      </c>
      <c r="AI30" s="12">
        <v>50.0</v>
      </c>
      <c r="AJ30" s="12">
        <v>240.0</v>
      </c>
      <c r="AK30" s="12"/>
      <c r="AL30" s="12"/>
      <c r="AM30" s="12">
        <v>20.0</v>
      </c>
      <c r="AN30" s="12">
        <v>180.0</v>
      </c>
      <c r="AO30" s="12"/>
      <c r="AP30" s="12">
        <v>12.0</v>
      </c>
      <c r="AQ30" s="12"/>
      <c r="AR30" s="12">
        <v>20.0</v>
      </c>
      <c r="AS30" s="12"/>
      <c r="AT30" s="12">
        <v>100.0</v>
      </c>
      <c r="AU30" s="12"/>
      <c r="AV30" s="12">
        <v>6.0</v>
      </c>
      <c r="AW30" s="12"/>
      <c r="AX30" s="12"/>
      <c r="AY30" s="12"/>
      <c r="AZ30" s="12">
        <v>10.0</v>
      </c>
      <c r="BA30" s="12"/>
      <c r="BB30" s="12"/>
      <c r="BC30" s="12"/>
      <c r="BD30" s="12"/>
      <c r="BE30" s="12"/>
      <c r="BF30" s="12"/>
      <c r="BG30" s="12">
        <v>20.0</v>
      </c>
      <c r="BH30" s="12">
        <f t="shared" si="3"/>
        <v>2148</v>
      </c>
      <c r="BI30" s="1"/>
      <c r="BJ30" s="1"/>
      <c r="BK30" s="1"/>
    </row>
    <row r="31" ht="34.5" customHeight="1">
      <c r="A31" s="12">
        <v>9.0</v>
      </c>
      <c r="B31" s="13" t="s">
        <v>69</v>
      </c>
      <c r="C31" s="14"/>
      <c r="D31" s="12">
        <v>20.0</v>
      </c>
      <c r="E31" s="12">
        <v>220.0</v>
      </c>
      <c r="F31" s="12">
        <v>350.0</v>
      </c>
      <c r="G31" s="12">
        <v>120.0</v>
      </c>
      <c r="H31" s="12">
        <v>30.0</v>
      </c>
      <c r="I31" s="12">
        <v>100.0</v>
      </c>
      <c r="J31" s="12">
        <v>20.0</v>
      </c>
      <c r="K31" s="12">
        <v>20.0</v>
      </c>
      <c r="L31" s="12">
        <v>50.0</v>
      </c>
      <c r="M31" s="12"/>
      <c r="N31" s="12">
        <v>20.0</v>
      </c>
      <c r="O31" s="12"/>
      <c r="P31" s="12">
        <v>130.0</v>
      </c>
      <c r="Q31" s="12">
        <v>230.0</v>
      </c>
      <c r="R31" s="12"/>
      <c r="S31" s="12"/>
      <c r="T31" s="12"/>
      <c r="U31" s="12">
        <v>50.0</v>
      </c>
      <c r="V31" s="12"/>
      <c r="W31" s="12"/>
      <c r="X31" s="12">
        <v>100.0</v>
      </c>
      <c r="Y31" s="12">
        <v>100.0</v>
      </c>
      <c r="Z31" s="12">
        <v>40.0</v>
      </c>
      <c r="AA31" s="12"/>
      <c r="AB31" s="12"/>
      <c r="AC31" s="12">
        <v>50.0</v>
      </c>
      <c r="AD31" s="12">
        <v>180.0</v>
      </c>
      <c r="AE31" s="12">
        <v>30.0</v>
      </c>
      <c r="AF31" s="12">
        <v>42.0</v>
      </c>
      <c r="AG31" s="12"/>
      <c r="AH31" s="12"/>
      <c r="AI31" s="12">
        <v>40.0</v>
      </c>
      <c r="AJ31" s="12">
        <v>100.0</v>
      </c>
      <c r="AK31" s="12"/>
      <c r="AL31" s="12"/>
      <c r="AM31" s="12"/>
      <c r="AN31" s="12">
        <v>50.0</v>
      </c>
      <c r="AO31" s="12"/>
      <c r="AP31" s="12"/>
      <c r="AQ31" s="12"/>
      <c r="AR31" s="12"/>
      <c r="AS31" s="12"/>
      <c r="AT31" s="12">
        <v>120.0</v>
      </c>
      <c r="AU31" s="12"/>
      <c r="AV31" s="12"/>
      <c r="AW31" s="12"/>
      <c r="AX31" s="12">
        <v>8.0</v>
      </c>
      <c r="AY31" s="12">
        <v>8.0</v>
      </c>
      <c r="AZ31" s="12"/>
      <c r="BA31" s="12">
        <v>20.0</v>
      </c>
      <c r="BB31" s="12"/>
      <c r="BC31" s="12">
        <v>18.0</v>
      </c>
      <c r="BD31" s="12">
        <v>4.0</v>
      </c>
      <c r="BE31" s="12">
        <v>40.0</v>
      </c>
      <c r="BF31" s="12"/>
      <c r="BG31" s="12"/>
      <c r="BH31" s="12">
        <f t="shared" si="3"/>
        <v>2310</v>
      </c>
      <c r="BI31" s="1"/>
      <c r="BJ31" s="1"/>
      <c r="BK31" s="1"/>
    </row>
    <row r="32" ht="34.5" customHeight="1">
      <c r="A32" s="12">
        <v>10.0</v>
      </c>
      <c r="B32" s="13" t="s">
        <v>70</v>
      </c>
      <c r="C32" s="14"/>
      <c r="D32" s="12">
        <v>60.0</v>
      </c>
      <c r="E32" s="12">
        <v>295.0</v>
      </c>
      <c r="F32" s="12">
        <v>330.0</v>
      </c>
      <c r="G32" s="12">
        <v>195.0</v>
      </c>
      <c r="H32" s="12">
        <v>43.0</v>
      </c>
      <c r="I32" s="12">
        <v>111.0</v>
      </c>
      <c r="J32" s="12">
        <v>30.0</v>
      </c>
      <c r="K32" s="12"/>
      <c r="L32" s="12">
        <v>30.0</v>
      </c>
      <c r="M32" s="12">
        <v>90.0</v>
      </c>
      <c r="N32" s="12">
        <v>105.0</v>
      </c>
      <c r="O32" s="12">
        <v>15.0</v>
      </c>
      <c r="P32" s="12">
        <v>75.0</v>
      </c>
      <c r="Q32" s="12">
        <v>175.0</v>
      </c>
      <c r="R32" s="12"/>
      <c r="S32" s="12"/>
      <c r="T32" s="12">
        <v>54.0</v>
      </c>
      <c r="U32" s="12">
        <v>25.0</v>
      </c>
      <c r="V32" s="12"/>
      <c r="W32" s="12"/>
      <c r="X32" s="12">
        <v>90.0</v>
      </c>
      <c r="Y32" s="12">
        <v>165.0</v>
      </c>
      <c r="Z32" s="12">
        <v>60.0</v>
      </c>
      <c r="AA32" s="12">
        <v>0.0</v>
      </c>
      <c r="AB32" s="12">
        <v>15.0</v>
      </c>
      <c r="AC32" s="12">
        <v>45.0</v>
      </c>
      <c r="AD32" s="12">
        <v>288.0</v>
      </c>
      <c r="AE32" s="12">
        <v>75.0</v>
      </c>
      <c r="AF32" s="12">
        <v>150.0</v>
      </c>
      <c r="AG32" s="12"/>
      <c r="AH32" s="12">
        <v>29.0</v>
      </c>
      <c r="AI32" s="12">
        <v>61.0</v>
      </c>
      <c r="AJ32" s="12">
        <v>155.0</v>
      </c>
      <c r="AK32" s="12">
        <v>45.0</v>
      </c>
      <c r="AL32" s="12"/>
      <c r="AM32" s="12"/>
      <c r="AN32" s="12">
        <v>106.0</v>
      </c>
      <c r="AO32" s="12">
        <v>32.0</v>
      </c>
      <c r="AP32" s="12"/>
      <c r="AQ32" s="12">
        <v>21.0</v>
      </c>
      <c r="AR32" s="12">
        <v>58.0</v>
      </c>
      <c r="AS32" s="12">
        <v>44.0</v>
      </c>
      <c r="AT32" s="12">
        <v>135.0</v>
      </c>
      <c r="AU32" s="12"/>
      <c r="AV32" s="12"/>
      <c r="AW32" s="12"/>
      <c r="AX32" s="12"/>
      <c r="AY32" s="12"/>
      <c r="AZ32" s="12"/>
      <c r="BA32" s="12">
        <v>30.0</v>
      </c>
      <c r="BB32" s="12"/>
      <c r="BC32" s="12"/>
      <c r="BD32" s="12"/>
      <c r="BE32" s="12">
        <v>10.0</v>
      </c>
      <c r="BF32" s="12"/>
      <c r="BG32" s="12"/>
      <c r="BH32" s="12">
        <f t="shared" si="3"/>
        <v>3247</v>
      </c>
      <c r="BI32" s="1"/>
      <c r="BJ32" s="1"/>
      <c r="BK32" s="1"/>
    </row>
    <row r="33" ht="34.5" customHeight="1">
      <c r="A33" s="12">
        <v>11.0</v>
      </c>
      <c r="B33" s="13" t="s">
        <v>71</v>
      </c>
      <c r="C33" s="14"/>
      <c r="D33" s="12">
        <v>8.0</v>
      </c>
      <c r="E33" s="12">
        <v>429.0</v>
      </c>
      <c r="F33" s="12">
        <v>399.0</v>
      </c>
      <c r="G33" s="12">
        <v>120.0</v>
      </c>
      <c r="H33" s="12">
        <v>75.0</v>
      </c>
      <c r="I33" s="12">
        <v>148.0</v>
      </c>
      <c r="J33" s="12"/>
      <c r="K33" s="12">
        <v>40.0</v>
      </c>
      <c r="L33" s="12">
        <v>30.0</v>
      </c>
      <c r="M33" s="12">
        <v>59.0</v>
      </c>
      <c r="N33" s="12">
        <v>50.0</v>
      </c>
      <c r="O33" s="12">
        <v>20.0</v>
      </c>
      <c r="P33" s="12">
        <v>220.0</v>
      </c>
      <c r="Q33" s="12">
        <v>200.0</v>
      </c>
      <c r="R33" s="12"/>
      <c r="S33" s="12"/>
      <c r="T33" s="12">
        <v>4.0</v>
      </c>
      <c r="U33" s="12">
        <v>20.0</v>
      </c>
      <c r="V33" s="12"/>
      <c r="W33" s="12">
        <v>10.0</v>
      </c>
      <c r="X33" s="12">
        <v>150.0</v>
      </c>
      <c r="Y33" s="12">
        <v>180.0</v>
      </c>
      <c r="Z33" s="12">
        <v>85.0</v>
      </c>
      <c r="AA33" s="12"/>
      <c r="AB33" s="12"/>
      <c r="AC33" s="12">
        <v>85.0</v>
      </c>
      <c r="AD33" s="12">
        <v>259.0</v>
      </c>
      <c r="AE33" s="12">
        <v>114.0</v>
      </c>
      <c r="AF33" s="12">
        <v>205.0</v>
      </c>
      <c r="AG33" s="12">
        <v>50.0</v>
      </c>
      <c r="AH33" s="12">
        <v>21.0</v>
      </c>
      <c r="AI33" s="12">
        <v>56.0</v>
      </c>
      <c r="AJ33" s="12">
        <v>244.0</v>
      </c>
      <c r="AK33" s="12">
        <v>65.0</v>
      </c>
      <c r="AL33" s="12">
        <v>10.0</v>
      </c>
      <c r="AM33" s="12">
        <v>20.0</v>
      </c>
      <c r="AN33" s="12">
        <v>130.0</v>
      </c>
      <c r="AO33" s="12">
        <v>20.0</v>
      </c>
      <c r="AP33" s="12"/>
      <c r="AQ33" s="12"/>
      <c r="AR33" s="12">
        <v>80.0</v>
      </c>
      <c r="AS33" s="12">
        <v>28.0</v>
      </c>
      <c r="AT33" s="12">
        <v>75.0</v>
      </c>
      <c r="AU33" s="12">
        <v>50.0</v>
      </c>
      <c r="AV33" s="12">
        <v>20.0</v>
      </c>
      <c r="AW33" s="12"/>
      <c r="AX33" s="12">
        <v>10.0</v>
      </c>
      <c r="AY33" s="12">
        <v>10.0</v>
      </c>
      <c r="AZ33" s="12">
        <v>100.0</v>
      </c>
      <c r="BA33" s="12">
        <v>200.0</v>
      </c>
      <c r="BB33" s="12">
        <v>10.0</v>
      </c>
      <c r="BC33" s="12">
        <v>10.0</v>
      </c>
      <c r="BD33" s="12">
        <v>20.0</v>
      </c>
      <c r="BE33" s="12"/>
      <c r="BF33" s="12">
        <v>20.0</v>
      </c>
      <c r="BG33" s="12">
        <v>10.0</v>
      </c>
      <c r="BH33" s="12">
        <f t="shared" si="3"/>
        <v>4169</v>
      </c>
      <c r="BI33" s="1"/>
      <c r="BJ33" s="1"/>
      <c r="BK33" s="1"/>
    </row>
    <row r="34" ht="34.5" customHeight="1">
      <c r="A34" s="12">
        <v>12.0</v>
      </c>
      <c r="B34" s="16" t="s">
        <v>72</v>
      </c>
      <c r="C34" s="14"/>
      <c r="D34" s="12"/>
      <c r="E34" s="12">
        <v>360.0</v>
      </c>
      <c r="F34" s="12">
        <v>440.0</v>
      </c>
      <c r="G34" s="12">
        <v>140.0</v>
      </c>
      <c r="H34" s="12">
        <v>30.0</v>
      </c>
      <c r="I34" s="12">
        <v>111.0</v>
      </c>
      <c r="J34" s="12">
        <v>50.0</v>
      </c>
      <c r="K34" s="12"/>
      <c r="L34" s="12">
        <v>30.0</v>
      </c>
      <c r="M34" s="12">
        <v>61.0</v>
      </c>
      <c r="N34" s="12">
        <v>179.0</v>
      </c>
      <c r="O34" s="12">
        <v>50.0</v>
      </c>
      <c r="P34" s="12">
        <v>180.0</v>
      </c>
      <c r="Q34" s="12">
        <v>271.0</v>
      </c>
      <c r="R34" s="12"/>
      <c r="S34" s="12"/>
      <c r="T34" s="12">
        <v>30.0</v>
      </c>
      <c r="U34" s="12">
        <v>10.0</v>
      </c>
      <c r="V34" s="12"/>
      <c r="W34" s="12">
        <v>10.0</v>
      </c>
      <c r="X34" s="12">
        <v>120.0</v>
      </c>
      <c r="Y34" s="12">
        <v>220.0</v>
      </c>
      <c r="Z34" s="12">
        <v>150.0</v>
      </c>
      <c r="AA34" s="12"/>
      <c r="AB34" s="12"/>
      <c r="AC34" s="12">
        <v>70.0</v>
      </c>
      <c r="AD34" s="12">
        <v>351.0</v>
      </c>
      <c r="AE34" s="12">
        <v>98.0</v>
      </c>
      <c r="AF34" s="12">
        <v>184.0</v>
      </c>
      <c r="AG34" s="12">
        <v>40.0</v>
      </c>
      <c r="AH34" s="12">
        <v>80.0</v>
      </c>
      <c r="AI34" s="12">
        <v>50.0</v>
      </c>
      <c r="AJ34" s="12">
        <v>412.0</v>
      </c>
      <c r="AK34" s="12">
        <v>50.0</v>
      </c>
      <c r="AL34" s="12">
        <v>10.0</v>
      </c>
      <c r="AM34" s="12">
        <v>30.0</v>
      </c>
      <c r="AN34" s="12">
        <v>331.0</v>
      </c>
      <c r="AO34" s="12">
        <v>60.0</v>
      </c>
      <c r="AP34" s="12"/>
      <c r="AQ34" s="12"/>
      <c r="AR34" s="12">
        <v>70.0</v>
      </c>
      <c r="AS34" s="12">
        <v>10.0</v>
      </c>
      <c r="AT34" s="12"/>
      <c r="AU34" s="12">
        <v>100.0</v>
      </c>
      <c r="AV34" s="12">
        <v>50.0</v>
      </c>
      <c r="AW34" s="12">
        <v>10.0</v>
      </c>
      <c r="AX34" s="12">
        <v>10.0</v>
      </c>
      <c r="AY34" s="12">
        <v>10.0</v>
      </c>
      <c r="AZ34" s="12">
        <v>50.0</v>
      </c>
      <c r="BA34" s="12">
        <v>100.0</v>
      </c>
      <c r="BB34" s="12">
        <v>6.0</v>
      </c>
      <c r="BC34" s="12">
        <v>20.0</v>
      </c>
      <c r="BD34" s="12"/>
      <c r="BE34" s="12"/>
      <c r="BF34" s="12">
        <v>10.0</v>
      </c>
      <c r="BG34" s="12"/>
      <c r="BH34" s="12">
        <f t="shared" si="3"/>
        <v>4654</v>
      </c>
      <c r="BI34" s="1"/>
      <c r="BJ34" s="1"/>
      <c r="BK34" s="1"/>
    </row>
    <row r="35" ht="59.25" customHeight="1">
      <c r="A35" s="13" t="s">
        <v>73</v>
      </c>
      <c r="B35" s="15"/>
      <c r="C35" s="14"/>
      <c r="D35" s="12">
        <f t="shared" ref="D35:BG35" si="4">SUM(D23:D34)</f>
        <v>468</v>
      </c>
      <c r="E35" s="12">
        <f t="shared" si="4"/>
        <v>4912</v>
      </c>
      <c r="F35" s="12">
        <f t="shared" si="4"/>
        <v>3673</v>
      </c>
      <c r="G35" s="12">
        <f t="shared" si="4"/>
        <v>1728</v>
      </c>
      <c r="H35" s="12">
        <f t="shared" si="4"/>
        <v>285</v>
      </c>
      <c r="I35" s="12">
        <f t="shared" si="4"/>
        <v>1363</v>
      </c>
      <c r="J35" s="12">
        <f t="shared" si="4"/>
        <v>150</v>
      </c>
      <c r="K35" s="12">
        <f t="shared" si="4"/>
        <v>160</v>
      </c>
      <c r="L35" s="12">
        <f t="shared" si="4"/>
        <v>416</v>
      </c>
      <c r="M35" s="12">
        <f t="shared" si="4"/>
        <v>406</v>
      </c>
      <c r="N35" s="12">
        <f t="shared" si="4"/>
        <v>1419</v>
      </c>
      <c r="O35" s="12">
        <f t="shared" si="4"/>
        <v>193</v>
      </c>
      <c r="P35" s="12">
        <f t="shared" si="4"/>
        <v>2231</v>
      </c>
      <c r="Q35" s="12">
        <f t="shared" si="4"/>
        <v>3200</v>
      </c>
      <c r="R35" s="12">
        <f t="shared" si="4"/>
        <v>46</v>
      </c>
      <c r="S35" s="12">
        <f t="shared" si="4"/>
        <v>54</v>
      </c>
      <c r="T35" s="12">
        <f t="shared" si="4"/>
        <v>328</v>
      </c>
      <c r="U35" s="12">
        <f t="shared" si="4"/>
        <v>221</v>
      </c>
      <c r="V35" s="12">
        <f t="shared" si="4"/>
        <v>186</v>
      </c>
      <c r="W35" s="12">
        <f t="shared" si="4"/>
        <v>100</v>
      </c>
      <c r="X35" s="12">
        <f t="shared" si="4"/>
        <v>1136</v>
      </c>
      <c r="Y35" s="12">
        <f t="shared" si="4"/>
        <v>2025</v>
      </c>
      <c r="Z35" s="12">
        <f t="shared" si="4"/>
        <v>913</v>
      </c>
      <c r="AA35" s="12">
        <f t="shared" si="4"/>
        <v>0</v>
      </c>
      <c r="AB35" s="12">
        <f t="shared" si="4"/>
        <v>35</v>
      </c>
      <c r="AC35" s="12">
        <f t="shared" si="4"/>
        <v>749</v>
      </c>
      <c r="AD35" s="12">
        <f t="shared" si="4"/>
        <v>3542</v>
      </c>
      <c r="AE35" s="12">
        <f t="shared" si="4"/>
        <v>858</v>
      </c>
      <c r="AF35" s="12">
        <f t="shared" si="4"/>
        <v>1914</v>
      </c>
      <c r="AG35" s="12">
        <f t="shared" si="4"/>
        <v>496</v>
      </c>
      <c r="AH35" s="12">
        <f t="shared" si="4"/>
        <v>523</v>
      </c>
      <c r="AI35" s="12">
        <f t="shared" si="4"/>
        <v>802</v>
      </c>
      <c r="AJ35" s="12">
        <f t="shared" si="4"/>
        <v>3870</v>
      </c>
      <c r="AK35" s="12">
        <f t="shared" si="4"/>
        <v>422</v>
      </c>
      <c r="AL35" s="12">
        <f t="shared" si="4"/>
        <v>64</v>
      </c>
      <c r="AM35" s="12">
        <f t="shared" si="4"/>
        <v>100</v>
      </c>
      <c r="AN35" s="12">
        <f t="shared" si="4"/>
        <v>2109</v>
      </c>
      <c r="AO35" s="12">
        <f t="shared" si="4"/>
        <v>134</v>
      </c>
      <c r="AP35" s="12">
        <f t="shared" si="4"/>
        <v>58</v>
      </c>
      <c r="AQ35" s="12">
        <f t="shared" si="4"/>
        <v>36</v>
      </c>
      <c r="AR35" s="12">
        <f t="shared" si="4"/>
        <v>588</v>
      </c>
      <c r="AS35" s="12">
        <f t="shared" si="4"/>
        <v>132</v>
      </c>
      <c r="AT35" s="12">
        <f t="shared" si="4"/>
        <v>905</v>
      </c>
      <c r="AU35" s="12">
        <f t="shared" si="4"/>
        <v>385</v>
      </c>
      <c r="AV35" s="12">
        <f t="shared" si="4"/>
        <v>191</v>
      </c>
      <c r="AW35" s="12">
        <f t="shared" si="4"/>
        <v>12</v>
      </c>
      <c r="AX35" s="12">
        <f t="shared" si="4"/>
        <v>103</v>
      </c>
      <c r="AY35" s="12">
        <f t="shared" si="4"/>
        <v>38</v>
      </c>
      <c r="AZ35" s="12">
        <f t="shared" si="4"/>
        <v>450</v>
      </c>
      <c r="BA35" s="12">
        <f t="shared" si="4"/>
        <v>760</v>
      </c>
      <c r="BB35" s="12">
        <f t="shared" si="4"/>
        <v>40</v>
      </c>
      <c r="BC35" s="12">
        <f t="shared" si="4"/>
        <v>113</v>
      </c>
      <c r="BD35" s="12">
        <f t="shared" si="4"/>
        <v>56</v>
      </c>
      <c r="BE35" s="12">
        <f t="shared" si="4"/>
        <v>69</v>
      </c>
      <c r="BF35" s="12">
        <f t="shared" si="4"/>
        <v>35</v>
      </c>
      <c r="BG35" s="12">
        <f t="shared" si="4"/>
        <v>60</v>
      </c>
      <c r="BH35" s="12">
        <f t="shared" si="3"/>
        <v>45262</v>
      </c>
      <c r="BI35" s="1"/>
      <c r="BJ35" s="1"/>
      <c r="BK35" s="1"/>
    </row>
    <row r="36" ht="32.25" customHeight="1">
      <c r="A36" s="1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"/>
      <c r="BJ36" s="1"/>
      <c r="BK36" s="1">
        <f>BH33-BH36</f>
        <v>4169</v>
      </c>
    </row>
    <row r="37" ht="32.25" customHeight="1">
      <c r="A37" s="1"/>
      <c r="B37" s="1" t="s">
        <v>77</v>
      </c>
      <c r="BI37" s="1"/>
      <c r="BJ37" s="1"/>
      <c r="BK37" s="1"/>
    </row>
    <row r="38" ht="32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ht="32.25" customHeight="1">
      <c r="A39" s="1"/>
      <c r="B39" s="2" t="s">
        <v>78</v>
      </c>
      <c r="BI39" s="3"/>
      <c r="BJ39" s="3"/>
      <c r="BK39" s="3"/>
    </row>
    <row r="40" ht="41.25" customHeight="1">
      <c r="A40" s="1"/>
      <c r="B40" s="3"/>
      <c r="C40" s="3"/>
      <c r="D40" s="3"/>
      <c r="E40" s="3"/>
      <c r="F40" s="3"/>
      <c r="G40" s="3"/>
      <c r="H40" s="3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4" t="s">
        <v>79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3"/>
      <c r="BJ40" s="3"/>
      <c r="BK40" s="3"/>
    </row>
    <row r="41" ht="138.0" customHeight="1">
      <c r="A41" s="6" t="s">
        <v>2</v>
      </c>
      <c r="B41" s="7" t="s">
        <v>3</v>
      </c>
      <c r="C41" s="8"/>
      <c r="D41" s="9" t="s">
        <v>4</v>
      </c>
      <c r="E41" s="9" t="s">
        <v>5</v>
      </c>
      <c r="F41" s="9" t="s">
        <v>6</v>
      </c>
      <c r="G41" s="9" t="s">
        <v>7</v>
      </c>
      <c r="H41" s="9" t="s">
        <v>8</v>
      </c>
      <c r="I41" s="10" t="s">
        <v>9</v>
      </c>
      <c r="J41" s="9" t="s">
        <v>10</v>
      </c>
      <c r="K41" s="9" t="s">
        <v>11</v>
      </c>
      <c r="L41" s="9" t="s">
        <v>12</v>
      </c>
      <c r="M41" s="9" t="s">
        <v>13</v>
      </c>
      <c r="N41" s="9" t="s">
        <v>14</v>
      </c>
      <c r="O41" s="9" t="s">
        <v>15</v>
      </c>
      <c r="P41" s="9" t="s">
        <v>16</v>
      </c>
      <c r="Q41" s="9" t="s">
        <v>17</v>
      </c>
      <c r="R41" s="9" t="s">
        <v>18</v>
      </c>
      <c r="S41" s="9" t="s">
        <v>19</v>
      </c>
      <c r="T41" s="9" t="s">
        <v>20</v>
      </c>
      <c r="U41" s="9" t="s">
        <v>21</v>
      </c>
      <c r="V41" s="9" t="s">
        <v>22</v>
      </c>
      <c r="W41" s="9" t="s">
        <v>23</v>
      </c>
      <c r="X41" s="9" t="s">
        <v>24</v>
      </c>
      <c r="Y41" s="9" t="s">
        <v>25</v>
      </c>
      <c r="Z41" s="9" t="s">
        <v>26</v>
      </c>
      <c r="AA41" s="9" t="s">
        <v>27</v>
      </c>
      <c r="AB41" s="9" t="s">
        <v>28</v>
      </c>
      <c r="AC41" s="9" t="s">
        <v>29</v>
      </c>
      <c r="AD41" s="9" t="s">
        <v>30</v>
      </c>
      <c r="AE41" s="9" t="s">
        <v>31</v>
      </c>
      <c r="AF41" s="9" t="s">
        <v>32</v>
      </c>
      <c r="AG41" s="9" t="s">
        <v>33</v>
      </c>
      <c r="AH41" s="9" t="s">
        <v>34</v>
      </c>
      <c r="AI41" s="9" t="s">
        <v>35</v>
      </c>
      <c r="AJ41" s="9" t="s">
        <v>36</v>
      </c>
      <c r="AK41" s="9" t="s">
        <v>37</v>
      </c>
      <c r="AL41" s="9" t="s">
        <v>38</v>
      </c>
      <c r="AM41" s="9" t="s">
        <v>39</v>
      </c>
      <c r="AN41" s="9" t="s">
        <v>40</v>
      </c>
      <c r="AO41" s="9" t="s">
        <v>41</v>
      </c>
      <c r="AP41" s="9" t="s">
        <v>42</v>
      </c>
      <c r="AQ41" s="9" t="s">
        <v>43</v>
      </c>
      <c r="AR41" s="9" t="s">
        <v>44</v>
      </c>
      <c r="AS41" s="9" t="s">
        <v>45</v>
      </c>
      <c r="AT41" s="9" t="s">
        <v>46</v>
      </c>
      <c r="AU41" s="9" t="s">
        <v>47</v>
      </c>
      <c r="AV41" s="9" t="s">
        <v>48</v>
      </c>
      <c r="AW41" s="9" t="s">
        <v>49</v>
      </c>
      <c r="AX41" s="9" t="s">
        <v>50</v>
      </c>
      <c r="AY41" s="9" t="s">
        <v>51</v>
      </c>
      <c r="AZ41" s="9" t="s">
        <v>52</v>
      </c>
      <c r="BA41" s="9" t="s">
        <v>53</v>
      </c>
      <c r="BB41" s="9" t="s">
        <v>54</v>
      </c>
      <c r="BC41" s="9" t="s">
        <v>55</v>
      </c>
      <c r="BD41" s="9" t="s">
        <v>56</v>
      </c>
      <c r="BE41" s="9" t="s">
        <v>57</v>
      </c>
      <c r="BF41" s="9" t="s">
        <v>58</v>
      </c>
      <c r="BG41" s="9" t="s">
        <v>59</v>
      </c>
      <c r="BH41" s="9" t="s">
        <v>60</v>
      </c>
      <c r="BI41" s="1"/>
      <c r="BJ41" s="1"/>
      <c r="BK41" s="1"/>
    </row>
    <row r="42" ht="34.5" customHeight="1">
      <c r="A42" s="12">
        <v>1.0</v>
      </c>
      <c r="B42" s="13" t="s">
        <v>61</v>
      </c>
      <c r="C42" s="14"/>
      <c r="D42" s="12"/>
      <c r="E42" s="12">
        <v>1969.0</v>
      </c>
      <c r="F42" s="12">
        <v>175.0</v>
      </c>
      <c r="G42" s="12">
        <v>1285.0</v>
      </c>
      <c r="H42" s="12"/>
      <c r="I42" s="12">
        <v>95.0</v>
      </c>
      <c r="J42" s="12">
        <v>150.0</v>
      </c>
      <c r="K42" s="12"/>
      <c r="L42" s="12"/>
      <c r="M42" s="12"/>
      <c r="N42" s="12">
        <v>1028.0</v>
      </c>
      <c r="O42" s="12">
        <v>4.0</v>
      </c>
      <c r="P42" s="12">
        <v>377.0</v>
      </c>
      <c r="Q42" s="12">
        <v>581.0</v>
      </c>
      <c r="R42" s="12">
        <v>80.0</v>
      </c>
      <c r="S42" s="12">
        <v>170.0</v>
      </c>
      <c r="T42" s="12"/>
      <c r="U42" s="12"/>
      <c r="V42" s="12">
        <v>145.0</v>
      </c>
      <c r="W42" s="12">
        <v>170.0</v>
      </c>
      <c r="X42" s="12">
        <v>379.0</v>
      </c>
      <c r="Y42" s="12">
        <v>604.0</v>
      </c>
      <c r="Z42" s="12">
        <v>132.0</v>
      </c>
      <c r="AA42" s="12"/>
      <c r="AB42" s="12">
        <v>146.0</v>
      </c>
      <c r="AC42" s="12">
        <v>132.0</v>
      </c>
      <c r="AD42" s="12">
        <v>874.0</v>
      </c>
      <c r="AE42" s="12">
        <v>138.0</v>
      </c>
      <c r="AF42" s="12">
        <v>633.0</v>
      </c>
      <c r="AG42" s="12">
        <v>45.0</v>
      </c>
      <c r="AH42" s="12">
        <v>4.0</v>
      </c>
      <c r="AI42" s="12">
        <v>242.0</v>
      </c>
      <c r="AJ42" s="12">
        <v>1105.0</v>
      </c>
      <c r="AK42" s="12">
        <v>212.0</v>
      </c>
      <c r="AL42" s="12">
        <v>110.0</v>
      </c>
      <c r="AM42" s="12"/>
      <c r="AN42" s="12">
        <v>410.0</v>
      </c>
      <c r="AO42" s="12"/>
      <c r="AP42" s="12"/>
      <c r="AQ42" s="12">
        <v>44.0</v>
      </c>
      <c r="AR42" s="12">
        <v>128.0</v>
      </c>
      <c r="AS42" s="12">
        <v>16.0</v>
      </c>
      <c r="AT42" s="12"/>
      <c r="AU42" s="12">
        <v>134.0</v>
      </c>
      <c r="AV42" s="12">
        <v>71.0</v>
      </c>
      <c r="AW42" s="12"/>
      <c r="AX42" s="12">
        <v>30.0</v>
      </c>
      <c r="AY42" s="12"/>
      <c r="AZ42" s="12">
        <v>380.0</v>
      </c>
      <c r="BA42" s="12">
        <v>500.0</v>
      </c>
      <c r="BB42" s="12">
        <v>10.0</v>
      </c>
      <c r="BC42" s="12">
        <v>30.0</v>
      </c>
      <c r="BD42" s="12">
        <v>12.0</v>
      </c>
      <c r="BE42" s="12">
        <v>10.0</v>
      </c>
      <c r="BF42" s="12"/>
      <c r="BG42" s="12"/>
      <c r="BH42" s="12">
        <f t="shared" ref="BH42:BH55" si="5">SUM(D42:BG42)</f>
        <v>12760</v>
      </c>
      <c r="BI42" s="1"/>
      <c r="BJ42" s="1"/>
      <c r="BK42" s="1"/>
    </row>
    <row r="43" ht="34.5" customHeight="1">
      <c r="A43" s="12">
        <v>2.0</v>
      </c>
      <c r="B43" s="13" t="s">
        <v>62</v>
      </c>
      <c r="C43" s="14"/>
      <c r="D43" s="12">
        <v>299.0</v>
      </c>
      <c r="E43" s="12">
        <v>1200.0</v>
      </c>
      <c r="F43" s="12">
        <v>525.0</v>
      </c>
      <c r="G43" s="12">
        <v>689.0</v>
      </c>
      <c r="H43" s="12"/>
      <c r="I43" s="12"/>
      <c r="J43" s="12"/>
      <c r="K43" s="12"/>
      <c r="L43" s="12">
        <v>275.0</v>
      </c>
      <c r="M43" s="12"/>
      <c r="N43" s="12">
        <v>310.0</v>
      </c>
      <c r="O43" s="12"/>
      <c r="P43" s="12">
        <v>575.0</v>
      </c>
      <c r="Q43" s="12">
        <v>465.0</v>
      </c>
      <c r="R43" s="12">
        <v>25.0</v>
      </c>
      <c r="S43" s="12"/>
      <c r="T43" s="12">
        <v>20.0</v>
      </c>
      <c r="U43" s="12"/>
      <c r="V43" s="12">
        <v>6.0</v>
      </c>
      <c r="W43" s="12"/>
      <c r="X43" s="12"/>
      <c r="Y43" s="12">
        <v>565.0</v>
      </c>
      <c r="Z43" s="12">
        <v>30.0</v>
      </c>
      <c r="AA43" s="12"/>
      <c r="AB43" s="12"/>
      <c r="AC43" s="12"/>
      <c r="AD43" s="12">
        <v>683.0</v>
      </c>
      <c r="AE43" s="12">
        <v>249.0</v>
      </c>
      <c r="AF43" s="12">
        <v>395.0</v>
      </c>
      <c r="AG43" s="12">
        <v>67.0</v>
      </c>
      <c r="AH43" s="12">
        <v>125.0</v>
      </c>
      <c r="AI43" s="12">
        <v>161.0</v>
      </c>
      <c r="AJ43" s="12">
        <v>805.0</v>
      </c>
      <c r="AK43" s="12"/>
      <c r="AL43" s="12"/>
      <c r="AM43" s="12"/>
      <c r="AN43" s="12">
        <v>297.0</v>
      </c>
      <c r="AO43" s="12"/>
      <c r="AP43" s="12">
        <v>68.0</v>
      </c>
      <c r="AQ43" s="12">
        <v>20.0</v>
      </c>
      <c r="AR43" s="12">
        <v>164.0</v>
      </c>
      <c r="AS43" s="12">
        <v>76.0</v>
      </c>
      <c r="AT43" s="12">
        <v>150.0</v>
      </c>
      <c r="AU43" s="12">
        <v>72.0</v>
      </c>
      <c r="AV43" s="12">
        <v>1.0</v>
      </c>
      <c r="AW43" s="12"/>
      <c r="AX43" s="12">
        <v>10.0</v>
      </c>
      <c r="AY43" s="12"/>
      <c r="AZ43" s="12">
        <v>100.0</v>
      </c>
      <c r="BA43" s="12">
        <v>150.0</v>
      </c>
      <c r="BB43" s="12"/>
      <c r="BC43" s="12">
        <v>40.0</v>
      </c>
      <c r="BD43" s="12"/>
      <c r="BE43" s="12"/>
      <c r="BF43" s="12">
        <v>10.0</v>
      </c>
      <c r="BG43" s="12"/>
      <c r="BH43" s="12">
        <f t="shared" si="5"/>
        <v>8627</v>
      </c>
      <c r="BI43" s="1"/>
      <c r="BJ43" s="1"/>
      <c r="BK43" s="1"/>
    </row>
    <row r="44" ht="34.5" customHeight="1">
      <c r="A44" s="12">
        <v>3.0</v>
      </c>
      <c r="B44" s="13" t="s">
        <v>63</v>
      </c>
      <c r="C44" s="14"/>
      <c r="D44" s="12">
        <v>276.0</v>
      </c>
      <c r="E44" s="12">
        <v>915.0</v>
      </c>
      <c r="F44" s="12">
        <v>507.0</v>
      </c>
      <c r="G44" s="12">
        <v>296.0</v>
      </c>
      <c r="H44" s="12"/>
      <c r="I44" s="12">
        <v>135.0</v>
      </c>
      <c r="J44" s="12"/>
      <c r="K44" s="12"/>
      <c r="L44" s="12"/>
      <c r="M44" s="12">
        <v>199.0</v>
      </c>
      <c r="N44" s="12">
        <v>395.0</v>
      </c>
      <c r="O44" s="12">
        <v>190.0</v>
      </c>
      <c r="P44" s="12">
        <v>344.0</v>
      </c>
      <c r="Q44" s="12">
        <v>410.0</v>
      </c>
      <c r="R44" s="12"/>
      <c r="S44" s="12"/>
      <c r="T44" s="12">
        <v>220.0</v>
      </c>
      <c r="U44" s="12">
        <v>4.0</v>
      </c>
      <c r="V44" s="12"/>
      <c r="W44" s="12"/>
      <c r="X44" s="12">
        <v>186.0</v>
      </c>
      <c r="Y44" s="12">
        <v>423.0</v>
      </c>
      <c r="Z44" s="12">
        <v>545.0</v>
      </c>
      <c r="AA44" s="12"/>
      <c r="AB44" s="12"/>
      <c r="AC44" s="12">
        <v>289.0</v>
      </c>
      <c r="AD44" s="12">
        <v>893.0</v>
      </c>
      <c r="AE44" s="12">
        <v>104.0</v>
      </c>
      <c r="AF44" s="12">
        <v>420.0</v>
      </c>
      <c r="AG44" s="12">
        <v>210.0</v>
      </c>
      <c r="AH44" s="12">
        <v>112.0</v>
      </c>
      <c r="AI44" s="12">
        <v>296.0</v>
      </c>
      <c r="AJ44" s="12">
        <v>405.0</v>
      </c>
      <c r="AK44" s="12">
        <v>189.0</v>
      </c>
      <c r="AL44" s="12"/>
      <c r="AM44" s="12"/>
      <c r="AN44" s="12">
        <f>228-2</f>
        <v>226</v>
      </c>
      <c r="AO44" s="12"/>
      <c r="AP44" s="12">
        <f>2-1</f>
        <v>1</v>
      </c>
      <c r="AQ44" s="12">
        <v>102.0</v>
      </c>
      <c r="AR44" s="12">
        <v>2.0</v>
      </c>
      <c r="AS44" s="12">
        <v>60.0</v>
      </c>
      <c r="AT44" s="12">
        <v>340.0</v>
      </c>
      <c r="AU44" s="12">
        <v>52.0</v>
      </c>
      <c r="AV44" s="12">
        <v>30.0</v>
      </c>
      <c r="AW44" s="12"/>
      <c r="AX44" s="12">
        <v>8.0</v>
      </c>
      <c r="AY44" s="12"/>
      <c r="AZ44" s="12">
        <v>805.0</v>
      </c>
      <c r="BA44" s="12">
        <v>200.0</v>
      </c>
      <c r="BB44" s="12"/>
      <c r="BC44" s="12">
        <v>10.0</v>
      </c>
      <c r="BD44" s="12"/>
      <c r="BE44" s="12"/>
      <c r="BF44" s="12">
        <v>3.0</v>
      </c>
      <c r="BG44" s="12"/>
      <c r="BH44" s="12">
        <f t="shared" si="5"/>
        <v>9802</v>
      </c>
      <c r="BI44" s="1"/>
      <c r="BJ44" s="1"/>
      <c r="BK44" s="1"/>
    </row>
    <row r="45" ht="34.5" customHeight="1">
      <c r="A45" s="12">
        <v>4.0</v>
      </c>
      <c r="B45" s="13" t="s">
        <v>64</v>
      </c>
      <c r="C45" s="14"/>
      <c r="D45" s="12">
        <v>218.0</v>
      </c>
      <c r="E45" s="12">
        <v>319.0</v>
      </c>
      <c r="F45" s="12">
        <v>185.0</v>
      </c>
      <c r="G45" s="12">
        <v>333.0</v>
      </c>
      <c r="H45" s="12">
        <v>2.0</v>
      </c>
      <c r="I45" s="12">
        <v>101.0</v>
      </c>
      <c r="J45" s="12">
        <v>2.0</v>
      </c>
      <c r="K45" s="12"/>
      <c r="L45" s="12"/>
      <c r="M45" s="12">
        <v>3.0</v>
      </c>
      <c r="N45" s="12">
        <v>443.0</v>
      </c>
      <c r="O45" s="12"/>
      <c r="P45" s="12">
        <v>355.0</v>
      </c>
      <c r="Q45" s="12">
        <v>317.0</v>
      </c>
      <c r="R45" s="12">
        <v>7.0</v>
      </c>
      <c r="S45" s="12"/>
      <c r="T45" s="12">
        <v>10.0</v>
      </c>
      <c r="U45" s="12"/>
      <c r="V45" s="12">
        <v>4.0</v>
      </c>
      <c r="W45" s="12">
        <v>1.0</v>
      </c>
      <c r="X45" s="12">
        <v>187.0</v>
      </c>
      <c r="Y45" s="12">
        <v>411.0</v>
      </c>
      <c r="Z45" s="12">
        <v>271.0</v>
      </c>
      <c r="AA45" s="12"/>
      <c r="AB45" s="12">
        <v>151.0</v>
      </c>
      <c r="AC45" s="12">
        <v>77.0</v>
      </c>
      <c r="AD45" s="12">
        <v>300.0</v>
      </c>
      <c r="AE45" s="12">
        <v>101.0</v>
      </c>
      <c r="AF45" s="12">
        <v>205.0</v>
      </c>
      <c r="AG45" s="12">
        <v>62.0</v>
      </c>
      <c r="AH45" s="12">
        <v>30.0</v>
      </c>
      <c r="AI45" s="12">
        <v>96.0</v>
      </c>
      <c r="AJ45" s="12">
        <v>335.0</v>
      </c>
      <c r="AK45" s="12">
        <v>7.0</v>
      </c>
      <c r="AL45" s="12">
        <v>7.0</v>
      </c>
      <c r="AM45" s="12"/>
      <c r="AN45" s="12">
        <v>55.0</v>
      </c>
      <c r="AO45" s="12"/>
      <c r="AP45" s="12"/>
      <c r="AQ45" s="12"/>
      <c r="AR45" s="12"/>
      <c r="AS45" s="12">
        <v>200.0</v>
      </c>
      <c r="AT45" s="12">
        <v>151.0</v>
      </c>
      <c r="AU45" s="12"/>
      <c r="AV45" s="12"/>
      <c r="AW45" s="12"/>
      <c r="AX45" s="12"/>
      <c r="AY45" s="12"/>
      <c r="AZ45" s="12">
        <v>654.0</v>
      </c>
      <c r="BA45" s="12">
        <v>402.0</v>
      </c>
      <c r="BB45" s="12">
        <v>84.0</v>
      </c>
      <c r="BC45" s="12">
        <v>79.0</v>
      </c>
      <c r="BD45" s="12">
        <v>2.0</v>
      </c>
      <c r="BE45" s="12">
        <v>32.0</v>
      </c>
      <c r="BF45" s="12">
        <v>12.0</v>
      </c>
      <c r="BG45" s="12">
        <v>32.0</v>
      </c>
      <c r="BH45" s="12">
        <f t="shared" si="5"/>
        <v>6243</v>
      </c>
      <c r="BI45" s="1">
        <f>SUM(D45:BH45)</f>
        <v>12486</v>
      </c>
      <c r="BJ45" s="1"/>
      <c r="BK45" s="1"/>
    </row>
    <row r="46" ht="34.5" customHeight="1">
      <c r="A46" s="12">
        <v>5.0</v>
      </c>
      <c r="B46" s="13" t="s">
        <v>65</v>
      </c>
      <c r="C46" s="14"/>
      <c r="D46" s="12"/>
      <c r="E46" s="12">
        <v>885.0</v>
      </c>
      <c r="F46" s="12">
        <v>915.0</v>
      </c>
      <c r="G46" s="12">
        <v>735.0</v>
      </c>
      <c r="H46" s="12"/>
      <c r="I46" s="12">
        <v>474.0</v>
      </c>
      <c r="J46" s="12"/>
      <c r="K46" s="12"/>
      <c r="L46" s="12">
        <v>170.0</v>
      </c>
      <c r="M46" s="12"/>
      <c r="N46" s="12">
        <v>715.0</v>
      </c>
      <c r="O46" s="12"/>
      <c r="P46" s="12">
        <v>370.0</v>
      </c>
      <c r="Q46" s="12">
        <v>610.0</v>
      </c>
      <c r="R46" s="12"/>
      <c r="S46" s="12"/>
      <c r="T46" s="12">
        <v>305.0</v>
      </c>
      <c r="U46" s="12">
        <v>115.0</v>
      </c>
      <c r="V46" s="12">
        <v>115.0</v>
      </c>
      <c r="W46" s="12"/>
      <c r="X46" s="12"/>
      <c r="Y46" s="12">
        <v>540.0</v>
      </c>
      <c r="Z46" s="12"/>
      <c r="AA46" s="12"/>
      <c r="AB46" s="12"/>
      <c r="AC46" s="12">
        <v>200.0</v>
      </c>
      <c r="AD46" s="12">
        <v>895.0</v>
      </c>
      <c r="AE46" s="12">
        <v>85.0</v>
      </c>
      <c r="AF46" s="12">
        <v>440.0</v>
      </c>
      <c r="AG46" s="12">
        <v>90.0</v>
      </c>
      <c r="AH46" s="12">
        <v>130.0</v>
      </c>
      <c r="AI46" s="12">
        <v>165.0</v>
      </c>
      <c r="AJ46" s="12">
        <v>835.0</v>
      </c>
      <c r="AK46" s="12">
        <v>105.0</v>
      </c>
      <c r="AL46" s="12">
        <v>130.0</v>
      </c>
      <c r="AM46" s="12"/>
      <c r="AN46" s="12">
        <v>400.0</v>
      </c>
      <c r="AO46" s="12"/>
      <c r="AP46" s="12"/>
      <c r="AQ46" s="12"/>
      <c r="AR46" s="12">
        <v>66.0</v>
      </c>
      <c r="AS46" s="12">
        <v>35.0</v>
      </c>
      <c r="AT46" s="12">
        <v>217.0</v>
      </c>
      <c r="AU46" s="12">
        <v>100.0</v>
      </c>
      <c r="AV46" s="12">
        <v>79.0</v>
      </c>
      <c r="AW46" s="12"/>
      <c r="AX46" s="12"/>
      <c r="AY46" s="12"/>
      <c r="AZ46" s="12">
        <v>1145.0</v>
      </c>
      <c r="BA46" s="12">
        <v>700.0</v>
      </c>
      <c r="BB46" s="12">
        <v>40.0</v>
      </c>
      <c r="BC46" s="12">
        <v>61.0</v>
      </c>
      <c r="BD46" s="12"/>
      <c r="BE46" s="12">
        <v>45.0</v>
      </c>
      <c r="BF46" s="12">
        <v>10.0</v>
      </c>
      <c r="BG46" s="12">
        <v>40.0</v>
      </c>
      <c r="BH46" s="12">
        <f t="shared" si="5"/>
        <v>11962</v>
      </c>
      <c r="BI46" s="1"/>
      <c r="BJ46" s="1"/>
      <c r="BK46" s="1" t="str">
        <f>BH46+#REF!</f>
        <v>#REF!</v>
      </c>
    </row>
    <row r="47" ht="29.25" customHeight="1">
      <c r="A47" s="12">
        <v>6.0</v>
      </c>
      <c r="B47" s="13" t="s">
        <v>66</v>
      </c>
      <c r="C47" s="14"/>
      <c r="D47" s="12">
        <v>50.0</v>
      </c>
      <c r="E47" s="12">
        <v>1007.0</v>
      </c>
      <c r="F47" s="12">
        <v>1200.0</v>
      </c>
      <c r="G47" s="12">
        <v>880.0</v>
      </c>
      <c r="H47" s="12">
        <v>50.0</v>
      </c>
      <c r="I47" s="12">
        <v>163.0</v>
      </c>
      <c r="J47" s="12"/>
      <c r="K47" s="12">
        <v>130.0</v>
      </c>
      <c r="L47" s="12">
        <v>55.0</v>
      </c>
      <c r="M47" s="12">
        <v>235.0</v>
      </c>
      <c r="N47" s="12">
        <v>494.0</v>
      </c>
      <c r="O47" s="12">
        <v>179.0</v>
      </c>
      <c r="P47" s="12">
        <v>510.0</v>
      </c>
      <c r="Q47" s="12">
        <v>767.0</v>
      </c>
      <c r="R47" s="12"/>
      <c r="S47" s="12"/>
      <c r="T47" s="12">
        <v>157.0</v>
      </c>
      <c r="U47" s="12">
        <v>161.0</v>
      </c>
      <c r="V47" s="12">
        <v>125.0</v>
      </c>
      <c r="W47" s="12">
        <v>91.0</v>
      </c>
      <c r="X47" s="12">
        <v>420.0</v>
      </c>
      <c r="Y47" s="12">
        <v>568.0</v>
      </c>
      <c r="Z47" s="12">
        <v>275.0</v>
      </c>
      <c r="AA47" s="12"/>
      <c r="AB47" s="12"/>
      <c r="AC47" s="12">
        <v>405.0</v>
      </c>
      <c r="AD47" s="12">
        <v>880.0</v>
      </c>
      <c r="AE47" s="12">
        <v>220.0</v>
      </c>
      <c r="AF47" s="12">
        <v>699.0</v>
      </c>
      <c r="AG47" s="12">
        <v>205.0</v>
      </c>
      <c r="AH47" s="12">
        <v>306.0</v>
      </c>
      <c r="AI47" s="12">
        <v>265.0</v>
      </c>
      <c r="AJ47" s="12">
        <v>735.0</v>
      </c>
      <c r="AK47" s="12">
        <v>199.0</v>
      </c>
      <c r="AL47" s="12"/>
      <c r="AM47" s="12">
        <v>87.0</v>
      </c>
      <c r="AN47" s="12">
        <v>185.0</v>
      </c>
      <c r="AO47" s="12">
        <v>139.0</v>
      </c>
      <c r="AP47" s="12">
        <v>20.0</v>
      </c>
      <c r="AQ47" s="12"/>
      <c r="AR47" s="12">
        <v>134.0</v>
      </c>
      <c r="AS47" s="12"/>
      <c r="AT47" s="12">
        <v>272.0</v>
      </c>
      <c r="AU47" s="12">
        <v>100.0</v>
      </c>
      <c r="AV47" s="12">
        <v>40.0</v>
      </c>
      <c r="AW47" s="12">
        <v>1.0</v>
      </c>
      <c r="AX47" s="12">
        <v>87.0</v>
      </c>
      <c r="AY47" s="12">
        <v>40.0</v>
      </c>
      <c r="AZ47" s="12">
        <v>586.0</v>
      </c>
      <c r="BA47" s="12">
        <v>348.0</v>
      </c>
      <c r="BB47" s="12">
        <v>40.0</v>
      </c>
      <c r="BC47" s="12">
        <v>40.0</v>
      </c>
      <c r="BD47" s="12"/>
      <c r="BE47" s="12">
        <v>22.0</v>
      </c>
      <c r="BF47" s="12">
        <v>20.0</v>
      </c>
      <c r="BG47" s="12">
        <v>51.0</v>
      </c>
      <c r="BH47" s="12">
        <f t="shared" si="5"/>
        <v>13643</v>
      </c>
      <c r="BI47" s="1"/>
      <c r="BJ47" s="1"/>
      <c r="BK47" s="1"/>
    </row>
    <row r="48" ht="34.5" customHeight="1">
      <c r="A48" s="12">
        <v>7.0</v>
      </c>
      <c r="B48" s="13" t="s">
        <v>67</v>
      </c>
      <c r="C48" s="14"/>
      <c r="D48" s="12">
        <v>185.0</v>
      </c>
      <c r="E48" s="12">
        <v>1240.0</v>
      </c>
      <c r="F48" s="12">
        <v>479.0</v>
      </c>
      <c r="G48" s="12">
        <v>342.0</v>
      </c>
      <c r="H48" s="12">
        <v>108.0</v>
      </c>
      <c r="I48" s="12">
        <v>222.0</v>
      </c>
      <c r="J48" s="12"/>
      <c r="K48" s="12"/>
      <c r="L48" s="12">
        <v>290.0</v>
      </c>
      <c r="M48" s="12">
        <v>118.0</v>
      </c>
      <c r="N48" s="12">
        <v>74.0</v>
      </c>
      <c r="O48" s="12"/>
      <c r="P48" s="12">
        <v>244.0</v>
      </c>
      <c r="Q48" s="12">
        <v>449.0</v>
      </c>
      <c r="R48" s="12"/>
      <c r="S48" s="12"/>
      <c r="T48" s="12"/>
      <c r="U48" s="12">
        <v>50.0</v>
      </c>
      <c r="V48" s="12">
        <v>20.0</v>
      </c>
      <c r="W48" s="12">
        <v>60.0</v>
      </c>
      <c r="X48" s="12">
        <v>215.0</v>
      </c>
      <c r="Y48" s="12">
        <v>365.0</v>
      </c>
      <c r="Z48" s="12">
        <v>80.0</v>
      </c>
      <c r="AA48" s="12"/>
      <c r="AB48" s="12">
        <v>41.0</v>
      </c>
      <c r="AC48" s="12">
        <v>245.0</v>
      </c>
      <c r="AD48" s="12">
        <v>414.0</v>
      </c>
      <c r="AE48" s="12">
        <v>209.0</v>
      </c>
      <c r="AF48" s="12">
        <v>200.0</v>
      </c>
      <c r="AG48" s="12">
        <v>83.0</v>
      </c>
      <c r="AH48" s="12">
        <v>80.0</v>
      </c>
      <c r="AI48" s="12">
        <v>50.0</v>
      </c>
      <c r="AJ48" s="12">
        <v>250.0</v>
      </c>
      <c r="AK48" s="12">
        <v>140.0</v>
      </c>
      <c r="AL48" s="12">
        <v>113.0</v>
      </c>
      <c r="AM48" s="12">
        <v>3.0</v>
      </c>
      <c r="AN48" s="12">
        <v>80.0</v>
      </c>
      <c r="AO48" s="12">
        <v>40.0</v>
      </c>
      <c r="AP48" s="12">
        <v>60.0</v>
      </c>
      <c r="AQ48" s="12"/>
      <c r="AR48" s="12">
        <v>60.0</v>
      </c>
      <c r="AS48" s="12"/>
      <c r="AT48" s="12">
        <v>80.0</v>
      </c>
      <c r="AU48" s="12"/>
      <c r="AV48" s="12"/>
      <c r="AW48" s="12"/>
      <c r="AX48" s="12"/>
      <c r="AY48" s="12">
        <v>25.0</v>
      </c>
      <c r="AZ48" s="12">
        <v>400.0</v>
      </c>
      <c r="BA48" s="12">
        <v>250.0</v>
      </c>
      <c r="BB48" s="12">
        <v>20.0</v>
      </c>
      <c r="BC48" s="12">
        <v>30.0</v>
      </c>
      <c r="BD48" s="12">
        <v>34.0</v>
      </c>
      <c r="BE48" s="12">
        <v>10.0</v>
      </c>
      <c r="BF48" s="12"/>
      <c r="BG48" s="12">
        <v>30.0</v>
      </c>
      <c r="BH48" s="12">
        <f t="shared" si="5"/>
        <v>7488</v>
      </c>
      <c r="BI48" s="1"/>
      <c r="BJ48" s="1"/>
      <c r="BK48" s="1"/>
    </row>
    <row r="49" ht="34.5" customHeight="1">
      <c r="A49" s="12">
        <v>8.0</v>
      </c>
      <c r="B49" s="13" t="s">
        <v>68</v>
      </c>
      <c r="C49" s="14"/>
      <c r="D49" s="12">
        <v>197.0</v>
      </c>
      <c r="E49" s="12">
        <v>810.0</v>
      </c>
      <c r="F49" s="12">
        <v>471.0</v>
      </c>
      <c r="G49" s="12">
        <v>190.0</v>
      </c>
      <c r="H49" s="12">
        <v>175.0</v>
      </c>
      <c r="I49" s="12">
        <v>390.0</v>
      </c>
      <c r="J49" s="12">
        <v>78.0</v>
      </c>
      <c r="K49" s="12">
        <v>200.0</v>
      </c>
      <c r="L49" s="12">
        <v>40.0</v>
      </c>
      <c r="M49" s="12">
        <v>135.0</v>
      </c>
      <c r="N49" s="12">
        <v>126.0</v>
      </c>
      <c r="O49" s="12">
        <v>167.0</v>
      </c>
      <c r="P49" s="12">
        <v>320.0</v>
      </c>
      <c r="Q49" s="12">
        <v>151.0</v>
      </c>
      <c r="R49" s="12">
        <v>170.0</v>
      </c>
      <c r="S49" s="12">
        <v>100.0</v>
      </c>
      <c r="T49" s="12">
        <v>138.0</v>
      </c>
      <c r="U49" s="12">
        <v>150.0</v>
      </c>
      <c r="V49" s="12">
        <v>130.0</v>
      </c>
      <c r="W49" s="12">
        <v>45.0</v>
      </c>
      <c r="X49" s="12">
        <v>213.0</v>
      </c>
      <c r="Y49" s="12">
        <v>315.0</v>
      </c>
      <c r="Z49" s="12">
        <v>159.0</v>
      </c>
      <c r="AA49" s="12"/>
      <c r="AB49" s="12"/>
      <c r="AC49" s="12">
        <v>150.0</v>
      </c>
      <c r="AD49" s="12">
        <v>456.0</v>
      </c>
      <c r="AE49" s="12">
        <v>170.0</v>
      </c>
      <c r="AF49" s="12">
        <v>310.0</v>
      </c>
      <c r="AG49" s="12">
        <v>150.0</v>
      </c>
      <c r="AH49" s="12">
        <v>120.0</v>
      </c>
      <c r="AI49" s="12">
        <v>130.0</v>
      </c>
      <c r="AJ49" s="12">
        <v>400.0</v>
      </c>
      <c r="AK49" s="12">
        <v>210.0</v>
      </c>
      <c r="AL49" s="12"/>
      <c r="AM49" s="12">
        <v>110.0</v>
      </c>
      <c r="AN49" s="12">
        <v>210.0</v>
      </c>
      <c r="AO49" s="12">
        <v>56.0</v>
      </c>
      <c r="AP49" s="12">
        <v>70.0</v>
      </c>
      <c r="AQ49" s="12"/>
      <c r="AR49" s="12">
        <v>90.0</v>
      </c>
      <c r="AS49" s="12"/>
      <c r="AT49" s="12">
        <v>80.0</v>
      </c>
      <c r="AU49" s="12">
        <v>40.0</v>
      </c>
      <c r="AV49" s="12">
        <v>99.0</v>
      </c>
      <c r="AW49" s="12"/>
      <c r="AX49" s="12">
        <v>20.0</v>
      </c>
      <c r="AY49" s="12">
        <v>67.0</v>
      </c>
      <c r="AZ49" s="12">
        <v>100.0</v>
      </c>
      <c r="BA49" s="12">
        <v>250.0</v>
      </c>
      <c r="BB49" s="12">
        <v>20.0</v>
      </c>
      <c r="BC49" s="12">
        <v>30.0</v>
      </c>
      <c r="BD49" s="12">
        <v>25.0</v>
      </c>
      <c r="BE49" s="12">
        <v>28.0</v>
      </c>
      <c r="BF49" s="12"/>
      <c r="BG49" s="12">
        <v>30.0</v>
      </c>
      <c r="BH49" s="12">
        <f t="shared" si="5"/>
        <v>8291</v>
      </c>
      <c r="BI49" s="1"/>
      <c r="BJ49" s="1"/>
      <c r="BK49" s="1"/>
    </row>
    <row r="50" ht="34.5" customHeight="1">
      <c r="A50" s="12">
        <v>9.0</v>
      </c>
      <c r="B50" s="13" t="s">
        <v>69</v>
      </c>
      <c r="C50" s="14"/>
      <c r="D50" s="12">
        <v>350.0</v>
      </c>
      <c r="E50" s="12">
        <v>1280.0</v>
      </c>
      <c r="F50" s="12">
        <v>600.0</v>
      </c>
      <c r="G50" s="12">
        <v>580.0</v>
      </c>
      <c r="H50" s="12">
        <v>200.0</v>
      </c>
      <c r="I50" s="12">
        <v>460.0</v>
      </c>
      <c r="J50" s="12">
        <v>120.0</v>
      </c>
      <c r="K50" s="12">
        <v>200.0</v>
      </c>
      <c r="L50" s="12">
        <v>200.0</v>
      </c>
      <c r="M50" s="12">
        <v>140.0</v>
      </c>
      <c r="N50" s="12">
        <v>450.0</v>
      </c>
      <c r="O50" s="12">
        <v>100.0</v>
      </c>
      <c r="P50" s="12">
        <v>500.0</v>
      </c>
      <c r="Q50" s="12">
        <v>570.0</v>
      </c>
      <c r="R50" s="12"/>
      <c r="S50" s="12">
        <v>100.0</v>
      </c>
      <c r="T50" s="12">
        <v>70.0</v>
      </c>
      <c r="U50" s="12">
        <v>20.0</v>
      </c>
      <c r="V50" s="12"/>
      <c r="W50" s="12"/>
      <c r="X50" s="12">
        <v>250.0</v>
      </c>
      <c r="Y50" s="12">
        <v>750.0</v>
      </c>
      <c r="Z50" s="12">
        <v>250.0</v>
      </c>
      <c r="AA50" s="12"/>
      <c r="AB50" s="12">
        <v>20.0</v>
      </c>
      <c r="AC50" s="12">
        <v>245.0</v>
      </c>
      <c r="AD50" s="12">
        <v>800.0</v>
      </c>
      <c r="AE50" s="12">
        <v>200.0</v>
      </c>
      <c r="AF50" s="12">
        <v>420.0</v>
      </c>
      <c r="AG50" s="12">
        <v>140.0</v>
      </c>
      <c r="AH50" s="12">
        <v>100.0</v>
      </c>
      <c r="AI50" s="12">
        <v>200.0</v>
      </c>
      <c r="AJ50" s="12">
        <v>300.0</v>
      </c>
      <c r="AK50" s="12">
        <v>45.0</v>
      </c>
      <c r="AL50" s="12">
        <v>100.0</v>
      </c>
      <c r="AM50" s="12">
        <v>20.0</v>
      </c>
      <c r="AN50" s="12">
        <v>50.0</v>
      </c>
      <c r="AO50" s="12"/>
      <c r="AP50" s="12"/>
      <c r="AQ50" s="12"/>
      <c r="AR50" s="12">
        <v>100.0</v>
      </c>
      <c r="AS50" s="12"/>
      <c r="AT50" s="12">
        <v>550.0</v>
      </c>
      <c r="AU50" s="12">
        <v>20.0</v>
      </c>
      <c r="AV50" s="12"/>
      <c r="AW50" s="12"/>
      <c r="AX50" s="12"/>
      <c r="AY50" s="12"/>
      <c r="AZ50" s="12">
        <v>430.0</v>
      </c>
      <c r="BA50" s="12">
        <v>925.0</v>
      </c>
      <c r="BB50" s="12"/>
      <c r="BC50" s="12">
        <v>30.0</v>
      </c>
      <c r="BD50" s="12"/>
      <c r="BE50" s="12"/>
      <c r="BF50" s="12"/>
      <c r="BG50" s="12"/>
      <c r="BH50" s="12">
        <f t="shared" si="5"/>
        <v>11885</v>
      </c>
      <c r="BI50" s="1"/>
      <c r="BJ50" s="1"/>
      <c r="BK50" s="1"/>
    </row>
    <row r="51" ht="34.5" customHeight="1">
      <c r="A51" s="19">
        <v>10.0</v>
      </c>
      <c r="B51" s="20" t="s">
        <v>70</v>
      </c>
      <c r="C51" s="21"/>
      <c r="D51" s="12">
        <v>100.0</v>
      </c>
      <c r="E51" s="12">
        <v>700.0</v>
      </c>
      <c r="F51" s="12">
        <v>400.0</v>
      </c>
      <c r="G51" s="12">
        <v>500.0</v>
      </c>
      <c r="H51" s="12">
        <v>100.0</v>
      </c>
      <c r="I51" s="12">
        <v>100.0</v>
      </c>
      <c r="J51" s="12"/>
      <c r="K51" s="12">
        <v>20.0</v>
      </c>
      <c r="L51" s="12">
        <v>30.0</v>
      </c>
      <c r="M51" s="12">
        <v>100.0</v>
      </c>
      <c r="N51" s="12">
        <v>200.0</v>
      </c>
      <c r="O51" s="12"/>
      <c r="P51" s="12">
        <v>200.0</v>
      </c>
      <c r="Q51" s="12">
        <v>200.0</v>
      </c>
      <c r="R51" s="12"/>
      <c r="S51" s="12"/>
      <c r="T51" s="12">
        <v>55.0</v>
      </c>
      <c r="U51" s="12">
        <v>59.0</v>
      </c>
      <c r="V51" s="12"/>
      <c r="W51" s="12"/>
      <c r="X51" s="12">
        <v>165.0</v>
      </c>
      <c r="Y51" s="12">
        <v>165.0</v>
      </c>
      <c r="Z51" s="12">
        <v>100.0</v>
      </c>
      <c r="AA51" s="12"/>
      <c r="AB51" s="12">
        <v>22.0</v>
      </c>
      <c r="AC51" s="12">
        <v>200.0</v>
      </c>
      <c r="AD51" s="12">
        <v>300.0</v>
      </c>
      <c r="AE51" s="12">
        <v>100.0</v>
      </c>
      <c r="AF51" s="12">
        <v>300.0</v>
      </c>
      <c r="AG51" s="12">
        <v>78.0</v>
      </c>
      <c r="AH51" s="12">
        <v>50.0</v>
      </c>
      <c r="AI51" s="12">
        <v>40.0</v>
      </c>
      <c r="AJ51" s="12">
        <v>200.0</v>
      </c>
      <c r="AK51" s="12">
        <v>37.0</v>
      </c>
      <c r="AL51" s="12"/>
      <c r="AM51" s="12"/>
      <c r="AN51" s="12">
        <v>77.0</v>
      </c>
      <c r="AO51" s="12"/>
      <c r="AP51" s="12"/>
      <c r="AQ51" s="12">
        <v>100.0</v>
      </c>
      <c r="AR51" s="12">
        <v>40.0</v>
      </c>
      <c r="AS51" s="12">
        <v>30.0</v>
      </c>
      <c r="AT51" s="12">
        <v>270.0</v>
      </c>
      <c r="AU51" s="12"/>
      <c r="AV51" s="12"/>
      <c r="AW51" s="12"/>
      <c r="AX51" s="12"/>
      <c r="AY51" s="12"/>
      <c r="AZ51" s="12">
        <v>170.0</v>
      </c>
      <c r="BA51" s="12">
        <v>425.0</v>
      </c>
      <c r="BB51" s="12"/>
      <c r="BC51" s="12">
        <v>20.0</v>
      </c>
      <c r="BD51" s="12"/>
      <c r="BE51" s="12"/>
      <c r="BF51" s="12">
        <v>20.0</v>
      </c>
      <c r="BG51" s="12"/>
      <c r="BH51" s="12">
        <f t="shared" si="5"/>
        <v>5673</v>
      </c>
      <c r="BI51" s="1"/>
      <c r="BJ51" s="1"/>
      <c r="BK51" s="1"/>
    </row>
    <row r="52" ht="34.5" customHeight="1">
      <c r="A52" s="22"/>
      <c r="B52" s="23"/>
      <c r="C52" s="24" t="s">
        <v>80</v>
      </c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>
        <v>176.0</v>
      </c>
      <c r="BA52" s="25">
        <v>26.0</v>
      </c>
      <c r="BB52" s="25"/>
      <c r="BC52" s="25"/>
      <c r="BD52" s="25"/>
      <c r="BE52" s="25"/>
      <c r="BF52" s="25"/>
      <c r="BG52" s="25"/>
      <c r="BH52" s="25">
        <f t="shared" si="5"/>
        <v>202</v>
      </c>
      <c r="BI52" s="26"/>
      <c r="BJ52" s="26"/>
      <c r="BK52" s="26"/>
    </row>
    <row r="53" ht="45.0" customHeight="1">
      <c r="A53" s="12">
        <v>11.0</v>
      </c>
      <c r="B53" s="13" t="s">
        <v>71</v>
      </c>
      <c r="C53" s="14"/>
      <c r="D53" s="12">
        <v>300.0</v>
      </c>
      <c r="E53" s="12">
        <v>1300.0</v>
      </c>
      <c r="F53" s="12">
        <v>700.0</v>
      </c>
      <c r="G53" s="12">
        <v>1290.0</v>
      </c>
      <c r="H53" s="12">
        <v>100.0</v>
      </c>
      <c r="I53" s="12">
        <v>300.0</v>
      </c>
      <c r="J53" s="12">
        <v>50.0</v>
      </c>
      <c r="K53" s="12">
        <v>100.0</v>
      </c>
      <c r="L53" s="12">
        <v>250.0</v>
      </c>
      <c r="M53" s="12">
        <v>150.0</v>
      </c>
      <c r="N53" s="12">
        <v>450.0</v>
      </c>
      <c r="O53" s="12">
        <v>200.0</v>
      </c>
      <c r="P53" s="12">
        <v>600.0</v>
      </c>
      <c r="Q53" s="12">
        <v>650.0</v>
      </c>
      <c r="R53" s="12">
        <v>50.0</v>
      </c>
      <c r="S53" s="12">
        <v>50.0</v>
      </c>
      <c r="T53" s="12">
        <v>200.0</v>
      </c>
      <c r="U53" s="12">
        <v>61.0</v>
      </c>
      <c r="V53" s="12">
        <v>100.0</v>
      </c>
      <c r="W53" s="12">
        <v>50.0</v>
      </c>
      <c r="X53" s="12">
        <v>385.0</v>
      </c>
      <c r="Y53" s="12">
        <v>835.0</v>
      </c>
      <c r="Z53" s="12">
        <v>200.0</v>
      </c>
      <c r="AA53" s="12"/>
      <c r="AB53" s="12">
        <v>50.0</v>
      </c>
      <c r="AC53" s="12">
        <v>250.0</v>
      </c>
      <c r="AD53" s="12">
        <v>1257.0</v>
      </c>
      <c r="AE53" s="12">
        <v>250.0</v>
      </c>
      <c r="AF53" s="12">
        <v>650.0</v>
      </c>
      <c r="AG53" s="12">
        <v>300.0</v>
      </c>
      <c r="AH53" s="12">
        <v>180.0</v>
      </c>
      <c r="AI53" s="12">
        <v>200.0</v>
      </c>
      <c r="AJ53" s="12">
        <v>614.0</v>
      </c>
      <c r="AK53" s="12">
        <v>83.0</v>
      </c>
      <c r="AL53" s="12">
        <v>100.0</v>
      </c>
      <c r="AM53" s="12">
        <v>100.0</v>
      </c>
      <c r="AN53" s="12">
        <v>260.0</v>
      </c>
      <c r="AO53" s="12">
        <v>40.0</v>
      </c>
      <c r="AP53" s="12"/>
      <c r="AQ53" s="12">
        <v>40.0</v>
      </c>
      <c r="AR53" s="12">
        <v>64.0</v>
      </c>
      <c r="AS53" s="12">
        <v>29.0</v>
      </c>
      <c r="AT53" s="12">
        <v>450.0</v>
      </c>
      <c r="AU53" s="12">
        <v>120.0</v>
      </c>
      <c r="AV53" s="12">
        <v>40.0</v>
      </c>
      <c r="AW53" s="12"/>
      <c r="AX53" s="12">
        <v>30.0</v>
      </c>
      <c r="AY53" s="12"/>
      <c r="AZ53" s="12">
        <v>200.0</v>
      </c>
      <c r="BA53" s="12">
        <v>751.0</v>
      </c>
      <c r="BB53" s="12">
        <v>30.0</v>
      </c>
      <c r="BC53" s="12">
        <v>80.0</v>
      </c>
      <c r="BD53" s="12">
        <v>30.0</v>
      </c>
      <c r="BE53" s="12"/>
      <c r="BF53" s="12">
        <v>9.0</v>
      </c>
      <c r="BG53" s="12">
        <v>20.0</v>
      </c>
      <c r="BH53" s="12">
        <f t="shared" si="5"/>
        <v>14598</v>
      </c>
      <c r="BI53" s="1"/>
      <c r="BJ53" s="1"/>
      <c r="BK53" s="1"/>
    </row>
    <row r="54" ht="37.5" customHeight="1">
      <c r="A54" s="12">
        <v>12.0</v>
      </c>
      <c r="B54" s="16" t="s">
        <v>72</v>
      </c>
      <c r="C54" s="14"/>
      <c r="D54" s="12">
        <v>500.0</v>
      </c>
      <c r="E54" s="12">
        <v>1371.0</v>
      </c>
      <c r="F54" s="12">
        <v>1179.0</v>
      </c>
      <c r="G54" s="12">
        <v>1508.0</v>
      </c>
      <c r="H54" s="12">
        <v>100.0</v>
      </c>
      <c r="I54" s="12">
        <v>400.0</v>
      </c>
      <c r="J54" s="12">
        <v>100.0</v>
      </c>
      <c r="K54" s="12">
        <v>100.0</v>
      </c>
      <c r="L54" s="12">
        <v>200.0</v>
      </c>
      <c r="M54" s="12">
        <v>300.0</v>
      </c>
      <c r="N54" s="12">
        <v>800.0</v>
      </c>
      <c r="O54" s="12">
        <v>100.0</v>
      </c>
      <c r="P54" s="12">
        <v>630.0</v>
      </c>
      <c r="Q54" s="12">
        <v>750.0</v>
      </c>
      <c r="R54" s="12">
        <v>50.0</v>
      </c>
      <c r="S54" s="12"/>
      <c r="T54" s="12">
        <v>200.0</v>
      </c>
      <c r="U54" s="12">
        <v>100.0</v>
      </c>
      <c r="V54" s="12">
        <v>50.0</v>
      </c>
      <c r="W54" s="12">
        <v>50.0</v>
      </c>
      <c r="X54" s="12">
        <v>400.0</v>
      </c>
      <c r="Y54" s="12">
        <v>700.0</v>
      </c>
      <c r="Z54" s="12">
        <v>435.0</v>
      </c>
      <c r="AA54" s="12"/>
      <c r="AB54" s="12">
        <v>50.0</v>
      </c>
      <c r="AC54" s="12">
        <v>450.0</v>
      </c>
      <c r="AD54" s="12">
        <v>1200.0</v>
      </c>
      <c r="AE54" s="12">
        <v>300.0</v>
      </c>
      <c r="AF54" s="12">
        <v>783.0</v>
      </c>
      <c r="AG54" s="12">
        <v>250.0</v>
      </c>
      <c r="AH54" s="12">
        <v>200.0</v>
      </c>
      <c r="AI54" s="12">
        <v>200.0</v>
      </c>
      <c r="AJ54" s="12">
        <v>999.0</v>
      </c>
      <c r="AK54" s="12">
        <v>50.0</v>
      </c>
      <c r="AL54" s="12">
        <v>40.0</v>
      </c>
      <c r="AM54" s="12">
        <v>50.0</v>
      </c>
      <c r="AN54" s="12">
        <v>320.0</v>
      </c>
      <c r="AO54" s="12">
        <v>30.0</v>
      </c>
      <c r="AP54" s="12"/>
      <c r="AQ54" s="12">
        <v>19.0</v>
      </c>
      <c r="AR54" s="12">
        <v>166.0</v>
      </c>
      <c r="AS54" s="12">
        <v>49.0</v>
      </c>
      <c r="AT54" s="12">
        <v>277.0</v>
      </c>
      <c r="AU54" s="12">
        <v>50.0</v>
      </c>
      <c r="AV54" s="12">
        <v>50.0</v>
      </c>
      <c r="AW54" s="12">
        <v>60.0</v>
      </c>
      <c r="AX54" s="12">
        <v>20.0</v>
      </c>
      <c r="AY54" s="12">
        <v>30.0</v>
      </c>
      <c r="AZ54" s="12">
        <v>300.0</v>
      </c>
      <c r="BA54" s="12">
        <v>549.0</v>
      </c>
      <c r="BB54" s="12">
        <v>10.0</v>
      </c>
      <c r="BC54" s="12">
        <v>40.0</v>
      </c>
      <c r="BD54" s="12">
        <v>10.0</v>
      </c>
      <c r="BE54" s="12"/>
      <c r="BF54" s="12"/>
      <c r="BG54" s="12">
        <v>10.0</v>
      </c>
      <c r="BH54" s="12">
        <f t="shared" si="5"/>
        <v>16585</v>
      </c>
      <c r="BI54" s="1"/>
      <c r="BJ54" s="1"/>
      <c r="BK54" s="1"/>
    </row>
    <row r="55" ht="49.5" customHeight="1">
      <c r="A55" s="13" t="s">
        <v>73</v>
      </c>
      <c r="B55" s="15"/>
      <c r="C55" s="14"/>
      <c r="D55" s="12">
        <f t="shared" ref="D55:BG55" si="6">SUM(D42:D54)</f>
        <v>2475</v>
      </c>
      <c r="E55" s="12">
        <f t="shared" si="6"/>
        <v>12996</v>
      </c>
      <c r="F55" s="12">
        <f t="shared" si="6"/>
        <v>7336</v>
      </c>
      <c r="G55" s="12">
        <f t="shared" si="6"/>
        <v>8628</v>
      </c>
      <c r="H55" s="12">
        <f t="shared" si="6"/>
        <v>835</v>
      </c>
      <c r="I55" s="12">
        <f t="shared" si="6"/>
        <v>2840</v>
      </c>
      <c r="J55" s="12">
        <f t="shared" si="6"/>
        <v>500</v>
      </c>
      <c r="K55" s="12">
        <f t="shared" si="6"/>
        <v>750</v>
      </c>
      <c r="L55" s="12">
        <f t="shared" si="6"/>
        <v>1510</v>
      </c>
      <c r="M55" s="12">
        <f t="shared" si="6"/>
        <v>1380</v>
      </c>
      <c r="N55" s="12">
        <f t="shared" si="6"/>
        <v>5485</v>
      </c>
      <c r="O55" s="12">
        <f t="shared" si="6"/>
        <v>940</v>
      </c>
      <c r="P55" s="12">
        <f t="shared" si="6"/>
        <v>5025</v>
      </c>
      <c r="Q55" s="12">
        <f t="shared" si="6"/>
        <v>5920</v>
      </c>
      <c r="R55" s="12">
        <f t="shared" si="6"/>
        <v>382</v>
      </c>
      <c r="S55" s="12">
        <f t="shared" si="6"/>
        <v>420</v>
      </c>
      <c r="T55" s="12">
        <f t="shared" si="6"/>
        <v>1375</v>
      </c>
      <c r="U55" s="12">
        <f t="shared" si="6"/>
        <v>720</v>
      </c>
      <c r="V55" s="12">
        <f t="shared" si="6"/>
        <v>695</v>
      </c>
      <c r="W55" s="12">
        <f t="shared" si="6"/>
        <v>467</v>
      </c>
      <c r="X55" s="12">
        <f t="shared" si="6"/>
        <v>2800</v>
      </c>
      <c r="Y55" s="12">
        <f t="shared" si="6"/>
        <v>6241</v>
      </c>
      <c r="Z55" s="12">
        <f t="shared" si="6"/>
        <v>2477</v>
      </c>
      <c r="AA55" s="12">
        <f t="shared" si="6"/>
        <v>0</v>
      </c>
      <c r="AB55" s="12">
        <f t="shared" si="6"/>
        <v>480</v>
      </c>
      <c r="AC55" s="12">
        <f t="shared" si="6"/>
        <v>2643</v>
      </c>
      <c r="AD55" s="12">
        <f t="shared" si="6"/>
        <v>8952</v>
      </c>
      <c r="AE55" s="12">
        <f t="shared" si="6"/>
        <v>2126</v>
      </c>
      <c r="AF55" s="12">
        <f t="shared" si="6"/>
        <v>5455</v>
      </c>
      <c r="AG55" s="12">
        <f t="shared" si="6"/>
        <v>1680</v>
      </c>
      <c r="AH55" s="12">
        <f t="shared" si="6"/>
        <v>1437</v>
      </c>
      <c r="AI55" s="12">
        <f t="shared" si="6"/>
        <v>2045</v>
      </c>
      <c r="AJ55" s="12">
        <f t="shared" si="6"/>
        <v>6983</v>
      </c>
      <c r="AK55" s="12">
        <f t="shared" si="6"/>
        <v>1277</v>
      </c>
      <c r="AL55" s="12">
        <f t="shared" si="6"/>
        <v>600</v>
      </c>
      <c r="AM55" s="12">
        <f t="shared" si="6"/>
        <v>370</v>
      </c>
      <c r="AN55" s="12">
        <f t="shared" si="6"/>
        <v>2570</v>
      </c>
      <c r="AO55" s="12">
        <f t="shared" si="6"/>
        <v>305</v>
      </c>
      <c r="AP55" s="12">
        <f t="shared" si="6"/>
        <v>219</v>
      </c>
      <c r="AQ55" s="12">
        <f t="shared" si="6"/>
        <v>325</v>
      </c>
      <c r="AR55" s="12">
        <f t="shared" si="6"/>
        <v>1014</v>
      </c>
      <c r="AS55" s="12">
        <f t="shared" si="6"/>
        <v>495</v>
      </c>
      <c r="AT55" s="12">
        <f t="shared" si="6"/>
        <v>2837</v>
      </c>
      <c r="AU55" s="12">
        <f t="shared" si="6"/>
        <v>688</v>
      </c>
      <c r="AV55" s="12">
        <f t="shared" si="6"/>
        <v>410</v>
      </c>
      <c r="AW55" s="12">
        <f t="shared" si="6"/>
        <v>61</v>
      </c>
      <c r="AX55" s="12">
        <f t="shared" si="6"/>
        <v>205</v>
      </c>
      <c r="AY55" s="12">
        <f t="shared" si="6"/>
        <v>162</v>
      </c>
      <c r="AZ55" s="12">
        <f t="shared" si="6"/>
        <v>5446</v>
      </c>
      <c r="BA55" s="12">
        <f t="shared" si="6"/>
        <v>5476</v>
      </c>
      <c r="BB55" s="12">
        <f t="shared" si="6"/>
        <v>254</v>
      </c>
      <c r="BC55" s="12">
        <f t="shared" si="6"/>
        <v>490</v>
      </c>
      <c r="BD55" s="12">
        <f t="shared" si="6"/>
        <v>113</v>
      </c>
      <c r="BE55" s="12">
        <f t="shared" si="6"/>
        <v>147</v>
      </c>
      <c r="BF55" s="12">
        <f t="shared" si="6"/>
        <v>84</v>
      </c>
      <c r="BG55" s="12">
        <f t="shared" si="6"/>
        <v>213</v>
      </c>
      <c r="BH55" s="12">
        <f t="shared" si="5"/>
        <v>127759</v>
      </c>
      <c r="BI55" s="1"/>
      <c r="BJ55" s="1"/>
      <c r="BK55" s="1"/>
    </row>
    <row r="56" ht="34.5" customHeight="1">
      <c r="A56" s="1"/>
      <c r="B56" s="18" t="s">
        <v>81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1"/>
      <c r="BJ56" s="1"/>
      <c r="BK56" s="1"/>
    </row>
    <row r="57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ht="25.5" customHeight="1">
      <c r="A58" s="1"/>
      <c r="B58" s="2" t="s">
        <v>82</v>
      </c>
      <c r="BI58" s="3"/>
      <c r="BJ58" s="3"/>
      <c r="BK58" s="3"/>
    </row>
    <row r="59" ht="22.5" customHeight="1">
      <c r="A59" s="1"/>
      <c r="B59" s="3"/>
      <c r="C59" s="3"/>
      <c r="D59" s="3"/>
      <c r="E59" s="3"/>
      <c r="F59" s="3"/>
      <c r="G59" s="3"/>
      <c r="H59" s="3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4" t="s">
        <v>83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3"/>
      <c r="BJ59" s="3"/>
      <c r="BK59" s="3"/>
    </row>
    <row r="60" ht="159.75" customHeight="1">
      <c r="A60" s="6" t="s">
        <v>2</v>
      </c>
      <c r="B60" s="7" t="s">
        <v>3</v>
      </c>
      <c r="C60" s="8"/>
      <c r="D60" s="9" t="s">
        <v>4</v>
      </c>
      <c r="E60" s="9" t="s">
        <v>5</v>
      </c>
      <c r="F60" s="9" t="s">
        <v>6</v>
      </c>
      <c r="G60" s="9" t="s">
        <v>7</v>
      </c>
      <c r="H60" s="9" t="s">
        <v>8</v>
      </c>
      <c r="I60" s="10" t="s">
        <v>9</v>
      </c>
      <c r="J60" s="9" t="s">
        <v>10</v>
      </c>
      <c r="K60" s="9" t="s">
        <v>11</v>
      </c>
      <c r="L60" s="9" t="s">
        <v>12</v>
      </c>
      <c r="M60" s="9" t="s">
        <v>13</v>
      </c>
      <c r="N60" s="9" t="s">
        <v>14</v>
      </c>
      <c r="O60" s="9" t="s">
        <v>15</v>
      </c>
      <c r="P60" s="9" t="s">
        <v>16</v>
      </c>
      <c r="Q60" s="9" t="s">
        <v>17</v>
      </c>
      <c r="R60" s="9" t="s">
        <v>18</v>
      </c>
      <c r="S60" s="9" t="s">
        <v>19</v>
      </c>
      <c r="T60" s="9" t="s">
        <v>20</v>
      </c>
      <c r="U60" s="9" t="s">
        <v>21</v>
      </c>
      <c r="V60" s="9" t="s">
        <v>22</v>
      </c>
      <c r="W60" s="9" t="s">
        <v>23</v>
      </c>
      <c r="X60" s="9" t="s">
        <v>24</v>
      </c>
      <c r="Y60" s="9" t="s">
        <v>25</v>
      </c>
      <c r="Z60" s="9" t="s">
        <v>26</v>
      </c>
      <c r="AA60" s="9" t="s">
        <v>27</v>
      </c>
      <c r="AB60" s="9" t="s">
        <v>28</v>
      </c>
      <c r="AC60" s="9" t="s">
        <v>29</v>
      </c>
      <c r="AD60" s="9" t="s">
        <v>30</v>
      </c>
      <c r="AE60" s="9" t="s">
        <v>31</v>
      </c>
      <c r="AF60" s="9" t="s">
        <v>32</v>
      </c>
      <c r="AG60" s="9" t="s">
        <v>33</v>
      </c>
      <c r="AH60" s="9" t="s">
        <v>34</v>
      </c>
      <c r="AI60" s="9" t="s">
        <v>35</v>
      </c>
      <c r="AJ60" s="9" t="s">
        <v>36</v>
      </c>
      <c r="AK60" s="9" t="s">
        <v>37</v>
      </c>
      <c r="AL60" s="9" t="s">
        <v>38</v>
      </c>
      <c r="AM60" s="9" t="s">
        <v>39</v>
      </c>
      <c r="AN60" s="9" t="s">
        <v>40</v>
      </c>
      <c r="AO60" s="9" t="s">
        <v>41</v>
      </c>
      <c r="AP60" s="9" t="s">
        <v>42</v>
      </c>
      <c r="AQ60" s="9" t="s">
        <v>43</v>
      </c>
      <c r="AR60" s="9" t="s">
        <v>44</v>
      </c>
      <c r="AS60" s="9" t="s">
        <v>45</v>
      </c>
      <c r="AT60" s="9" t="s">
        <v>46</v>
      </c>
      <c r="AU60" s="9" t="s">
        <v>47</v>
      </c>
      <c r="AV60" s="9" t="s">
        <v>48</v>
      </c>
      <c r="AW60" s="9" t="s">
        <v>49</v>
      </c>
      <c r="AX60" s="9" t="s">
        <v>50</v>
      </c>
      <c r="AY60" s="9" t="s">
        <v>51</v>
      </c>
      <c r="AZ60" s="9" t="s">
        <v>52</v>
      </c>
      <c r="BA60" s="9" t="s">
        <v>53</v>
      </c>
      <c r="BB60" s="9" t="s">
        <v>54</v>
      </c>
      <c r="BC60" s="9" t="s">
        <v>55</v>
      </c>
      <c r="BD60" s="9" t="s">
        <v>56</v>
      </c>
      <c r="BE60" s="9" t="s">
        <v>57</v>
      </c>
      <c r="BF60" s="9" t="s">
        <v>58</v>
      </c>
      <c r="BG60" s="9" t="s">
        <v>59</v>
      </c>
      <c r="BH60" s="9" t="s">
        <v>60</v>
      </c>
      <c r="BI60" s="1"/>
      <c r="BJ60" s="1"/>
      <c r="BK60" s="1"/>
    </row>
    <row r="61" ht="39.0" customHeight="1">
      <c r="A61" s="12">
        <v>1.0</v>
      </c>
      <c r="B61" s="13" t="s">
        <v>61</v>
      </c>
      <c r="C61" s="14"/>
      <c r="D61" s="12"/>
      <c r="E61" s="12">
        <v>925.0</v>
      </c>
      <c r="F61" s="12">
        <v>70.0</v>
      </c>
      <c r="G61" s="12">
        <v>475.0</v>
      </c>
      <c r="H61" s="12"/>
      <c r="I61" s="12">
        <v>20.0</v>
      </c>
      <c r="J61" s="12">
        <v>100.0</v>
      </c>
      <c r="K61" s="12"/>
      <c r="L61" s="12"/>
      <c r="M61" s="12"/>
      <c r="N61" s="12">
        <v>300.0</v>
      </c>
      <c r="O61" s="12"/>
      <c r="P61" s="12">
        <v>120.0</v>
      </c>
      <c r="Q61" s="12">
        <v>196.0</v>
      </c>
      <c r="R61" s="12"/>
      <c r="S61" s="12"/>
      <c r="T61" s="12"/>
      <c r="U61" s="12"/>
      <c r="V61" s="12"/>
      <c r="W61" s="12"/>
      <c r="X61" s="12">
        <v>200.0</v>
      </c>
      <c r="Y61" s="12">
        <v>229.0</v>
      </c>
      <c r="Z61" s="12">
        <v>60.0</v>
      </c>
      <c r="AA61" s="12"/>
      <c r="AB61" s="12"/>
      <c r="AC61" s="12">
        <v>70.0</v>
      </c>
      <c r="AD61" s="12">
        <v>291.0</v>
      </c>
      <c r="AE61" s="12">
        <v>20.0</v>
      </c>
      <c r="AF61" s="12">
        <v>197.0</v>
      </c>
      <c r="AG61" s="12">
        <v>35.0</v>
      </c>
      <c r="AH61" s="12"/>
      <c r="AI61" s="12">
        <v>53.0</v>
      </c>
      <c r="AJ61" s="12">
        <v>349.0</v>
      </c>
      <c r="AK61" s="12">
        <v>86.0</v>
      </c>
      <c r="AL61" s="12"/>
      <c r="AM61" s="12"/>
      <c r="AN61" s="12">
        <v>153.0</v>
      </c>
      <c r="AO61" s="12"/>
      <c r="AP61" s="12"/>
      <c r="AQ61" s="12"/>
      <c r="AR61" s="12">
        <v>100.0</v>
      </c>
      <c r="AS61" s="12"/>
      <c r="AT61" s="12"/>
      <c r="AU61" s="12">
        <v>30.0</v>
      </c>
      <c r="AV61" s="12"/>
      <c r="AW61" s="12"/>
      <c r="AX61" s="12"/>
      <c r="AY61" s="12"/>
      <c r="AZ61" s="12">
        <v>150.0</v>
      </c>
      <c r="BA61" s="12"/>
      <c r="BB61" s="12"/>
      <c r="BC61" s="12"/>
      <c r="BD61" s="12"/>
      <c r="BE61" s="12"/>
      <c r="BF61" s="12"/>
      <c r="BG61" s="12"/>
      <c r="BH61" s="12">
        <f t="shared" ref="BH61:BH72" si="7">SUM(D61:BG61)</f>
        <v>4229</v>
      </c>
      <c r="BI61" s="1"/>
      <c r="BJ61" s="1"/>
      <c r="BK61" s="1"/>
    </row>
    <row r="62" ht="39.0" customHeight="1">
      <c r="A62" s="12">
        <v>2.0</v>
      </c>
      <c r="B62" s="13" t="s">
        <v>62</v>
      </c>
      <c r="C62" s="14"/>
      <c r="D62" s="12">
        <v>185.0</v>
      </c>
      <c r="E62" s="12">
        <v>175.0</v>
      </c>
      <c r="F62" s="12">
        <v>240.0</v>
      </c>
      <c r="G62" s="12">
        <v>350.0</v>
      </c>
      <c r="H62" s="12"/>
      <c r="I62" s="12"/>
      <c r="J62" s="12"/>
      <c r="K62" s="12"/>
      <c r="L62" s="12">
        <v>100.0</v>
      </c>
      <c r="M62" s="12"/>
      <c r="N62" s="12"/>
      <c r="O62" s="12"/>
      <c r="P62" s="12">
        <v>375.0</v>
      </c>
      <c r="Q62" s="12">
        <v>265.0</v>
      </c>
      <c r="R62" s="12"/>
      <c r="S62" s="12"/>
      <c r="T62" s="12"/>
      <c r="U62" s="12"/>
      <c r="V62" s="12"/>
      <c r="W62" s="12"/>
      <c r="X62" s="12"/>
      <c r="Y62" s="12">
        <v>245.0</v>
      </c>
      <c r="Z62" s="12">
        <v>11.0</v>
      </c>
      <c r="AA62" s="12"/>
      <c r="AB62" s="12"/>
      <c r="AC62" s="12"/>
      <c r="AD62" s="12">
        <v>385.0</v>
      </c>
      <c r="AE62" s="12">
        <v>170.0</v>
      </c>
      <c r="AF62" s="12">
        <v>263.0</v>
      </c>
      <c r="AG62" s="12">
        <v>55.0</v>
      </c>
      <c r="AH62" s="12">
        <v>54.0</v>
      </c>
      <c r="AI62" s="12">
        <v>139.0</v>
      </c>
      <c r="AJ62" s="12">
        <v>270.0</v>
      </c>
      <c r="AK62" s="12"/>
      <c r="AL62" s="12"/>
      <c r="AM62" s="12"/>
      <c r="AN62" s="12">
        <v>147.0</v>
      </c>
      <c r="AO62" s="12"/>
      <c r="AP62" s="12">
        <v>10.0</v>
      </c>
      <c r="AQ62" s="12"/>
      <c r="AR62" s="12">
        <v>50.0</v>
      </c>
      <c r="AS62" s="12"/>
      <c r="AT62" s="12">
        <v>110.0</v>
      </c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>
        <f t="shared" si="7"/>
        <v>3599</v>
      </c>
      <c r="BI62" s="1"/>
      <c r="BJ62" s="1"/>
      <c r="BK62" s="1"/>
    </row>
    <row r="63" ht="34.5" customHeight="1">
      <c r="A63" s="12">
        <v>3.0</v>
      </c>
      <c r="B63" s="13" t="s">
        <v>63</v>
      </c>
      <c r="C63" s="14"/>
      <c r="D63" s="12">
        <v>65.0</v>
      </c>
      <c r="E63" s="12">
        <v>315.0</v>
      </c>
      <c r="F63" s="12">
        <v>150.0</v>
      </c>
      <c r="G63" s="12">
        <v>130.0</v>
      </c>
      <c r="H63" s="12"/>
      <c r="I63" s="12">
        <v>240.0</v>
      </c>
      <c r="J63" s="12"/>
      <c r="K63" s="12"/>
      <c r="L63" s="12"/>
      <c r="M63" s="12">
        <v>130.0</v>
      </c>
      <c r="N63" s="12">
        <v>50.0</v>
      </c>
      <c r="O63" s="12">
        <v>30.0</v>
      </c>
      <c r="P63" s="12">
        <v>120.0</v>
      </c>
      <c r="Q63" s="12">
        <v>199.0</v>
      </c>
      <c r="R63" s="12"/>
      <c r="S63" s="12"/>
      <c r="T63" s="12">
        <v>50.0</v>
      </c>
      <c r="U63" s="12"/>
      <c r="V63" s="12"/>
      <c r="W63" s="12"/>
      <c r="X63" s="12">
        <v>100.0</v>
      </c>
      <c r="Y63" s="12">
        <v>140.0</v>
      </c>
      <c r="Z63" s="12">
        <v>29.0</v>
      </c>
      <c r="AA63" s="12"/>
      <c r="AB63" s="12"/>
      <c r="AC63" s="12">
        <v>120.0</v>
      </c>
      <c r="AD63" s="12">
        <v>380.0</v>
      </c>
      <c r="AE63" s="12">
        <v>50.0</v>
      </c>
      <c r="AF63" s="12">
        <v>190.0</v>
      </c>
      <c r="AG63" s="12">
        <v>77.0</v>
      </c>
      <c r="AH63" s="12"/>
      <c r="AI63" s="12">
        <v>70.0</v>
      </c>
      <c r="AJ63" s="12">
        <v>140.0</v>
      </c>
      <c r="AK63" s="12">
        <v>100.0</v>
      </c>
      <c r="AL63" s="12"/>
      <c r="AM63" s="12"/>
      <c r="AN63" s="12"/>
      <c r="AO63" s="12"/>
      <c r="AP63" s="12"/>
      <c r="AQ63" s="12"/>
      <c r="AR63" s="12"/>
      <c r="AS63" s="12"/>
      <c r="AT63" s="12">
        <v>100.0</v>
      </c>
      <c r="AU63" s="12">
        <v>46.0</v>
      </c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>
        <f t="shared" si="7"/>
        <v>3021</v>
      </c>
      <c r="BI63" s="1"/>
      <c r="BJ63" s="1"/>
      <c r="BK63" s="1"/>
    </row>
    <row r="64" ht="34.5" customHeight="1">
      <c r="A64" s="12">
        <v>4.0</v>
      </c>
      <c r="B64" s="13" t="s">
        <v>64</v>
      </c>
      <c r="C64" s="14"/>
      <c r="D64" s="12"/>
      <c r="E64" s="12">
        <v>365.0</v>
      </c>
      <c r="F64" s="12">
        <v>318.0</v>
      </c>
      <c r="G64" s="12">
        <v>226.0</v>
      </c>
      <c r="H64" s="12"/>
      <c r="I64" s="12">
        <v>20.0</v>
      </c>
      <c r="J64" s="12"/>
      <c r="K64" s="12"/>
      <c r="L64" s="12"/>
      <c r="M64" s="12"/>
      <c r="N64" s="12">
        <v>50.0</v>
      </c>
      <c r="O64" s="12"/>
      <c r="P64" s="12">
        <v>296.0</v>
      </c>
      <c r="Q64" s="12">
        <v>297.0</v>
      </c>
      <c r="R64" s="12"/>
      <c r="S64" s="12"/>
      <c r="T64" s="12">
        <v>25.0</v>
      </c>
      <c r="U64" s="12"/>
      <c r="V64" s="12"/>
      <c r="W64" s="12"/>
      <c r="X64" s="12">
        <v>15.0</v>
      </c>
      <c r="Y64" s="12">
        <v>15.0</v>
      </c>
      <c r="Z64" s="12"/>
      <c r="AA64" s="12"/>
      <c r="AB64" s="12"/>
      <c r="AC64" s="12">
        <v>55.0</v>
      </c>
      <c r="AD64" s="12">
        <v>350.0</v>
      </c>
      <c r="AE64" s="12">
        <v>9.0</v>
      </c>
      <c r="AF64" s="12">
        <v>172.0</v>
      </c>
      <c r="AG64" s="12">
        <v>20.0</v>
      </c>
      <c r="AH64" s="12">
        <v>66.0</v>
      </c>
      <c r="AI64" s="12">
        <v>69.0</v>
      </c>
      <c r="AJ64" s="12">
        <v>329.0</v>
      </c>
      <c r="AK64" s="12"/>
      <c r="AL64" s="12"/>
      <c r="AM64" s="12"/>
      <c r="AN64" s="12">
        <v>45.0</v>
      </c>
      <c r="AO64" s="12"/>
      <c r="AP64" s="12"/>
      <c r="AQ64" s="12"/>
      <c r="AR64" s="12"/>
      <c r="AS64" s="12"/>
      <c r="AT64" s="12">
        <v>15.0</v>
      </c>
      <c r="AU64" s="12"/>
      <c r="AV64" s="12">
        <v>7.0</v>
      </c>
      <c r="AW64" s="12"/>
      <c r="AX64" s="12"/>
      <c r="AY64" s="12"/>
      <c r="AZ64" s="12">
        <v>50.0</v>
      </c>
      <c r="BA64" s="12">
        <v>50.0</v>
      </c>
      <c r="BB64" s="12"/>
      <c r="BC64" s="12"/>
      <c r="BD64" s="12"/>
      <c r="BE64" s="12"/>
      <c r="BF64" s="12"/>
      <c r="BG64" s="12"/>
      <c r="BH64" s="12">
        <f t="shared" si="7"/>
        <v>2864</v>
      </c>
      <c r="BI64" s="1"/>
      <c r="BJ64" s="1"/>
      <c r="BK64" s="1"/>
    </row>
    <row r="65" ht="34.5" customHeight="1">
      <c r="A65" s="12">
        <v>5.0</v>
      </c>
      <c r="B65" s="13" t="s">
        <v>65</v>
      </c>
      <c r="C65" s="14"/>
      <c r="D65" s="12"/>
      <c r="E65" s="12">
        <v>425.0</v>
      </c>
      <c r="F65" s="12">
        <v>432.0</v>
      </c>
      <c r="G65" s="12">
        <v>329.0</v>
      </c>
      <c r="H65" s="12"/>
      <c r="I65" s="12">
        <v>205.0</v>
      </c>
      <c r="J65" s="12"/>
      <c r="K65" s="12"/>
      <c r="L65" s="12">
        <v>55.0</v>
      </c>
      <c r="M65" s="12"/>
      <c r="N65" s="12">
        <v>200.0</v>
      </c>
      <c r="O65" s="12"/>
      <c r="P65" s="12">
        <v>184.0</v>
      </c>
      <c r="Q65" s="12">
        <v>318.0</v>
      </c>
      <c r="R65" s="12"/>
      <c r="S65" s="12"/>
      <c r="T65" s="12">
        <v>180.0</v>
      </c>
      <c r="U65" s="12">
        <v>70.0</v>
      </c>
      <c r="V65" s="12">
        <v>55.0</v>
      </c>
      <c r="W65" s="12"/>
      <c r="X65" s="12"/>
      <c r="Y65" s="12">
        <v>170.0</v>
      </c>
      <c r="Z65" s="12"/>
      <c r="AA65" s="12"/>
      <c r="AB65" s="12"/>
      <c r="AC65" s="12">
        <v>100.0</v>
      </c>
      <c r="AD65" s="12">
        <v>397.0</v>
      </c>
      <c r="AE65" s="12">
        <v>60.0</v>
      </c>
      <c r="AF65" s="12">
        <v>205.0</v>
      </c>
      <c r="AG65" s="12">
        <v>50.0</v>
      </c>
      <c r="AH65" s="12">
        <v>65.0</v>
      </c>
      <c r="AI65" s="12">
        <v>30.0</v>
      </c>
      <c r="AJ65" s="12">
        <v>415.0</v>
      </c>
      <c r="AK65" s="12">
        <v>58.0</v>
      </c>
      <c r="AL65" s="12"/>
      <c r="AM65" s="12"/>
      <c r="AN65" s="12">
        <v>215.0</v>
      </c>
      <c r="AO65" s="12"/>
      <c r="AP65" s="12"/>
      <c r="AQ65" s="12"/>
      <c r="AR65" s="12">
        <v>30.0</v>
      </c>
      <c r="AS65" s="12"/>
      <c r="AT65" s="12">
        <v>120.0</v>
      </c>
      <c r="AU65" s="12">
        <v>74.0</v>
      </c>
      <c r="AV65" s="12"/>
      <c r="AW65" s="12"/>
      <c r="AX65" s="12"/>
      <c r="AY65" s="12"/>
      <c r="AZ65" s="12"/>
      <c r="BA65" s="12">
        <v>50.0</v>
      </c>
      <c r="BB65" s="12">
        <v>10.0</v>
      </c>
      <c r="BC65" s="12">
        <v>20.0</v>
      </c>
      <c r="BD65" s="12"/>
      <c r="BE65" s="12">
        <v>10.0</v>
      </c>
      <c r="BF65" s="12"/>
      <c r="BG65" s="12"/>
      <c r="BH65" s="12">
        <f t="shared" si="7"/>
        <v>4532</v>
      </c>
      <c r="BI65" s="1"/>
      <c r="BJ65" s="1"/>
      <c r="BK65" s="1"/>
    </row>
    <row r="66" ht="27.0" customHeight="1">
      <c r="A66" s="12">
        <v>6.0</v>
      </c>
      <c r="B66" s="13" t="s">
        <v>66</v>
      </c>
      <c r="C66" s="14"/>
      <c r="D66" s="12">
        <v>20.0</v>
      </c>
      <c r="E66" s="12">
        <v>545.0</v>
      </c>
      <c r="F66" s="12">
        <v>655.0</v>
      </c>
      <c r="G66" s="12">
        <v>525.0</v>
      </c>
      <c r="H66" s="12">
        <v>20.0</v>
      </c>
      <c r="I66" s="12">
        <v>55.0</v>
      </c>
      <c r="J66" s="12"/>
      <c r="K66" s="12">
        <v>165.0</v>
      </c>
      <c r="L66" s="12"/>
      <c r="M66" s="12">
        <v>50.0</v>
      </c>
      <c r="N66" s="12"/>
      <c r="O66" s="12">
        <v>35.0</v>
      </c>
      <c r="P66" s="12">
        <v>280.0</v>
      </c>
      <c r="Q66" s="12">
        <v>575.0</v>
      </c>
      <c r="R66" s="12"/>
      <c r="S66" s="12"/>
      <c r="T66" s="12">
        <v>170.0</v>
      </c>
      <c r="U66" s="12">
        <v>165.0</v>
      </c>
      <c r="V66" s="12">
        <v>45.0</v>
      </c>
      <c r="W66" s="12">
        <v>60.0</v>
      </c>
      <c r="X66" s="12">
        <v>230.0</v>
      </c>
      <c r="Y66" s="12">
        <v>230.0</v>
      </c>
      <c r="Z66" s="12">
        <v>135.0</v>
      </c>
      <c r="AA66" s="12"/>
      <c r="AB66" s="12"/>
      <c r="AC66" s="12">
        <v>175.0</v>
      </c>
      <c r="AD66" s="12">
        <v>345.0</v>
      </c>
      <c r="AE66" s="12">
        <v>90.0</v>
      </c>
      <c r="AF66" s="12">
        <v>363.0</v>
      </c>
      <c r="AG66" s="12">
        <v>230.0</v>
      </c>
      <c r="AH66" s="12">
        <v>195.0</v>
      </c>
      <c r="AI66" s="12">
        <v>15.0</v>
      </c>
      <c r="AJ66" s="12">
        <v>646.0</v>
      </c>
      <c r="AK66" s="12">
        <v>101.0</v>
      </c>
      <c r="AL66" s="12"/>
      <c r="AM66" s="12">
        <v>10.0</v>
      </c>
      <c r="AN66" s="12">
        <v>50.0</v>
      </c>
      <c r="AO66" s="12">
        <v>50.0</v>
      </c>
      <c r="AP66" s="12"/>
      <c r="AQ66" s="12"/>
      <c r="AR66" s="12">
        <v>120.0</v>
      </c>
      <c r="AS66" s="12"/>
      <c r="AT66" s="12">
        <v>220.0</v>
      </c>
      <c r="AU66" s="12">
        <v>10.0</v>
      </c>
      <c r="AV66" s="12"/>
      <c r="AW66" s="12"/>
      <c r="AX66" s="12">
        <v>20.0</v>
      </c>
      <c r="AY66" s="12"/>
      <c r="AZ66" s="12">
        <v>300.0</v>
      </c>
      <c r="BA66" s="12">
        <v>200.0</v>
      </c>
      <c r="BB66" s="12"/>
      <c r="BC66" s="12"/>
      <c r="BD66" s="12"/>
      <c r="BE66" s="12"/>
      <c r="BF66" s="12"/>
      <c r="BG66" s="12"/>
      <c r="BH66" s="12">
        <f t="shared" si="7"/>
        <v>7100</v>
      </c>
      <c r="BI66" s="1"/>
      <c r="BJ66" s="1"/>
      <c r="BK66" s="1"/>
    </row>
    <row r="67" ht="41.25" customHeight="1">
      <c r="A67" s="12">
        <v>7.0</v>
      </c>
      <c r="B67" s="13" t="s">
        <v>67</v>
      </c>
      <c r="C67" s="14"/>
      <c r="D67" s="12">
        <v>110.0</v>
      </c>
      <c r="E67" s="12">
        <v>195.0</v>
      </c>
      <c r="F67" s="12">
        <v>65.0</v>
      </c>
      <c r="G67" s="12">
        <v>20.0</v>
      </c>
      <c r="H67" s="12">
        <v>110.0</v>
      </c>
      <c r="I67" s="12">
        <v>20.0</v>
      </c>
      <c r="J67" s="12"/>
      <c r="K67" s="12"/>
      <c r="L67" s="12">
        <v>50.0</v>
      </c>
      <c r="M67" s="12">
        <v>40.0</v>
      </c>
      <c r="N67" s="12">
        <v>45.0</v>
      </c>
      <c r="O67" s="12">
        <v>5.0</v>
      </c>
      <c r="P67" s="12">
        <v>190.0</v>
      </c>
      <c r="Q67" s="12">
        <v>170.0</v>
      </c>
      <c r="R67" s="12"/>
      <c r="S67" s="12"/>
      <c r="T67" s="12"/>
      <c r="U67" s="12">
        <v>10.0</v>
      </c>
      <c r="V67" s="12">
        <v>50.0</v>
      </c>
      <c r="W67" s="12"/>
      <c r="X67" s="12">
        <v>45.0</v>
      </c>
      <c r="Y67" s="12"/>
      <c r="Z67" s="12">
        <v>20.0</v>
      </c>
      <c r="AA67" s="12"/>
      <c r="AB67" s="12"/>
      <c r="AC67" s="12">
        <v>65.0</v>
      </c>
      <c r="AD67" s="12">
        <v>20.0</v>
      </c>
      <c r="AE67" s="12">
        <v>60.0</v>
      </c>
      <c r="AF67" s="12">
        <v>15.0</v>
      </c>
      <c r="AG67" s="12"/>
      <c r="AH67" s="12"/>
      <c r="AI67" s="12"/>
      <c r="AJ67" s="12">
        <v>30.0</v>
      </c>
      <c r="AK67" s="12">
        <v>85.0</v>
      </c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>
        <v>10.0</v>
      </c>
      <c r="BE67" s="12"/>
      <c r="BF67" s="12"/>
      <c r="BG67" s="12">
        <v>10.0</v>
      </c>
      <c r="BH67" s="12">
        <f t="shared" si="7"/>
        <v>1440</v>
      </c>
      <c r="BI67" s="1"/>
      <c r="BJ67" s="1"/>
      <c r="BK67" s="1"/>
    </row>
    <row r="68" ht="38.25" customHeight="1">
      <c r="A68" s="12">
        <v>8.0</v>
      </c>
      <c r="B68" s="13" t="s">
        <v>68</v>
      </c>
      <c r="C68" s="14"/>
      <c r="D68" s="12">
        <v>170.0</v>
      </c>
      <c r="E68" s="12">
        <v>480.0</v>
      </c>
      <c r="F68" s="12">
        <v>270.0</v>
      </c>
      <c r="G68" s="12">
        <v>200.0</v>
      </c>
      <c r="H68" s="12"/>
      <c r="I68" s="12">
        <v>140.0</v>
      </c>
      <c r="J68" s="12"/>
      <c r="K68" s="12">
        <v>75.0</v>
      </c>
      <c r="L68" s="12">
        <v>195.0</v>
      </c>
      <c r="M68" s="12"/>
      <c r="N68" s="12">
        <v>55.0</v>
      </c>
      <c r="O68" s="12">
        <v>30.0</v>
      </c>
      <c r="P68" s="12">
        <v>130.0</v>
      </c>
      <c r="Q68" s="12">
        <v>300.0</v>
      </c>
      <c r="R68" s="12">
        <v>100.0</v>
      </c>
      <c r="S68" s="12">
        <v>100.0</v>
      </c>
      <c r="T68" s="12">
        <v>25.0</v>
      </c>
      <c r="U68" s="12">
        <v>55.0</v>
      </c>
      <c r="V68" s="12">
        <v>50.0</v>
      </c>
      <c r="W68" s="12"/>
      <c r="X68" s="12">
        <v>110.0</v>
      </c>
      <c r="Y68" s="12"/>
      <c r="Z68" s="12">
        <v>145.0</v>
      </c>
      <c r="AA68" s="12"/>
      <c r="AB68" s="12"/>
      <c r="AC68" s="12">
        <v>35.0</v>
      </c>
      <c r="AD68" s="12">
        <v>50.0</v>
      </c>
      <c r="AE68" s="12">
        <v>150.0</v>
      </c>
      <c r="AF68" s="12">
        <v>85.0</v>
      </c>
      <c r="AG68" s="12">
        <v>33.0</v>
      </c>
      <c r="AH68" s="12"/>
      <c r="AI68" s="12"/>
      <c r="AJ68" s="12">
        <v>50.0</v>
      </c>
      <c r="AK68" s="12">
        <v>100.0</v>
      </c>
      <c r="AL68" s="12"/>
      <c r="AM68" s="12">
        <v>40.0</v>
      </c>
      <c r="AN68" s="12"/>
      <c r="AO68" s="12">
        <v>50.0</v>
      </c>
      <c r="AP68" s="12"/>
      <c r="AQ68" s="12"/>
      <c r="AR68" s="12"/>
      <c r="AS68" s="12"/>
      <c r="AT68" s="12">
        <v>15.0</v>
      </c>
      <c r="AU68" s="12">
        <v>10.0</v>
      </c>
      <c r="AV68" s="12">
        <v>20.0</v>
      </c>
      <c r="AW68" s="12"/>
      <c r="AX68" s="12"/>
      <c r="AY68" s="12"/>
      <c r="AZ68" s="12"/>
      <c r="BA68" s="12"/>
      <c r="BB68" s="12"/>
      <c r="BC68" s="12">
        <v>20.0</v>
      </c>
      <c r="BD68" s="12"/>
      <c r="BE68" s="12"/>
      <c r="BF68" s="12"/>
      <c r="BG68" s="12">
        <v>10.0</v>
      </c>
      <c r="BH68" s="12">
        <f t="shared" si="7"/>
        <v>3298</v>
      </c>
      <c r="BI68" s="1"/>
      <c r="BJ68" s="1"/>
      <c r="BK68" s="1"/>
    </row>
    <row r="69" ht="34.5" customHeight="1">
      <c r="A69" s="12">
        <v>9.0</v>
      </c>
      <c r="B69" s="13" t="s">
        <v>69</v>
      </c>
      <c r="C69" s="14"/>
      <c r="D69" s="12"/>
      <c r="E69" s="12">
        <v>450.0</v>
      </c>
      <c r="F69" s="12">
        <v>200.0</v>
      </c>
      <c r="G69" s="12">
        <v>200.0</v>
      </c>
      <c r="H69" s="12">
        <v>50.0</v>
      </c>
      <c r="I69" s="12">
        <v>100.0</v>
      </c>
      <c r="J69" s="12"/>
      <c r="K69" s="12"/>
      <c r="L69" s="12"/>
      <c r="M69" s="12">
        <v>100.0</v>
      </c>
      <c r="N69" s="12">
        <v>50.0</v>
      </c>
      <c r="O69" s="12">
        <v>50.0</v>
      </c>
      <c r="P69" s="12"/>
      <c r="Q69" s="12"/>
      <c r="R69" s="12"/>
      <c r="S69" s="12"/>
      <c r="T69" s="12">
        <v>10.0</v>
      </c>
      <c r="U69" s="12"/>
      <c r="V69" s="12"/>
      <c r="W69" s="12">
        <v>50.0</v>
      </c>
      <c r="X69" s="12">
        <v>20.0</v>
      </c>
      <c r="Y69" s="12">
        <v>200.0</v>
      </c>
      <c r="Z69" s="12"/>
      <c r="AA69" s="12"/>
      <c r="AB69" s="12">
        <v>20.0</v>
      </c>
      <c r="AC69" s="12">
        <v>145.0</v>
      </c>
      <c r="AD69" s="12">
        <v>200.0</v>
      </c>
      <c r="AE69" s="12">
        <v>100.0</v>
      </c>
      <c r="AF69" s="12">
        <v>100.0</v>
      </c>
      <c r="AG69" s="12"/>
      <c r="AH69" s="12">
        <v>80.0</v>
      </c>
      <c r="AI69" s="12">
        <v>80.0</v>
      </c>
      <c r="AJ69" s="12">
        <v>80.0</v>
      </c>
      <c r="AK69" s="12">
        <v>50.0</v>
      </c>
      <c r="AL69" s="12"/>
      <c r="AM69" s="12">
        <v>20.0</v>
      </c>
      <c r="AN69" s="12">
        <v>120.0</v>
      </c>
      <c r="AO69" s="12"/>
      <c r="AP69" s="12"/>
      <c r="AQ69" s="12"/>
      <c r="AR69" s="12">
        <v>70.0</v>
      </c>
      <c r="AS69" s="12"/>
      <c r="AT69" s="12">
        <v>120.0</v>
      </c>
      <c r="AU69" s="12">
        <v>50.0</v>
      </c>
      <c r="AV69" s="12">
        <v>50.0</v>
      </c>
      <c r="AW69" s="12"/>
      <c r="AX69" s="12"/>
      <c r="AY69" s="12">
        <v>6.0</v>
      </c>
      <c r="AZ69" s="12">
        <v>100.0</v>
      </c>
      <c r="BA69" s="12">
        <v>150.0</v>
      </c>
      <c r="BB69" s="12"/>
      <c r="BC69" s="12">
        <v>10.0</v>
      </c>
      <c r="BD69" s="12"/>
      <c r="BE69" s="12"/>
      <c r="BF69" s="12"/>
      <c r="BG69" s="12"/>
      <c r="BH69" s="12">
        <f t="shared" si="7"/>
        <v>3031</v>
      </c>
      <c r="BI69" s="1"/>
      <c r="BJ69" s="1"/>
      <c r="BK69" s="1"/>
    </row>
    <row r="70" ht="42.75" customHeight="1">
      <c r="A70" s="12">
        <v>10.0</v>
      </c>
      <c r="B70" s="13" t="s">
        <v>70</v>
      </c>
      <c r="C70" s="14"/>
      <c r="D70" s="12"/>
      <c r="E70" s="12">
        <v>245.0</v>
      </c>
      <c r="F70" s="12">
        <v>100.0</v>
      </c>
      <c r="G70" s="12">
        <v>250.0</v>
      </c>
      <c r="H70" s="12"/>
      <c r="I70" s="12">
        <v>50.0</v>
      </c>
      <c r="J70" s="12"/>
      <c r="K70" s="12"/>
      <c r="L70" s="12"/>
      <c r="M70" s="12">
        <v>60.0</v>
      </c>
      <c r="N70" s="12"/>
      <c r="O70" s="12">
        <v>60.0</v>
      </c>
      <c r="P70" s="12">
        <v>60.0</v>
      </c>
      <c r="Q70" s="12">
        <v>200.0</v>
      </c>
      <c r="R70" s="12"/>
      <c r="S70" s="12"/>
      <c r="T70" s="12">
        <v>60.0</v>
      </c>
      <c r="U70" s="12"/>
      <c r="V70" s="12"/>
      <c r="W70" s="12"/>
      <c r="X70" s="12">
        <v>90.0</v>
      </c>
      <c r="Y70" s="12">
        <v>60.0</v>
      </c>
      <c r="Z70" s="12">
        <v>60.0</v>
      </c>
      <c r="AA70" s="12"/>
      <c r="AB70" s="12"/>
      <c r="AC70" s="12">
        <v>55.0</v>
      </c>
      <c r="AD70" s="12">
        <v>260.0</v>
      </c>
      <c r="AE70" s="12"/>
      <c r="AF70" s="12">
        <v>200.0</v>
      </c>
      <c r="AG70" s="12"/>
      <c r="AH70" s="12">
        <v>80.0</v>
      </c>
      <c r="AI70" s="12">
        <v>30.0</v>
      </c>
      <c r="AJ70" s="12">
        <v>42.0</v>
      </c>
      <c r="AK70" s="12"/>
      <c r="AL70" s="12"/>
      <c r="AM70" s="12"/>
      <c r="AN70" s="12">
        <v>50.0</v>
      </c>
      <c r="AO70" s="12"/>
      <c r="AP70" s="12">
        <v>30.0</v>
      </c>
      <c r="AQ70" s="12"/>
      <c r="AR70" s="12">
        <v>60.0</v>
      </c>
      <c r="AS70" s="12"/>
      <c r="AT70" s="12">
        <v>130.0</v>
      </c>
      <c r="AU70" s="12"/>
      <c r="AV70" s="12"/>
      <c r="AW70" s="12"/>
      <c r="AX70" s="12"/>
      <c r="AY70" s="12">
        <v>4.0</v>
      </c>
      <c r="AZ70" s="12"/>
      <c r="BA70" s="12">
        <v>80.0</v>
      </c>
      <c r="BB70" s="12"/>
      <c r="BC70" s="12">
        <v>5.0</v>
      </c>
      <c r="BD70" s="12"/>
      <c r="BE70" s="12"/>
      <c r="BF70" s="12">
        <v>10.0</v>
      </c>
      <c r="BG70" s="12"/>
      <c r="BH70" s="12">
        <f t="shared" si="7"/>
        <v>2331</v>
      </c>
      <c r="BI70" s="1"/>
      <c r="BJ70" s="1"/>
      <c r="BK70" s="1"/>
    </row>
    <row r="71" ht="42.75" customHeight="1">
      <c r="A71" s="12">
        <v>11.0</v>
      </c>
      <c r="B71" s="13" t="s">
        <v>71</v>
      </c>
      <c r="C71" s="14"/>
      <c r="D71" s="12">
        <v>95.0</v>
      </c>
      <c r="E71" s="12">
        <v>324.0</v>
      </c>
      <c r="F71" s="12">
        <v>150.0</v>
      </c>
      <c r="G71" s="12">
        <v>100.0</v>
      </c>
      <c r="H71" s="12"/>
      <c r="I71" s="12"/>
      <c r="J71" s="12"/>
      <c r="K71" s="12"/>
      <c r="L71" s="12">
        <v>20.0</v>
      </c>
      <c r="M71" s="12"/>
      <c r="N71" s="12"/>
      <c r="O71" s="12"/>
      <c r="P71" s="12">
        <v>100.0</v>
      </c>
      <c r="Q71" s="12">
        <v>50.0</v>
      </c>
      <c r="R71" s="12"/>
      <c r="S71" s="12"/>
      <c r="T71" s="12">
        <v>9.0</v>
      </c>
      <c r="U71" s="12"/>
      <c r="V71" s="12"/>
      <c r="W71" s="12"/>
      <c r="X71" s="12"/>
      <c r="Y71" s="12">
        <v>100.0</v>
      </c>
      <c r="Z71" s="12">
        <v>50.0</v>
      </c>
      <c r="AA71" s="12"/>
      <c r="AB71" s="12"/>
      <c r="AC71" s="12">
        <v>13.0</v>
      </c>
      <c r="AD71" s="12">
        <v>100.0</v>
      </c>
      <c r="AE71" s="12"/>
      <c r="AF71" s="12">
        <v>30.0</v>
      </c>
      <c r="AG71" s="12"/>
      <c r="AH71" s="12"/>
      <c r="AI71" s="12"/>
      <c r="AJ71" s="12">
        <v>50.0</v>
      </c>
      <c r="AK71" s="12"/>
      <c r="AL71" s="12"/>
      <c r="AM71" s="12"/>
      <c r="AN71" s="12">
        <v>29.0</v>
      </c>
      <c r="AO71" s="12"/>
      <c r="AP71" s="12"/>
      <c r="AQ71" s="12"/>
      <c r="AR71" s="12"/>
      <c r="AS71" s="12">
        <v>10.0</v>
      </c>
      <c r="AT71" s="12"/>
      <c r="AU71" s="12"/>
      <c r="AV71" s="12">
        <v>10.0</v>
      </c>
      <c r="AW71" s="12"/>
      <c r="AX71" s="12"/>
      <c r="AY71" s="12">
        <v>10.0</v>
      </c>
      <c r="AZ71" s="12">
        <v>150.0</v>
      </c>
      <c r="BA71" s="12">
        <v>150.0</v>
      </c>
      <c r="BB71" s="12"/>
      <c r="BC71" s="12"/>
      <c r="BD71" s="12"/>
      <c r="BE71" s="12"/>
      <c r="BF71" s="12"/>
      <c r="BG71" s="12"/>
      <c r="BH71" s="12">
        <f t="shared" si="7"/>
        <v>1550</v>
      </c>
      <c r="BI71" s="1"/>
      <c r="BJ71" s="1"/>
      <c r="BK71" s="1"/>
    </row>
    <row r="72" ht="39.75" customHeight="1">
      <c r="A72" s="12">
        <v>12.0</v>
      </c>
      <c r="B72" s="16" t="s">
        <v>72</v>
      </c>
      <c r="C72" s="14"/>
      <c r="D72" s="12">
        <v>55.0</v>
      </c>
      <c r="E72" s="12">
        <v>296.0</v>
      </c>
      <c r="F72" s="12">
        <v>50.0</v>
      </c>
      <c r="G72" s="12">
        <v>209.0</v>
      </c>
      <c r="H72" s="12">
        <v>20.0</v>
      </c>
      <c r="I72" s="12">
        <v>100.0</v>
      </c>
      <c r="J72" s="12"/>
      <c r="K72" s="12"/>
      <c r="L72" s="12">
        <v>30.0</v>
      </c>
      <c r="M72" s="12"/>
      <c r="N72" s="12">
        <v>59.0</v>
      </c>
      <c r="O72" s="12"/>
      <c r="P72" s="12">
        <v>100.0</v>
      </c>
      <c r="Q72" s="12">
        <v>50.0</v>
      </c>
      <c r="R72" s="12"/>
      <c r="S72" s="12"/>
      <c r="T72" s="12"/>
      <c r="U72" s="12"/>
      <c r="V72" s="12"/>
      <c r="W72" s="12"/>
      <c r="X72" s="12">
        <v>50.0</v>
      </c>
      <c r="Y72" s="12">
        <v>100.0</v>
      </c>
      <c r="Z72" s="12"/>
      <c r="AA72" s="12"/>
      <c r="AB72" s="12"/>
      <c r="AC72" s="12">
        <v>100.0</v>
      </c>
      <c r="AD72" s="12">
        <v>150.0</v>
      </c>
      <c r="AE72" s="12">
        <v>18.0</v>
      </c>
      <c r="AF72" s="12">
        <v>120.0</v>
      </c>
      <c r="AG72" s="12">
        <v>50.0</v>
      </c>
      <c r="AH72" s="12"/>
      <c r="AI72" s="12"/>
      <c r="AJ72" s="12">
        <v>141.0</v>
      </c>
      <c r="AK72" s="12"/>
      <c r="AL72" s="12"/>
      <c r="AM72" s="12"/>
      <c r="AN72" s="12">
        <v>121.0</v>
      </c>
      <c r="AO72" s="12">
        <v>10.0</v>
      </c>
      <c r="AP72" s="12"/>
      <c r="AQ72" s="12"/>
      <c r="AR72" s="12">
        <v>30.0</v>
      </c>
      <c r="AS72" s="12">
        <v>10.0</v>
      </c>
      <c r="AT72" s="12"/>
      <c r="AU72" s="12">
        <v>20.0</v>
      </c>
      <c r="AV72" s="12"/>
      <c r="AW72" s="12"/>
      <c r="AX72" s="12"/>
      <c r="AY72" s="12">
        <v>30.0</v>
      </c>
      <c r="AZ72" s="12">
        <v>50.0</v>
      </c>
      <c r="BA72" s="12"/>
      <c r="BB72" s="12"/>
      <c r="BC72" s="12"/>
      <c r="BD72" s="12"/>
      <c r="BE72" s="12"/>
      <c r="BF72" s="12"/>
      <c r="BG72" s="12"/>
      <c r="BH72" s="12">
        <f t="shared" si="7"/>
        <v>1969</v>
      </c>
      <c r="BI72" s="1"/>
      <c r="BJ72" s="1"/>
      <c r="BK72" s="1"/>
    </row>
    <row r="73" ht="48.0" customHeight="1">
      <c r="A73" s="13" t="s">
        <v>73</v>
      </c>
      <c r="B73" s="15"/>
      <c r="C73" s="14"/>
      <c r="D73" s="12">
        <f t="shared" ref="D73:BH73" si="8">SUM(D61:D72)</f>
        <v>700</v>
      </c>
      <c r="E73" s="12">
        <f t="shared" si="8"/>
        <v>4740</v>
      </c>
      <c r="F73" s="12">
        <f t="shared" si="8"/>
        <v>2700</v>
      </c>
      <c r="G73" s="12">
        <f t="shared" si="8"/>
        <v>3014</v>
      </c>
      <c r="H73" s="12">
        <f t="shared" si="8"/>
        <v>200</v>
      </c>
      <c r="I73" s="12">
        <f t="shared" si="8"/>
        <v>950</v>
      </c>
      <c r="J73" s="12">
        <f t="shared" si="8"/>
        <v>100</v>
      </c>
      <c r="K73" s="12">
        <f t="shared" si="8"/>
        <v>240</v>
      </c>
      <c r="L73" s="12">
        <f t="shared" si="8"/>
        <v>450</v>
      </c>
      <c r="M73" s="12">
        <f t="shared" si="8"/>
        <v>380</v>
      </c>
      <c r="N73" s="12">
        <f t="shared" si="8"/>
        <v>809</v>
      </c>
      <c r="O73" s="12">
        <f t="shared" si="8"/>
        <v>210</v>
      </c>
      <c r="P73" s="12">
        <f t="shared" si="8"/>
        <v>1955</v>
      </c>
      <c r="Q73" s="12">
        <f t="shared" si="8"/>
        <v>2620</v>
      </c>
      <c r="R73" s="12">
        <f t="shared" si="8"/>
        <v>100</v>
      </c>
      <c r="S73" s="12">
        <f t="shared" si="8"/>
        <v>100</v>
      </c>
      <c r="T73" s="12">
        <f t="shared" si="8"/>
        <v>529</v>
      </c>
      <c r="U73" s="12">
        <f t="shared" si="8"/>
        <v>300</v>
      </c>
      <c r="V73" s="12">
        <f t="shared" si="8"/>
        <v>200</v>
      </c>
      <c r="W73" s="12">
        <f t="shared" si="8"/>
        <v>110</v>
      </c>
      <c r="X73" s="12">
        <f t="shared" si="8"/>
        <v>860</v>
      </c>
      <c r="Y73" s="12">
        <f t="shared" si="8"/>
        <v>1489</v>
      </c>
      <c r="Z73" s="12">
        <f t="shared" si="8"/>
        <v>510</v>
      </c>
      <c r="AA73" s="12">
        <f t="shared" si="8"/>
        <v>0</v>
      </c>
      <c r="AB73" s="12">
        <f t="shared" si="8"/>
        <v>20</v>
      </c>
      <c r="AC73" s="12">
        <f t="shared" si="8"/>
        <v>933</v>
      </c>
      <c r="AD73" s="12">
        <f t="shared" si="8"/>
        <v>2928</v>
      </c>
      <c r="AE73" s="12">
        <f t="shared" si="8"/>
        <v>727</v>
      </c>
      <c r="AF73" s="12">
        <f t="shared" si="8"/>
        <v>1940</v>
      </c>
      <c r="AG73" s="12">
        <f t="shared" si="8"/>
        <v>550</v>
      </c>
      <c r="AH73" s="12">
        <f t="shared" si="8"/>
        <v>540</v>
      </c>
      <c r="AI73" s="12">
        <f t="shared" si="8"/>
        <v>486</v>
      </c>
      <c r="AJ73" s="12">
        <f t="shared" si="8"/>
        <v>2542</v>
      </c>
      <c r="AK73" s="12">
        <f t="shared" si="8"/>
        <v>580</v>
      </c>
      <c r="AL73" s="12">
        <f t="shared" si="8"/>
        <v>0</v>
      </c>
      <c r="AM73" s="12">
        <f t="shared" si="8"/>
        <v>70</v>
      </c>
      <c r="AN73" s="12">
        <f t="shared" si="8"/>
        <v>930</v>
      </c>
      <c r="AO73" s="12">
        <f t="shared" si="8"/>
        <v>110</v>
      </c>
      <c r="AP73" s="12">
        <f t="shared" si="8"/>
        <v>40</v>
      </c>
      <c r="AQ73" s="12">
        <f t="shared" si="8"/>
        <v>0</v>
      </c>
      <c r="AR73" s="12">
        <f t="shared" si="8"/>
        <v>460</v>
      </c>
      <c r="AS73" s="12">
        <f t="shared" si="8"/>
        <v>20</v>
      </c>
      <c r="AT73" s="12">
        <f t="shared" si="8"/>
        <v>830</v>
      </c>
      <c r="AU73" s="12">
        <f t="shared" si="8"/>
        <v>240</v>
      </c>
      <c r="AV73" s="12">
        <f t="shared" si="8"/>
        <v>87</v>
      </c>
      <c r="AW73" s="12">
        <f t="shared" si="8"/>
        <v>0</v>
      </c>
      <c r="AX73" s="12">
        <f t="shared" si="8"/>
        <v>20</v>
      </c>
      <c r="AY73" s="12">
        <f t="shared" si="8"/>
        <v>50</v>
      </c>
      <c r="AZ73" s="12">
        <f t="shared" si="8"/>
        <v>800</v>
      </c>
      <c r="BA73" s="12">
        <f t="shared" si="8"/>
        <v>680</v>
      </c>
      <c r="BB73" s="12">
        <f t="shared" si="8"/>
        <v>10</v>
      </c>
      <c r="BC73" s="12">
        <f t="shared" si="8"/>
        <v>55</v>
      </c>
      <c r="BD73" s="12">
        <f t="shared" si="8"/>
        <v>10</v>
      </c>
      <c r="BE73" s="12">
        <f t="shared" si="8"/>
        <v>10</v>
      </c>
      <c r="BF73" s="12">
        <f t="shared" si="8"/>
        <v>10</v>
      </c>
      <c r="BG73" s="12">
        <f t="shared" si="8"/>
        <v>20</v>
      </c>
      <c r="BH73" s="12">
        <f t="shared" si="8"/>
        <v>38964</v>
      </c>
      <c r="BI73" s="1"/>
      <c r="BJ73" s="1"/>
      <c r="BK73" s="1"/>
    </row>
  </sheetData>
  <mergeCells count="68"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A51:A52"/>
    <mergeCell ref="B51:B52"/>
    <mergeCell ref="B53:C53"/>
    <mergeCell ref="B54:C54"/>
    <mergeCell ref="B67:C67"/>
    <mergeCell ref="B68:C68"/>
    <mergeCell ref="B69:C69"/>
    <mergeCell ref="B70:C70"/>
    <mergeCell ref="B71:C71"/>
    <mergeCell ref="B72:C72"/>
    <mergeCell ref="A73:C73"/>
    <mergeCell ref="B60:C60"/>
    <mergeCell ref="B61:C61"/>
    <mergeCell ref="B62:C62"/>
    <mergeCell ref="B63:C63"/>
    <mergeCell ref="B64:C64"/>
    <mergeCell ref="B65:C65"/>
    <mergeCell ref="B66:C66"/>
    <mergeCell ref="B2:BH2"/>
    <mergeCell ref="AP3:BH3"/>
    <mergeCell ref="B4:C4"/>
    <mergeCell ref="B5:C5"/>
    <mergeCell ref="B6:C6"/>
    <mergeCell ref="B7:C7"/>
    <mergeCell ref="B8:C8"/>
    <mergeCell ref="B16:C16"/>
    <mergeCell ref="A17:C17"/>
    <mergeCell ref="B18:BH18"/>
    <mergeCell ref="B20:BH20"/>
    <mergeCell ref="AP21:BH21"/>
    <mergeCell ref="B9:C9"/>
    <mergeCell ref="B10:C10"/>
    <mergeCell ref="B11:C11"/>
    <mergeCell ref="B12:C12"/>
    <mergeCell ref="B13:C13"/>
    <mergeCell ref="B14:C14"/>
    <mergeCell ref="B15:C15"/>
    <mergeCell ref="B22:C22"/>
    <mergeCell ref="B23:C23"/>
    <mergeCell ref="B24:C24"/>
    <mergeCell ref="B25:C25"/>
    <mergeCell ref="B26:C26"/>
    <mergeCell ref="B27:C27"/>
    <mergeCell ref="B28:C28"/>
    <mergeCell ref="B37:BH37"/>
    <mergeCell ref="B39:BH39"/>
    <mergeCell ref="AP40:BH40"/>
    <mergeCell ref="B29:C29"/>
    <mergeCell ref="B30:C30"/>
    <mergeCell ref="B31:C31"/>
    <mergeCell ref="B32:C32"/>
    <mergeCell ref="B33:C33"/>
    <mergeCell ref="B34:C34"/>
    <mergeCell ref="A35:C35"/>
    <mergeCell ref="A55:C55"/>
    <mergeCell ref="B56:BH56"/>
    <mergeCell ref="B58:BH58"/>
    <mergeCell ref="AP59:BH59"/>
  </mergeCells>
  <printOptions/>
  <pageMargins bottom="0.0" footer="0.0" header="0.0" left="0.0" right="0.0" top="0.7"/>
  <pageSetup paperSize="9" scale="6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0"/>
    <col customWidth="1" min="3" max="3" width="8.57"/>
    <col customWidth="1" min="4" max="59" width="5.71"/>
    <col customWidth="1" min="60" max="60" width="8.29"/>
    <col customWidth="1" min="61" max="62" width="6.0"/>
    <col customWidth="1" min="63" max="63" width="4.71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ht="30.0" customHeight="1">
      <c r="A2" s="28" t="s">
        <v>84</v>
      </c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"/>
      <c r="BJ2" s="3"/>
      <c r="BK2" s="3"/>
    </row>
    <row r="3" ht="27.75" customHeight="1">
      <c r="A3" s="1"/>
      <c r="B3" s="3"/>
      <c r="C3" s="3"/>
      <c r="D3" s="3"/>
      <c r="E3" s="3"/>
      <c r="F3" s="3"/>
      <c r="G3" s="3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4" t="s">
        <v>1</v>
      </c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3"/>
      <c r="BJ3" s="3"/>
      <c r="BK3" s="3"/>
    </row>
    <row r="4" ht="168.0" customHeight="1">
      <c r="A4" s="6" t="s">
        <v>2</v>
      </c>
      <c r="B4" s="7" t="s">
        <v>3</v>
      </c>
      <c r="C4" s="8"/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9" t="s">
        <v>15</v>
      </c>
      <c r="P4" s="9" t="s">
        <v>16</v>
      </c>
      <c r="Q4" s="9" t="s">
        <v>17</v>
      </c>
      <c r="R4" s="9" t="s">
        <v>18</v>
      </c>
      <c r="S4" s="9" t="s">
        <v>19</v>
      </c>
      <c r="T4" s="9" t="s">
        <v>20</v>
      </c>
      <c r="U4" s="9" t="s">
        <v>21</v>
      </c>
      <c r="V4" s="9" t="s">
        <v>22</v>
      </c>
      <c r="W4" s="9" t="s">
        <v>23</v>
      </c>
      <c r="X4" s="9" t="s">
        <v>24</v>
      </c>
      <c r="Y4" s="9" t="s">
        <v>25</v>
      </c>
      <c r="Z4" s="9" t="s">
        <v>26</v>
      </c>
      <c r="AA4" s="9" t="s">
        <v>27</v>
      </c>
      <c r="AB4" s="9" t="s">
        <v>28</v>
      </c>
      <c r="AC4" s="9" t="s">
        <v>29</v>
      </c>
      <c r="AD4" s="9" t="s">
        <v>30</v>
      </c>
      <c r="AE4" s="9" t="s">
        <v>31</v>
      </c>
      <c r="AF4" s="9" t="s">
        <v>32</v>
      </c>
      <c r="AG4" s="9" t="s">
        <v>33</v>
      </c>
      <c r="AH4" s="11" t="s">
        <v>34</v>
      </c>
      <c r="AI4" s="9" t="s">
        <v>35</v>
      </c>
      <c r="AJ4" s="9" t="s">
        <v>36</v>
      </c>
      <c r="AK4" s="9" t="s">
        <v>37</v>
      </c>
      <c r="AL4" s="9" t="s">
        <v>38</v>
      </c>
      <c r="AM4" s="9" t="s">
        <v>39</v>
      </c>
      <c r="AN4" s="9" t="s">
        <v>40</v>
      </c>
      <c r="AO4" s="9" t="s">
        <v>41</v>
      </c>
      <c r="AP4" s="9" t="s">
        <v>42</v>
      </c>
      <c r="AQ4" s="9" t="s">
        <v>43</v>
      </c>
      <c r="AR4" s="9" t="s">
        <v>44</v>
      </c>
      <c r="AS4" s="9" t="s">
        <v>45</v>
      </c>
      <c r="AT4" s="9" t="s">
        <v>46</v>
      </c>
      <c r="AU4" s="9" t="s">
        <v>47</v>
      </c>
      <c r="AV4" s="9" t="s">
        <v>48</v>
      </c>
      <c r="AW4" s="9" t="s">
        <v>49</v>
      </c>
      <c r="AX4" s="9" t="s">
        <v>50</v>
      </c>
      <c r="AY4" s="9" t="s">
        <v>51</v>
      </c>
      <c r="AZ4" s="9" t="s">
        <v>52</v>
      </c>
      <c r="BA4" s="9" t="s">
        <v>53</v>
      </c>
      <c r="BB4" s="9" t="s">
        <v>54</v>
      </c>
      <c r="BC4" s="9" t="s">
        <v>55</v>
      </c>
      <c r="BD4" s="9" t="s">
        <v>56</v>
      </c>
      <c r="BE4" s="9" t="s">
        <v>57</v>
      </c>
      <c r="BF4" s="9" t="s">
        <v>58</v>
      </c>
      <c r="BG4" s="9" t="s">
        <v>59</v>
      </c>
      <c r="BH4" s="9" t="s">
        <v>60</v>
      </c>
      <c r="BI4" s="1"/>
      <c r="BJ4" s="1"/>
      <c r="BK4" s="1"/>
    </row>
    <row r="5" ht="50.25" customHeight="1">
      <c r="A5" s="13">
        <v>1.0</v>
      </c>
      <c r="B5" s="30" t="s">
        <v>85</v>
      </c>
      <c r="C5" s="14"/>
      <c r="D5" s="12">
        <v>630.0</v>
      </c>
      <c r="E5" s="12">
        <v>4827.0</v>
      </c>
      <c r="F5" s="12">
        <v>2089.0</v>
      </c>
      <c r="G5" s="12">
        <v>2390.0</v>
      </c>
      <c r="H5" s="12">
        <v>329.0</v>
      </c>
      <c r="I5" s="12">
        <v>1009.0</v>
      </c>
      <c r="J5" s="12">
        <v>146.0</v>
      </c>
      <c r="K5" s="12">
        <v>329.0</v>
      </c>
      <c r="L5" s="12">
        <v>480.0</v>
      </c>
      <c r="M5" s="12">
        <v>465.0</v>
      </c>
      <c r="N5" s="12">
        <v>2162.0</v>
      </c>
      <c r="O5" s="12">
        <v>301.0</v>
      </c>
      <c r="P5" s="12">
        <v>2178.0</v>
      </c>
      <c r="Q5" s="12">
        <v>2565.0</v>
      </c>
      <c r="R5" s="12">
        <v>90.0</v>
      </c>
      <c r="S5" s="12">
        <v>80.0</v>
      </c>
      <c r="T5" s="12">
        <v>310.0</v>
      </c>
      <c r="U5" s="12">
        <v>250.0</v>
      </c>
      <c r="V5" s="12">
        <v>220.0</v>
      </c>
      <c r="W5" s="12">
        <v>75.0</v>
      </c>
      <c r="X5" s="12">
        <v>1082.0</v>
      </c>
      <c r="Y5" s="12">
        <v>2523.0</v>
      </c>
      <c r="Z5" s="12">
        <v>805.0</v>
      </c>
      <c r="AA5" s="12">
        <v>0.0</v>
      </c>
      <c r="AB5" s="12">
        <v>0.0</v>
      </c>
      <c r="AC5" s="12">
        <v>1366.0</v>
      </c>
      <c r="AD5" s="12">
        <v>3946.0</v>
      </c>
      <c r="AE5" s="12">
        <v>942.0</v>
      </c>
      <c r="AF5" s="12">
        <v>2083.0</v>
      </c>
      <c r="AG5" s="12">
        <v>370.0</v>
      </c>
      <c r="AH5" s="12">
        <v>633.0</v>
      </c>
      <c r="AI5" s="12">
        <v>553.0</v>
      </c>
      <c r="AJ5" s="12">
        <v>2887.0</v>
      </c>
      <c r="AK5" s="12">
        <v>261.0</v>
      </c>
      <c r="AL5" s="12">
        <v>125.0</v>
      </c>
      <c r="AM5" s="12">
        <v>170.0</v>
      </c>
      <c r="AN5" s="12">
        <v>934.0</v>
      </c>
      <c r="AO5" s="12">
        <v>100.0</v>
      </c>
      <c r="AP5" s="12">
        <v>120.0</v>
      </c>
      <c r="AQ5" s="12">
        <v>60.0</v>
      </c>
      <c r="AR5" s="12">
        <v>550.0</v>
      </c>
      <c r="AS5" s="12">
        <v>91.0</v>
      </c>
      <c r="AT5" s="12">
        <v>370.0</v>
      </c>
      <c r="AU5" s="12">
        <v>224.0</v>
      </c>
      <c r="AV5" s="12">
        <v>200.0</v>
      </c>
      <c r="AW5" s="12">
        <v>57.0</v>
      </c>
      <c r="AX5" s="12">
        <v>52.0</v>
      </c>
      <c r="AY5" s="12">
        <v>0.0</v>
      </c>
      <c r="AZ5" s="12">
        <v>760.0</v>
      </c>
      <c r="BA5" s="12">
        <v>1150.0</v>
      </c>
      <c r="BB5" s="12">
        <v>0.0</v>
      </c>
      <c r="BC5" s="12">
        <v>60.0</v>
      </c>
      <c r="BD5" s="12">
        <v>0.0</v>
      </c>
      <c r="BE5" s="12">
        <v>18.0</v>
      </c>
      <c r="BF5" s="12">
        <v>8.0</v>
      </c>
      <c r="BG5" s="12">
        <v>12.0</v>
      </c>
      <c r="BH5" s="12">
        <f t="shared" ref="BH5:BH11" si="1">SUM(D5:BG5)</f>
        <v>43437</v>
      </c>
      <c r="BI5" s="1"/>
      <c r="BJ5" s="1"/>
      <c r="BK5" s="1"/>
    </row>
    <row r="6" ht="59.25" customHeight="1">
      <c r="A6" s="13">
        <v>2.0</v>
      </c>
      <c r="B6" s="30" t="s">
        <v>86</v>
      </c>
      <c r="C6" s="14"/>
      <c r="D6" s="12">
        <v>468.0</v>
      </c>
      <c r="E6" s="12">
        <v>4912.0</v>
      </c>
      <c r="F6" s="12">
        <v>3673.0</v>
      </c>
      <c r="G6" s="12">
        <v>1728.0</v>
      </c>
      <c r="H6" s="12">
        <v>285.0</v>
      </c>
      <c r="I6" s="12">
        <v>1363.0</v>
      </c>
      <c r="J6" s="12">
        <v>150.0</v>
      </c>
      <c r="K6" s="12">
        <v>160.0</v>
      </c>
      <c r="L6" s="12">
        <v>416.0</v>
      </c>
      <c r="M6" s="12">
        <v>406.0</v>
      </c>
      <c r="N6" s="12">
        <v>1419.0</v>
      </c>
      <c r="O6" s="12">
        <v>193.0</v>
      </c>
      <c r="P6" s="12">
        <v>2231.0</v>
      </c>
      <c r="Q6" s="12">
        <v>3200.0</v>
      </c>
      <c r="R6" s="12">
        <v>46.0</v>
      </c>
      <c r="S6" s="12">
        <v>54.0</v>
      </c>
      <c r="T6" s="12">
        <v>328.0</v>
      </c>
      <c r="U6" s="12">
        <v>221.0</v>
      </c>
      <c r="V6" s="12">
        <v>186.0</v>
      </c>
      <c r="W6" s="12">
        <v>100.0</v>
      </c>
      <c r="X6" s="12">
        <v>1136.0</v>
      </c>
      <c r="Y6" s="12">
        <v>2025.0</v>
      </c>
      <c r="Z6" s="12">
        <v>913.0</v>
      </c>
      <c r="AA6" s="12">
        <v>0.0</v>
      </c>
      <c r="AB6" s="12">
        <v>35.0</v>
      </c>
      <c r="AC6" s="12">
        <v>749.0</v>
      </c>
      <c r="AD6" s="12">
        <v>3542.0</v>
      </c>
      <c r="AE6" s="12">
        <v>858.0</v>
      </c>
      <c r="AF6" s="12">
        <v>1914.0</v>
      </c>
      <c r="AG6" s="12">
        <v>496.0</v>
      </c>
      <c r="AH6" s="12">
        <v>523.0</v>
      </c>
      <c r="AI6" s="12">
        <v>802.0</v>
      </c>
      <c r="AJ6" s="12">
        <v>3870.0</v>
      </c>
      <c r="AK6" s="12">
        <v>422.0</v>
      </c>
      <c r="AL6" s="12">
        <v>64.0</v>
      </c>
      <c r="AM6" s="12">
        <v>100.0</v>
      </c>
      <c r="AN6" s="12">
        <v>2109.0</v>
      </c>
      <c r="AO6" s="12">
        <v>134.0</v>
      </c>
      <c r="AP6" s="12">
        <v>58.0</v>
      </c>
      <c r="AQ6" s="12">
        <v>36.0</v>
      </c>
      <c r="AR6" s="12">
        <v>588.0</v>
      </c>
      <c r="AS6" s="12">
        <v>132.0</v>
      </c>
      <c r="AT6" s="12">
        <v>905.0</v>
      </c>
      <c r="AU6" s="12">
        <v>385.0</v>
      </c>
      <c r="AV6" s="12">
        <v>191.0</v>
      </c>
      <c r="AW6" s="12">
        <v>12.0</v>
      </c>
      <c r="AX6" s="12">
        <v>103.0</v>
      </c>
      <c r="AY6" s="12">
        <v>38.0</v>
      </c>
      <c r="AZ6" s="12">
        <v>450.0</v>
      </c>
      <c r="BA6" s="12">
        <v>760.0</v>
      </c>
      <c r="BB6" s="12">
        <v>40.0</v>
      </c>
      <c r="BC6" s="12">
        <v>113.0</v>
      </c>
      <c r="BD6" s="12">
        <v>56.0</v>
      </c>
      <c r="BE6" s="12">
        <v>69.0</v>
      </c>
      <c r="BF6" s="12">
        <v>35.0</v>
      </c>
      <c r="BG6" s="12">
        <v>60.0</v>
      </c>
      <c r="BH6" s="12">
        <f t="shared" si="1"/>
        <v>45262</v>
      </c>
      <c r="BI6" s="1"/>
      <c r="BJ6" s="1"/>
      <c r="BK6" s="1"/>
    </row>
    <row r="7" ht="49.5" customHeight="1">
      <c r="A7" s="20">
        <v>3.0</v>
      </c>
      <c r="B7" s="20" t="s">
        <v>87</v>
      </c>
      <c r="C7" s="31"/>
      <c r="D7" s="12">
        <v>2475.0</v>
      </c>
      <c r="E7" s="12">
        <v>12996.0</v>
      </c>
      <c r="F7" s="12">
        <v>7336.0</v>
      </c>
      <c r="G7" s="12">
        <v>8628.0</v>
      </c>
      <c r="H7" s="12">
        <v>835.0</v>
      </c>
      <c r="I7" s="12">
        <v>2840.0</v>
      </c>
      <c r="J7" s="12">
        <v>500.0</v>
      </c>
      <c r="K7" s="12">
        <v>750.0</v>
      </c>
      <c r="L7" s="12">
        <v>1510.0</v>
      </c>
      <c r="M7" s="12">
        <v>1380.0</v>
      </c>
      <c r="N7" s="12">
        <v>5485.0</v>
      </c>
      <c r="O7" s="12">
        <v>940.0</v>
      </c>
      <c r="P7" s="12">
        <v>5025.0</v>
      </c>
      <c r="Q7" s="12">
        <v>5920.0</v>
      </c>
      <c r="R7" s="12">
        <v>382.0</v>
      </c>
      <c r="S7" s="12">
        <v>420.0</v>
      </c>
      <c r="T7" s="12">
        <v>1375.0</v>
      </c>
      <c r="U7" s="12">
        <v>720.0</v>
      </c>
      <c r="V7" s="12">
        <v>695.0</v>
      </c>
      <c r="W7" s="12">
        <v>467.0</v>
      </c>
      <c r="X7" s="12">
        <v>2800.0</v>
      </c>
      <c r="Y7" s="12">
        <v>6241.0</v>
      </c>
      <c r="Z7" s="12">
        <v>2477.0</v>
      </c>
      <c r="AA7" s="12">
        <v>0.0</v>
      </c>
      <c r="AB7" s="12">
        <v>480.0</v>
      </c>
      <c r="AC7" s="12">
        <v>2643.0</v>
      </c>
      <c r="AD7" s="12">
        <v>8952.0</v>
      </c>
      <c r="AE7" s="12">
        <v>2126.0</v>
      </c>
      <c r="AF7" s="12">
        <v>5455.0</v>
      </c>
      <c r="AG7" s="12">
        <v>1680.0</v>
      </c>
      <c r="AH7" s="12">
        <v>1437.0</v>
      </c>
      <c r="AI7" s="12">
        <v>2045.0</v>
      </c>
      <c r="AJ7" s="12">
        <v>6983.0</v>
      </c>
      <c r="AK7" s="12">
        <v>1277.0</v>
      </c>
      <c r="AL7" s="12">
        <v>600.0</v>
      </c>
      <c r="AM7" s="12">
        <v>370.0</v>
      </c>
      <c r="AN7" s="12">
        <v>2570.0</v>
      </c>
      <c r="AO7" s="12">
        <v>305.0</v>
      </c>
      <c r="AP7" s="12">
        <v>219.0</v>
      </c>
      <c r="AQ7" s="12">
        <v>325.0</v>
      </c>
      <c r="AR7" s="12">
        <v>1014.0</v>
      </c>
      <c r="AS7" s="12">
        <v>495.0</v>
      </c>
      <c r="AT7" s="12">
        <v>2837.0</v>
      </c>
      <c r="AU7" s="12">
        <v>688.0</v>
      </c>
      <c r="AV7" s="12">
        <v>410.0</v>
      </c>
      <c r="AW7" s="12">
        <v>61.0</v>
      </c>
      <c r="AX7" s="12">
        <v>205.0</v>
      </c>
      <c r="AY7" s="12">
        <v>162.0</v>
      </c>
      <c r="AZ7" s="12">
        <v>5270.0</v>
      </c>
      <c r="BA7" s="12">
        <v>5450.0</v>
      </c>
      <c r="BB7" s="12">
        <v>254.0</v>
      </c>
      <c r="BC7" s="12">
        <v>490.0</v>
      </c>
      <c r="BD7" s="12">
        <v>113.0</v>
      </c>
      <c r="BE7" s="12">
        <v>147.0</v>
      </c>
      <c r="BF7" s="12">
        <v>84.0</v>
      </c>
      <c r="BG7" s="12">
        <v>213.0</v>
      </c>
      <c r="BH7" s="12">
        <f t="shared" si="1"/>
        <v>127557</v>
      </c>
      <c r="BI7" s="1"/>
      <c r="BJ7" s="1"/>
      <c r="BK7" s="1"/>
    </row>
    <row r="8" ht="49.5" customHeight="1">
      <c r="A8" s="23"/>
      <c r="B8" s="23"/>
      <c r="C8" s="24" t="s">
        <v>80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>
        <v>176.0</v>
      </c>
      <c r="BA8" s="25">
        <v>26.0</v>
      </c>
      <c r="BB8" s="25"/>
      <c r="BC8" s="25"/>
      <c r="BD8" s="25"/>
      <c r="BE8" s="25"/>
      <c r="BF8" s="25"/>
      <c r="BG8" s="25"/>
      <c r="BH8" s="12">
        <f t="shared" si="1"/>
        <v>202</v>
      </c>
      <c r="BI8" s="1"/>
      <c r="BJ8" s="1"/>
      <c r="BK8" s="1"/>
    </row>
    <row r="9" ht="31.5" customHeight="1">
      <c r="A9" s="21">
        <v>4.0</v>
      </c>
      <c r="B9" s="32" t="s">
        <v>88</v>
      </c>
      <c r="C9" s="14"/>
      <c r="D9" s="12">
        <v>700.0</v>
      </c>
      <c r="E9" s="12">
        <v>4740.0</v>
      </c>
      <c r="F9" s="12">
        <v>2700.0</v>
      </c>
      <c r="G9" s="12">
        <v>3014.0</v>
      </c>
      <c r="H9" s="12">
        <v>200.0</v>
      </c>
      <c r="I9" s="12">
        <v>950.0</v>
      </c>
      <c r="J9" s="12">
        <v>100.0</v>
      </c>
      <c r="K9" s="12">
        <v>240.0</v>
      </c>
      <c r="L9" s="12">
        <v>450.0</v>
      </c>
      <c r="M9" s="12">
        <v>380.0</v>
      </c>
      <c r="N9" s="12">
        <v>809.0</v>
      </c>
      <c r="O9" s="12">
        <v>210.0</v>
      </c>
      <c r="P9" s="12">
        <v>1955.0</v>
      </c>
      <c r="Q9" s="12">
        <v>2620.0</v>
      </c>
      <c r="R9" s="12">
        <v>100.0</v>
      </c>
      <c r="S9" s="12">
        <v>100.0</v>
      </c>
      <c r="T9" s="12">
        <v>529.0</v>
      </c>
      <c r="U9" s="12">
        <v>300.0</v>
      </c>
      <c r="V9" s="12">
        <v>200.0</v>
      </c>
      <c r="W9" s="12">
        <v>110.0</v>
      </c>
      <c r="X9" s="12">
        <v>860.0</v>
      </c>
      <c r="Y9" s="12">
        <v>1489.0</v>
      </c>
      <c r="Z9" s="12">
        <v>510.0</v>
      </c>
      <c r="AA9" s="12">
        <v>0.0</v>
      </c>
      <c r="AB9" s="12">
        <v>20.0</v>
      </c>
      <c r="AC9" s="12">
        <v>933.0</v>
      </c>
      <c r="AD9" s="12">
        <v>2928.0</v>
      </c>
      <c r="AE9" s="12">
        <v>727.0</v>
      </c>
      <c r="AF9" s="12">
        <v>1940.0</v>
      </c>
      <c r="AG9" s="12">
        <v>550.0</v>
      </c>
      <c r="AH9" s="12">
        <v>540.0</v>
      </c>
      <c r="AI9" s="12">
        <v>486.0</v>
      </c>
      <c r="AJ9" s="12">
        <v>2542.0</v>
      </c>
      <c r="AK9" s="12">
        <v>580.0</v>
      </c>
      <c r="AL9" s="12">
        <v>0.0</v>
      </c>
      <c r="AM9" s="12">
        <v>70.0</v>
      </c>
      <c r="AN9" s="12">
        <v>930.0</v>
      </c>
      <c r="AO9" s="12">
        <v>110.0</v>
      </c>
      <c r="AP9" s="12">
        <v>40.0</v>
      </c>
      <c r="AQ9" s="12">
        <v>0.0</v>
      </c>
      <c r="AR9" s="12">
        <v>460.0</v>
      </c>
      <c r="AS9" s="12">
        <v>20.0</v>
      </c>
      <c r="AT9" s="12">
        <v>830.0</v>
      </c>
      <c r="AU9" s="12">
        <v>240.0</v>
      </c>
      <c r="AV9" s="12">
        <v>87.0</v>
      </c>
      <c r="AW9" s="12">
        <v>0.0</v>
      </c>
      <c r="AX9" s="12">
        <v>20.0</v>
      </c>
      <c r="AY9" s="12">
        <v>50.0</v>
      </c>
      <c r="AZ9" s="12">
        <v>800.0</v>
      </c>
      <c r="BA9" s="12">
        <v>680.0</v>
      </c>
      <c r="BB9" s="12">
        <v>10.0</v>
      </c>
      <c r="BC9" s="12">
        <v>55.0</v>
      </c>
      <c r="BD9" s="12">
        <v>10.0</v>
      </c>
      <c r="BE9" s="12">
        <v>10.0</v>
      </c>
      <c r="BF9" s="12">
        <v>10.0</v>
      </c>
      <c r="BG9" s="12">
        <v>20.0</v>
      </c>
      <c r="BH9" s="12">
        <f t="shared" si="1"/>
        <v>38964</v>
      </c>
      <c r="BI9" s="1"/>
      <c r="BJ9" s="1"/>
      <c r="BK9" s="1"/>
    </row>
    <row r="10" ht="31.5" customHeight="1">
      <c r="A10" s="33" t="s">
        <v>89</v>
      </c>
      <c r="B10" s="27"/>
      <c r="C10" s="21"/>
      <c r="D10" s="12">
        <f t="shared" ref="D10:BG10" si="2">D5+D6+D7+D9</f>
        <v>4273</v>
      </c>
      <c r="E10" s="12">
        <f t="shared" si="2"/>
        <v>27475</v>
      </c>
      <c r="F10" s="12">
        <f t="shared" si="2"/>
        <v>15798</v>
      </c>
      <c r="G10" s="12">
        <f t="shared" si="2"/>
        <v>15760</v>
      </c>
      <c r="H10" s="12">
        <f t="shared" si="2"/>
        <v>1649</v>
      </c>
      <c r="I10" s="12">
        <f t="shared" si="2"/>
        <v>6162</v>
      </c>
      <c r="J10" s="12">
        <f t="shared" si="2"/>
        <v>896</v>
      </c>
      <c r="K10" s="12">
        <f t="shared" si="2"/>
        <v>1479</v>
      </c>
      <c r="L10" s="12">
        <f t="shared" si="2"/>
        <v>2856</v>
      </c>
      <c r="M10" s="12">
        <f t="shared" si="2"/>
        <v>2631</v>
      </c>
      <c r="N10" s="12">
        <f t="shared" si="2"/>
        <v>9875</v>
      </c>
      <c r="O10" s="12">
        <f t="shared" si="2"/>
        <v>1644</v>
      </c>
      <c r="P10" s="12">
        <f t="shared" si="2"/>
        <v>11389</v>
      </c>
      <c r="Q10" s="12">
        <f t="shared" si="2"/>
        <v>14305</v>
      </c>
      <c r="R10" s="12">
        <f t="shared" si="2"/>
        <v>618</v>
      </c>
      <c r="S10" s="12">
        <f t="shared" si="2"/>
        <v>654</v>
      </c>
      <c r="T10" s="12">
        <f t="shared" si="2"/>
        <v>2542</v>
      </c>
      <c r="U10" s="12">
        <f t="shared" si="2"/>
        <v>1491</v>
      </c>
      <c r="V10" s="12">
        <f t="shared" si="2"/>
        <v>1301</v>
      </c>
      <c r="W10" s="12">
        <f t="shared" si="2"/>
        <v>752</v>
      </c>
      <c r="X10" s="12">
        <f t="shared" si="2"/>
        <v>5878</v>
      </c>
      <c r="Y10" s="12">
        <f t="shared" si="2"/>
        <v>12278</v>
      </c>
      <c r="Z10" s="12">
        <f t="shared" si="2"/>
        <v>4705</v>
      </c>
      <c r="AA10" s="12">
        <f t="shared" si="2"/>
        <v>0</v>
      </c>
      <c r="AB10" s="12">
        <f t="shared" si="2"/>
        <v>535</v>
      </c>
      <c r="AC10" s="12">
        <f t="shared" si="2"/>
        <v>5691</v>
      </c>
      <c r="AD10" s="12">
        <f t="shared" si="2"/>
        <v>19368</v>
      </c>
      <c r="AE10" s="12">
        <f t="shared" si="2"/>
        <v>4653</v>
      </c>
      <c r="AF10" s="12">
        <f t="shared" si="2"/>
        <v>11392</v>
      </c>
      <c r="AG10" s="12">
        <f t="shared" si="2"/>
        <v>3096</v>
      </c>
      <c r="AH10" s="12">
        <f t="shared" si="2"/>
        <v>3133</v>
      </c>
      <c r="AI10" s="12">
        <f t="shared" si="2"/>
        <v>3886</v>
      </c>
      <c r="AJ10" s="12">
        <f t="shared" si="2"/>
        <v>16282</v>
      </c>
      <c r="AK10" s="12">
        <f t="shared" si="2"/>
        <v>2540</v>
      </c>
      <c r="AL10" s="12">
        <f t="shared" si="2"/>
        <v>789</v>
      </c>
      <c r="AM10" s="12">
        <f t="shared" si="2"/>
        <v>710</v>
      </c>
      <c r="AN10" s="12">
        <f t="shared" si="2"/>
        <v>6543</v>
      </c>
      <c r="AO10" s="12">
        <f t="shared" si="2"/>
        <v>649</v>
      </c>
      <c r="AP10" s="12">
        <f t="shared" si="2"/>
        <v>437</v>
      </c>
      <c r="AQ10" s="12">
        <f t="shared" si="2"/>
        <v>421</v>
      </c>
      <c r="AR10" s="12">
        <f t="shared" si="2"/>
        <v>2612</v>
      </c>
      <c r="AS10" s="12">
        <f t="shared" si="2"/>
        <v>738</v>
      </c>
      <c r="AT10" s="12">
        <f t="shared" si="2"/>
        <v>4942</v>
      </c>
      <c r="AU10" s="12">
        <f t="shared" si="2"/>
        <v>1537</v>
      </c>
      <c r="AV10" s="12">
        <f t="shared" si="2"/>
        <v>888</v>
      </c>
      <c r="AW10" s="12">
        <f t="shared" si="2"/>
        <v>130</v>
      </c>
      <c r="AX10" s="12">
        <f t="shared" si="2"/>
        <v>380</v>
      </c>
      <c r="AY10" s="12">
        <f t="shared" si="2"/>
        <v>250</v>
      </c>
      <c r="AZ10" s="12">
        <f t="shared" si="2"/>
        <v>7280</v>
      </c>
      <c r="BA10" s="12">
        <f t="shared" si="2"/>
        <v>8040</v>
      </c>
      <c r="BB10" s="12">
        <f t="shared" si="2"/>
        <v>304</v>
      </c>
      <c r="BC10" s="12">
        <f t="shared" si="2"/>
        <v>718</v>
      </c>
      <c r="BD10" s="12">
        <f t="shared" si="2"/>
        <v>179</v>
      </c>
      <c r="BE10" s="12">
        <f t="shared" si="2"/>
        <v>244</v>
      </c>
      <c r="BF10" s="12">
        <f t="shared" si="2"/>
        <v>137</v>
      </c>
      <c r="BG10" s="12">
        <f t="shared" si="2"/>
        <v>305</v>
      </c>
      <c r="BH10" s="12">
        <f t="shared" si="1"/>
        <v>255220</v>
      </c>
      <c r="BI10" s="1"/>
      <c r="BJ10" s="1"/>
      <c r="BK10" s="1"/>
    </row>
    <row r="11" ht="31.5" customHeight="1">
      <c r="A11" s="34"/>
      <c r="B11" s="5"/>
      <c r="C11" s="24" t="s">
        <v>80</v>
      </c>
      <c r="D11" s="25" t="str">
        <f t="shared" ref="D11:BG11" si="3">D8</f>
        <v/>
      </c>
      <c r="E11" s="25" t="str">
        <f t="shared" si="3"/>
        <v/>
      </c>
      <c r="F11" s="25" t="str">
        <f t="shared" si="3"/>
        <v/>
      </c>
      <c r="G11" s="25" t="str">
        <f t="shared" si="3"/>
        <v/>
      </c>
      <c r="H11" s="25" t="str">
        <f t="shared" si="3"/>
        <v/>
      </c>
      <c r="I11" s="25" t="str">
        <f t="shared" si="3"/>
        <v/>
      </c>
      <c r="J11" s="25" t="str">
        <f t="shared" si="3"/>
        <v/>
      </c>
      <c r="K11" s="25" t="str">
        <f t="shared" si="3"/>
        <v/>
      </c>
      <c r="L11" s="25" t="str">
        <f t="shared" si="3"/>
        <v/>
      </c>
      <c r="M11" s="25" t="str">
        <f t="shared" si="3"/>
        <v/>
      </c>
      <c r="N11" s="25" t="str">
        <f t="shared" si="3"/>
        <v/>
      </c>
      <c r="O11" s="25" t="str">
        <f t="shared" si="3"/>
        <v/>
      </c>
      <c r="P11" s="25" t="str">
        <f t="shared" si="3"/>
        <v/>
      </c>
      <c r="Q11" s="25" t="str">
        <f t="shared" si="3"/>
        <v/>
      </c>
      <c r="R11" s="25" t="str">
        <f t="shared" si="3"/>
        <v/>
      </c>
      <c r="S11" s="25" t="str">
        <f t="shared" si="3"/>
        <v/>
      </c>
      <c r="T11" s="25" t="str">
        <f t="shared" si="3"/>
        <v/>
      </c>
      <c r="U11" s="25" t="str">
        <f t="shared" si="3"/>
        <v/>
      </c>
      <c r="V11" s="25" t="str">
        <f t="shared" si="3"/>
        <v/>
      </c>
      <c r="W11" s="25" t="str">
        <f t="shared" si="3"/>
        <v/>
      </c>
      <c r="X11" s="25" t="str">
        <f t="shared" si="3"/>
        <v/>
      </c>
      <c r="Y11" s="25" t="str">
        <f t="shared" si="3"/>
        <v/>
      </c>
      <c r="Z11" s="25" t="str">
        <f t="shared" si="3"/>
        <v/>
      </c>
      <c r="AA11" s="25" t="str">
        <f t="shared" si="3"/>
        <v/>
      </c>
      <c r="AB11" s="25" t="str">
        <f t="shared" si="3"/>
        <v/>
      </c>
      <c r="AC11" s="25" t="str">
        <f t="shared" si="3"/>
        <v/>
      </c>
      <c r="AD11" s="25" t="str">
        <f t="shared" si="3"/>
        <v/>
      </c>
      <c r="AE11" s="25" t="str">
        <f t="shared" si="3"/>
        <v/>
      </c>
      <c r="AF11" s="25" t="str">
        <f t="shared" si="3"/>
        <v/>
      </c>
      <c r="AG11" s="25" t="str">
        <f t="shared" si="3"/>
        <v/>
      </c>
      <c r="AH11" s="25" t="str">
        <f t="shared" si="3"/>
        <v/>
      </c>
      <c r="AI11" s="25" t="str">
        <f t="shared" si="3"/>
        <v/>
      </c>
      <c r="AJ11" s="25" t="str">
        <f t="shared" si="3"/>
        <v/>
      </c>
      <c r="AK11" s="25" t="str">
        <f t="shared" si="3"/>
        <v/>
      </c>
      <c r="AL11" s="25" t="str">
        <f t="shared" si="3"/>
        <v/>
      </c>
      <c r="AM11" s="25" t="str">
        <f t="shared" si="3"/>
        <v/>
      </c>
      <c r="AN11" s="25" t="str">
        <f t="shared" si="3"/>
        <v/>
      </c>
      <c r="AO11" s="25" t="str">
        <f t="shared" si="3"/>
        <v/>
      </c>
      <c r="AP11" s="25" t="str">
        <f t="shared" si="3"/>
        <v/>
      </c>
      <c r="AQ11" s="25" t="str">
        <f t="shared" si="3"/>
        <v/>
      </c>
      <c r="AR11" s="25" t="str">
        <f t="shared" si="3"/>
        <v/>
      </c>
      <c r="AS11" s="25" t="str">
        <f t="shared" si="3"/>
        <v/>
      </c>
      <c r="AT11" s="25" t="str">
        <f t="shared" si="3"/>
        <v/>
      </c>
      <c r="AU11" s="25" t="str">
        <f t="shared" si="3"/>
        <v/>
      </c>
      <c r="AV11" s="25" t="str">
        <f t="shared" si="3"/>
        <v/>
      </c>
      <c r="AW11" s="25" t="str">
        <f t="shared" si="3"/>
        <v/>
      </c>
      <c r="AX11" s="25" t="str">
        <f t="shared" si="3"/>
        <v/>
      </c>
      <c r="AY11" s="25" t="str">
        <f t="shared" si="3"/>
        <v/>
      </c>
      <c r="AZ11" s="25">
        <f t="shared" si="3"/>
        <v>176</v>
      </c>
      <c r="BA11" s="25">
        <f t="shared" si="3"/>
        <v>26</v>
      </c>
      <c r="BB11" s="25" t="str">
        <f t="shared" si="3"/>
        <v/>
      </c>
      <c r="BC11" s="25" t="str">
        <f t="shared" si="3"/>
        <v/>
      </c>
      <c r="BD11" s="25" t="str">
        <f t="shared" si="3"/>
        <v/>
      </c>
      <c r="BE11" s="25" t="str">
        <f t="shared" si="3"/>
        <v/>
      </c>
      <c r="BF11" s="25" t="str">
        <f t="shared" si="3"/>
        <v/>
      </c>
      <c r="BG11" s="25" t="str">
        <f t="shared" si="3"/>
        <v/>
      </c>
      <c r="BH11" s="12">
        <f t="shared" si="1"/>
        <v>202</v>
      </c>
      <c r="BI11" s="1"/>
      <c r="BJ11" s="1"/>
      <c r="BK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</sheetData>
  <mergeCells count="9">
    <mergeCell ref="B9:C9"/>
    <mergeCell ref="A10:B11"/>
    <mergeCell ref="A2:AG2"/>
    <mergeCell ref="AP3:BH3"/>
    <mergeCell ref="B4:C4"/>
    <mergeCell ref="B5:C5"/>
    <mergeCell ref="B6:C6"/>
    <mergeCell ref="A7:A8"/>
    <mergeCell ref="B7:B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7.14"/>
    <col customWidth="1" min="3" max="32" width="5.86"/>
    <col customWidth="1" min="33" max="33" width="7.43"/>
    <col customWidth="1" min="34" max="37" width="9.14"/>
    <col customWidth="1" min="38" max="38" width="11.29"/>
    <col customWidth="1" min="39" max="53" width="9.14"/>
  </cols>
  <sheetData>
    <row r="1" ht="17.2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</row>
    <row r="2" ht="24.0" customHeight="1">
      <c r="A2" s="35"/>
      <c r="B2" s="28" t="s">
        <v>90</v>
      </c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  <row r="3" ht="14.25" customHeight="1">
      <c r="A3" s="35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6"/>
      <c r="AC3" s="37" t="s">
        <v>91</v>
      </c>
      <c r="AD3" s="5"/>
      <c r="AE3" s="5"/>
      <c r="AF3" s="5"/>
      <c r="AG3" s="5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</row>
    <row r="4" ht="132.0" customHeight="1">
      <c r="A4" s="38" t="s">
        <v>2</v>
      </c>
      <c r="B4" s="39" t="s">
        <v>3</v>
      </c>
      <c r="C4" s="14"/>
      <c r="D4" s="38" t="s">
        <v>92</v>
      </c>
      <c r="E4" s="40" t="s">
        <v>93</v>
      </c>
      <c r="F4" s="40" t="s">
        <v>94</v>
      </c>
      <c r="G4" s="38" t="s">
        <v>95</v>
      </c>
      <c r="H4" s="38" t="s">
        <v>96</v>
      </c>
      <c r="I4" s="40" t="s">
        <v>97</v>
      </c>
      <c r="J4" s="40" t="s">
        <v>98</v>
      </c>
      <c r="K4" s="41" t="s">
        <v>99</v>
      </c>
      <c r="L4" s="41" t="s">
        <v>100</v>
      </c>
      <c r="M4" s="41" t="s">
        <v>101</v>
      </c>
      <c r="N4" s="38" t="s">
        <v>102</v>
      </c>
      <c r="O4" s="38" t="s">
        <v>103</v>
      </c>
      <c r="P4" s="41" t="s">
        <v>104</v>
      </c>
      <c r="Q4" s="38" t="s">
        <v>105</v>
      </c>
      <c r="R4" s="38" t="s">
        <v>106</v>
      </c>
      <c r="S4" s="42" t="s">
        <v>107</v>
      </c>
      <c r="T4" s="40" t="s">
        <v>108</v>
      </c>
      <c r="U4" s="38" t="s">
        <v>109</v>
      </c>
      <c r="V4" s="43" t="s">
        <v>110</v>
      </c>
      <c r="W4" s="41" t="s">
        <v>111</v>
      </c>
      <c r="X4" s="38" t="s">
        <v>112</v>
      </c>
      <c r="Y4" s="44" t="s">
        <v>113</v>
      </c>
      <c r="Z4" s="44" t="s">
        <v>114</v>
      </c>
      <c r="AA4" s="44" t="s">
        <v>115</v>
      </c>
      <c r="AB4" s="44" t="s">
        <v>116</v>
      </c>
      <c r="AC4" s="44" t="s">
        <v>117</v>
      </c>
      <c r="AD4" s="44" t="s">
        <v>118</v>
      </c>
      <c r="AE4" s="44" t="s">
        <v>119</v>
      </c>
      <c r="AF4" s="44" t="s">
        <v>120</v>
      </c>
      <c r="AG4" s="45" t="s">
        <v>73</v>
      </c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ht="26.25" customHeight="1">
      <c r="A5" s="45">
        <v>1.0</v>
      </c>
      <c r="B5" s="46" t="s">
        <v>61</v>
      </c>
      <c r="C5" s="14"/>
      <c r="D5" s="45">
        <v>615.0</v>
      </c>
      <c r="E5" s="45">
        <v>472.0</v>
      </c>
      <c r="F5" s="45">
        <v>396.0</v>
      </c>
      <c r="G5" s="45">
        <v>100.0</v>
      </c>
      <c r="H5" s="45">
        <v>157.0</v>
      </c>
      <c r="I5" s="45">
        <v>180.0</v>
      </c>
      <c r="J5" s="45"/>
      <c r="K5" s="45">
        <v>500.0</v>
      </c>
      <c r="L5" s="45"/>
      <c r="M5" s="45">
        <v>187.0</v>
      </c>
      <c r="N5" s="45">
        <v>128.0</v>
      </c>
      <c r="O5" s="45"/>
      <c r="P5" s="45"/>
      <c r="Q5" s="45">
        <v>254.0</v>
      </c>
      <c r="R5" s="45"/>
      <c r="S5" s="45">
        <v>45.0</v>
      </c>
      <c r="T5" s="45">
        <v>277.0</v>
      </c>
      <c r="U5" s="45">
        <v>100.0</v>
      </c>
      <c r="V5" s="45"/>
      <c r="W5" s="45">
        <v>140.0</v>
      </c>
      <c r="X5" s="45"/>
      <c r="Y5" s="45"/>
      <c r="Z5" s="45">
        <v>55.0</v>
      </c>
      <c r="AA5" s="47"/>
      <c r="AB5" s="45"/>
      <c r="AC5" s="45"/>
      <c r="AD5" s="45"/>
      <c r="AE5" s="45"/>
      <c r="AF5" s="45"/>
      <c r="AG5" s="45">
        <f t="shared" ref="AG5:AG16" si="1">SUM(D5:AF5)</f>
        <v>3606</v>
      </c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</row>
    <row r="6" ht="26.25" customHeight="1">
      <c r="A6" s="45">
        <v>2.0</v>
      </c>
      <c r="B6" s="46" t="s">
        <v>62</v>
      </c>
      <c r="C6" s="14"/>
      <c r="D6" s="45">
        <v>50.0</v>
      </c>
      <c r="E6" s="45">
        <v>50.0</v>
      </c>
      <c r="F6" s="45">
        <v>50.0</v>
      </c>
      <c r="G6" s="45"/>
      <c r="H6" s="45"/>
      <c r="I6" s="45"/>
      <c r="J6" s="45"/>
      <c r="K6" s="45">
        <v>50.0</v>
      </c>
      <c r="L6" s="45"/>
      <c r="M6" s="45">
        <v>13.0</v>
      </c>
      <c r="N6" s="45">
        <v>55.0</v>
      </c>
      <c r="O6" s="45"/>
      <c r="P6" s="45"/>
      <c r="Q6" s="45"/>
      <c r="R6" s="45"/>
      <c r="S6" s="45"/>
      <c r="T6" s="45">
        <v>23.0</v>
      </c>
      <c r="U6" s="45"/>
      <c r="V6" s="45">
        <v>100.0</v>
      </c>
      <c r="W6" s="45"/>
      <c r="X6" s="45"/>
      <c r="Y6" s="45"/>
      <c r="Z6" s="45">
        <v>56.0</v>
      </c>
      <c r="AA6" s="47"/>
      <c r="AB6" s="45"/>
      <c r="AC6" s="45"/>
      <c r="AD6" s="45"/>
      <c r="AE6" s="45"/>
      <c r="AF6" s="45"/>
      <c r="AG6" s="45">
        <f t="shared" si="1"/>
        <v>447</v>
      </c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</row>
    <row r="7" ht="26.25" customHeight="1">
      <c r="A7" s="45">
        <v>3.0</v>
      </c>
      <c r="B7" s="46" t="s">
        <v>63</v>
      </c>
      <c r="C7" s="14"/>
      <c r="D7" s="45">
        <v>350.0</v>
      </c>
      <c r="E7" s="45">
        <v>350.0</v>
      </c>
      <c r="F7" s="45">
        <v>350.0</v>
      </c>
      <c r="G7" s="45"/>
      <c r="H7" s="45">
        <v>150.0</v>
      </c>
      <c r="I7" s="45">
        <v>200.0</v>
      </c>
      <c r="J7" s="45">
        <v>35.0</v>
      </c>
      <c r="K7" s="45">
        <v>50.0</v>
      </c>
      <c r="L7" s="45"/>
      <c r="M7" s="45">
        <v>100.0</v>
      </c>
      <c r="N7" s="45">
        <v>120.0</v>
      </c>
      <c r="O7" s="45"/>
      <c r="P7" s="45"/>
      <c r="Q7" s="45">
        <v>100.0</v>
      </c>
      <c r="R7" s="45"/>
      <c r="S7" s="45"/>
      <c r="T7" s="45">
        <v>160.0</v>
      </c>
      <c r="U7" s="45"/>
      <c r="V7" s="45"/>
      <c r="W7" s="45"/>
      <c r="X7" s="45">
        <v>100.0</v>
      </c>
      <c r="Y7" s="45"/>
      <c r="Z7" s="45"/>
      <c r="AA7" s="47"/>
      <c r="AB7" s="45"/>
      <c r="AC7" s="45"/>
      <c r="AD7" s="45"/>
      <c r="AE7" s="45"/>
      <c r="AF7" s="45"/>
      <c r="AG7" s="45">
        <f t="shared" si="1"/>
        <v>2065</v>
      </c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</row>
    <row r="8" ht="26.25" customHeight="1">
      <c r="A8" s="45">
        <v>4.0</v>
      </c>
      <c r="B8" s="46" t="s">
        <v>64</v>
      </c>
      <c r="C8" s="14"/>
      <c r="D8" s="45">
        <v>350.0</v>
      </c>
      <c r="E8" s="45">
        <v>300.0</v>
      </c>
      <c r="F8" s="45">
        <v>115.0</v>
      </c>
      <c r="G8" s="45">
        <v>30.0</v>
      </c>
      <c r="H8" s="45">
        <v>50.0</v>
      </c>
      <c r="I8" s="45">
        <v>120.0</v>
      </c>
      <c r="J8" s="45"/>
      <c r="K8" s="45">
        <v>130.0</v>
      </c>
      <c r="L8" s="45"/>
      <c r="M8" s="45"/>
      <c r="N8" s="45">
        <v>40.0</v>
      </c>
      <c r="O8" s="45"/>
      <c r="P8" s="45"/>
      <c r="Q8" s="45">
        <v>200.0</v>
      </c>
      <c r="R8" s="45"/>
      <c r="S8" s="45">
        <v>20.0</v>
      </c>
      <c r="T8" s="45">
        <v>140.0</v>
      </c>
      <c r="U8" s="45"/>
      <c r="V8" s="45"/>
      <c r="W8" s="45"/>
      <c r="X8" s="45"/>
      <c r="Y8" s="45"/>
      <c r="Z8" s="45"/>
      <c r="AA8" s="47"/>
      <c r="AB8" s="45"/>
      <c r="AC8" s="45"/>
      <c r="AD8" s="45"/>
      <c r="AE8" s="45"/>
      <c r="AF8" s="45"/>
      <c r="AG8" s="45">
        <f t="shared" si="1"/>
        <v>1495</v>
      </c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</row>
    <row r="9" ht="26.25" customHeight="1">
      <c r="A9" s="45">
        <v>5.0</v>
      </c>
      <c r="B9" s="48" t="s">
        <v>65</v>
      </c>
      <c r="C9" s="14"/>
      <c r="D9" s="49">
        <v>270.0</v>
      </c>
      <c r="E9" s="49">
        <v>400.0</v>
      </c>
      <c r="F9" s="49">
        <v>630.0</v>
      </c>
      <c r="G9" s="49">
        <v>120.0</v>
      </c>
      <c r="H9" s="49">
        <v>130.0</v>
      </c>
      <c r="I9" s="49"/>
      <c r="J9" s="49">
        <v>100.0</v>
      </c>
      <c r="K9" s="49">
        <v>515.0</v>
      </c>
      <c r="L9" s="49"/>
      <c r="M9" s="49">
        <v>80.0</v>
      </c>
      <c r="N9" s="49">
        <v>100.0</v>
      </c>
      <c r="O9" s="49"/>
      <c r="P9" s="49"/>
      <c r="Q9" s="49">
        <v>295.0</v>
      </c>
      <c r="R9" s="49"/>
      <c r="S9" s="49">
        <v>80.0</v>
      </c>
      <c r="T9" s="49">
        <v>100.0</v>
      </c>
      <c r="U9" s="49"/>
      <c r="V9" s="49">
        <v>40.0</v>
      </c>
      <c r="W9" s="49">
        <v>20.0</v>
      </c>
      <c r="X9" s="49"/>
      <c r="Y9" s="49"/>
      <c r="Z9" s="49">
        <v>45.0</v>
      </c>
      <c r="AA9" s="50"/>
      <c r="AB9" s="49"/>
      <c r="AC9" s="49"/>
      <c r="AD9" s="49"/>
      <c r="AE9" s="49"/>
      <c r="AF9" s="49"/>
      <c r="AG9" s="45">
        <f t="shared" si="1"/>
        <v>2925</v>
      </c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</row>
    <row r="10" ht="26.25" customHeight="1">
      <c r="A10" s="45">
        <v>6.0</v>
      </c>
      <c r="B10" s="46" t="s">
        <v>66</v>
      </c>
      <c r="C10" s="14"/>
      <c r="D10" s="45">
        <f>50+30+20+30+20+30</f>
        <v>180</v>
      </c>
      <c r="E10" s="45">
        <f>50+50+55+50+20+20</f>
        <v>245</v>
      </c>
      <c r="F10" s="45">
        <f>45+10+15+50+35+25+50+20+5+25+30+50</f>
        <v>360</v>
      </c>
      <c r="G10" s="45">
        <f>20+30</f>
        <v>50</v>
      </c>
      <c r="H10" s="45">
        <v>20.0</v>
      </c>
      <c r="I10" s="45">
        <f>60+20+40+20+20+20+20+20</f>
        <v>220</v>
      </c>
      <c r="J10" s="45"/>
      <c r="K10" s="45">
        <f>55+20+25+20+20+15</f>
        <v>155</v>
      </c>
      <c r="L10" s="45"/>
      <c r="M10" s="45">
        <v>20.0</v>
      </c>
      <c r="N10" s="45">
        <f>30+50+20+15+20</f>
        <v>135</v>
      </c>
      <c r="O10" s="45"/>
      <c r="P10" s="45"/>
      <c r="Q10" s="45">
        <f>5+45+10+45+35+10+15</f>
        <v>165</v>
      </c>
      <c r="R10" s="45"/>
      <c r="S10" s="45"/>
      <c r="T10" s="45">
        <f>50+20+30+50+20+15+15</f>
        <v>200</v>
      </c>
      <c r="U10" s="45"/>
      <c r="V10" s="45">
        <f>30</f>
        <v>30</v>
      </c>
      <c r="W10" s="45"/>
      <c r="X10" s="45"/>
      <c r="Y10" s="45"/>
      <c r="Z10" s="45">
        <v>20.0</v>
      </c>
      <c r="AA10" s="47"/>
      <c r="AB10" s="45"/>
      <c r="AC10" s="45"/>
      <c r="AD10" s="45"/>
      <c r="AE10" s="45"/>
      <c r="AF10" s="45"/>
      <c r="AG10" s="45">
        <f t="shared" si="1"/>
        <v>1800</v>
      </c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</row>
    <row r="11" ht="26.25" customHeight="1">
      <c r="A11" s="45">
        <v>7.0</v>
      </c>
      <c r="B11" s="46" t="s">
        <v>67</v>
      </c>
      <c r="C11" s="14"/>
      <c r="D11" s="45">
        <v>50.0</v>
      </c>
      <c r="E11" s="45">
        <v>185.0</v>
      </c>
      <c r="F11" s="45">
        <v>115.0</v>
      </c>
      <c r="G11" s="45"/>
      <c r="H11" s="45">
        <v>20.0</v>
      </c>
      <c r="I11" s="45">
        <v>20.0</v>
      </c>
      <c r="J11" s="45"/>
      <c r="K11" s="45">
        <v>115.0</v>
      </c>
      <c r="L11" s="45"/>
      <c r="M11" s="45">
        <v>30.0</v>
      </c>
      <c r="N11" s="45">
        <v>65.0</v>
      </c>
      <c r="O11" s="45"/>
      <c r="P11" s="45"/>
      <c r="Q11" s="45">
        <v>180.0</v>
      </c>
      <c r="R11" s="45"/>
      <c r="S11" s="45"/>
      <c r="T11" s="45"/>
      <c r="U11" s="45"/>
      <c r="V11" s="45">
        <v>20.0</v>
      </c>
      <c r="W11" s="45"/>
      <c r="X11" s="45"/>
      <c r="Y11" s="45"/>
      <c r="Z11" s="45"/>
      <c r="AA11" s="47"/>
      <c r="AB11" s="45"/>
      <c r="AC11" s="45"/>
      <c r="AD11" s="45"/>
      <c r="AE11" s="45"/>
      <c r="AF11" s="45"/>
      <c r="AG11" s="45">
        <f t="shared" si="1"/>
        <v>800</v>
      </c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</row>
    <row r="12" ht="26.25" customHeight="1">
      <c r="A12" s="45">
        <v>8.0</v>
      </c>
      <c r="B12" s="46" t="s">
        <v>68</v>
      </c>
      <c r="C12" s="14"/>
      <c r="D12" s="45">
        <v>171.0</v>
      </c>
      <c r="E12" s="45">
        <v>270.0</v>
      </c>
      <c r="F12" s="45">
        <v>180.0</v>
      </c>
      <c r="G12" s="45"/>
      <c r="H12" s="45">
        <v>100.0</v>
      </c>
      <c r="I12" s="45">
        <v>40.0</v>
      </c>
      <c r="J12" s="45"/>
      <c r="K12" s="45">
        <v>285.0</v>
      </c>
      <c r="L12" s="45"/>
      <c r="M12" s="45">
        <v>75.0</v>
      </c>
      <c r="N12" s="45">
        <v>120.0</v>
      </c>
      <c r="O12" s="45"/>
      <c r="P12" s="45"/>
      <c r="Q12" s="45">
        <v>60.0</v>
      </c>
      <c r="R12" s="45"/>
      <c r="S12" s="45"/>
      <c r="T12" s="45">
        <v>100.0</v>
      </c>
      <c r="U12" s="45"/>
      <c r="V12" s="45">
        <v>36.0</v>
      </c>
      <c r="W12" s="45">
        <v>50.0</v>
      </c>
      <c r="X12" s="45"/>
      <c r="Y12" s="45"/>
      <c r="Z12" s="45">
        <v>20.0</v>
      </c>
      <c r="AA12" s="47"/>
      <c r="AB12" s="45"/>
      <c r="AC12" s="45"/>
      <c r="AD12" s="45"/>
      <c r="AE12" s="45"/>
      <c r="AF12" s="45"/>
      <c r="AG12" s="45">
        <f t="shared" si="1"/>
        <v>1507</v>
      </c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</row>
    <row r="13" ht="18.0" customHeight="1">
      <c r="A13" s="45">
        <v>9.0</v>
      </c>
      <c r="B13" s="46" t="s">
        <v>69</v>
      </c>
      <c r="C13" s="14"/>
      <c r="D13" s="45">
        <v>279.0</v>
      </c>
      <c r="E13" s="45">
        <v>300.0</v>
      </c>
      <c r="F13" s="45">
        <v>350.0</v>
      </c>
      <c r="G13" s="45">
        <v>100.0</v>
      </c>
      <c r="H13" s="45">
        <v>30.0</v>
      </c>
      <c r="I13" s="45">
        <v>70.0</v>
      </c>
      <c r="J13" s="45">
        <v>20.0</v>
      </c>
      <c r="K13" s="45">
        <v>110.0</v>
      </c>
      <c r="L13" s="45"/>
      <c r="M13" s="45">
        <v>45.0</v>
      </c>
      <c r="N13" s="45">
        <v>60.0</v>
      </c>
      <c r="O13" s="45"/>
      <c r="P13" s="45">
        <v>40.0</v>
      </c>
      <c r="Q13" s="45">
        <v>175.0</v>
      </c>
      <c r="R13" s="45"/>
      <c r="S13" s="45">
        <v>40.0</v>
      </c>
      <c r="T13" s="45">
        <v>140.0</v>
      </c>
      <c r="U13" s="45"/>
      <c r="V13" s="45">
        <v>44.0</v>
      </c>
      <c r="W13" s="45">
        <v>70.0</v>
      </c>
      <c r="X13" s="45"/>
      <c r="Y13" s="45"/>
      <c r="Z13" s="45">
        <v>35.0</v>
      </c>
      <c r="AA13" s="47"/>
      <c r="AB13" s="45"/>
      <c r="AC13" s="45"/>
      <c r="AD13" s="45"/>
      <c r="AE13" s="45"/>
      <c r="AF13" s="45"/>
      <c r="AG13" s="45">
        <f t="shared" si="1"/>
        <v>1908</v>
      </c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</row>
    <row r="14" ht="26.25" customHeight="1">
      <c r="A14" s="45">
        <v>10.0</v>
      </c>
      <c r="B14" s="48" t="s">
        <v>70</v>
      </c>
      <c r="C14" s="14"/>
      <c r="D14" s="49">
        <v>200.0</v>
      </c>
      <c r="E14" s="49">
        <v>250.0</v>
      </c>
      <c r="F14" s="49">
        <v>310.0</v>
      </c>
      <c r="G14" s="49">
        <v>20.0</v>
      </c>
      <c r="H14" s="49">
        <v>100.0</v>
      </c>
      <c r="I14" s="49">
        <v>130.0</v>
      </c>
      <c r="J14" s="49">
        <v>20.0</v>
      </c>
      <c r="K14" s="49">
        <v>125.0</v>
      </c>
      <c r="L14" s="49"/>
      <c r="M14" s="49"/>
      <c r="N14" s="49">
        <v>80.0</v>
      </c>
      <c r="O14" s="49"/>
      <c r="P14" s="49">
        <v>21.0</v>
      </c>
      <c r="Q14" s="49">
        <v>325.0</v>
      </c>
      <c r="R14" s="49"/>
      <c r="S14" s="49">
        <v>39.0</v>
      </c>
      <c r="T14" s="49">
        <v>120.0</v>
      </c>
      <c r="U14" s="49"/>
      <c r="V14" s="49">
        <v>30.0</v>
      </c>
      <c r="W14" s="49">
        <v>23.0</v>
      </c>
      <c r="X14" s="49"/>
      <c r="Y14" s="49"/>
      <c r="Z14" s="49">
        <v>48.0</v>
      </c>
      <c r="AA14" s="49"/>
      <c r="AB14" s="49"/>
      <c r="AC14" s="49"/>
      <c r="AD14" s="49"/>
      <c r="AE14" s="49"/>
      <c r="AF14" s="49"/>
      <c r="AG14" s="45">
        <f t="shared" si="1"/>
        <v>1841</v>
      </c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</row>
    <row r="15" ht="26.25" customHeight="1">
      <c r="A15" s="45">
        <v>11.0</v>
      </c>
      <c r="B15" s="46" t="s">
        <v>71</v>
      </c>
      <c r="C15" s="14"/>
      <c r="D15" s="45">
        <v>437.0</v>
      </c>
      <c r="E15" s="45">
        <v>570.0</v>
      </c>
      <c r="F15" s="45">
        <v>430.0</v>
      </c>
      <c r="G15" s="45">
        <v>100.0</v>
      </c>
      <c r="H15" s="45">
        <v>140.0</v>
      </c>
      <c r="I15" s="45">
        <v>74.0</v>
      </c>
      <c r="J15" s="45">
        <v>37.0</v>
      </c>
      <c r="K15" s="45">
        <v>260.0</v>
      </c>
      <c r="L15" s="45"/>
      <c r="M15" s="45">
        <v>200.0</v>
      </c>
      <c r="N15" s="45">
        <v>100.0</v>
      </c>
      <c r="O15" s="45"/>
      <c r="P15" s="45"/>
      <c r="Q15" s="45">
        <v>220.0</v>
      </c>
      <c r="R15" s="45"/>
      <c r="S15" s="45">
        <v>52.0</v>
      </c>
      <c r="T15" s="45">
        <v>230.0</v>
      </c>
      <c r="U15" s="45"/>
      <c r="V15" s="45">
        <v>92.0</v>
      </c>
      <c r="W15" s="45">
        <v>100.0</v>
      </c>
      <c r="X15" s="45"/>
      <c r="Y15" s="45"/>
      <c r="Z15" s="45">
        <v>52.0</v>
      </c>
      <c r="AA15" s="45"/>
      <c r="AB15" s="45"/>
      <c r="AC15" s="45"/>
      <c r="AD15" s="45"/>
      <c r="AE15" s="45"/>
      <c r="AF15" s="45"/>
      <c r="AG15" s="45">
        <f t="shared" si="1"/>
        <v>3094</v>
      </c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</row>
    <row r="16" ht="26.25" customHeight="1">
      <c r="A16" s="45">
        <v>12.0</v>
      </c>
      <c r="B16" s="46" t="s">
        <v>72</v>
      </c>
      <c r="C16" s="14"/>
      <c r="D16" s="52">
        <v>340.0</v>
      </c>
      <c r="E16" s="45">
        <v>420.0</v>
      </c>
      <c r="F16" s="45">
        <v>357.0</v>
      </c>
      <c r="G16" s="45">
        <v>830.0</v>
      </c>
      <c r="H16" s="45">
        <v>100.0</v>
      </c>
      <c r="I16" s="45">
        <v>216.0</v>
      </c>
      <c r="J16" s="45">
        <v>40.0</v>
      </c>
      <c r="K16" s="45">
        <v>290.0</v>
      </c>
      <c r="L16" s="45"/>
      <c r="M16" s="45">
        <v>100.0</v>
      </c>
      <c r="N16" s="45">
        <v>120.0</v>
      </c>
      <c r="O16" s="45"/>
      <c r="P16" s="45"/>
      <c r="Q16" s="45">
        <v>219.0</v>
      </c>
      <c r="R16" s="45"/>
      <c r="S16" s="45">
        <v>80.0</v>
      </c>
      <c r="T16" s="45">
        <v>170.0</v>
      </c>
      <c r="U16" s="45"/>
      <c r="V16" s="45">
        <v>50.0</v>
      </c>
      <c r="W16" s="45">
        <v>20.0</v>
      </c>
      <c r="X16" s="45"/>
      <c r="Y16" s="45"/>
      <c r="Z16" s="45">
        <v>40.0</v>
      </c>
      <c r="AA16" s="47"/>
      <c r="AB16" s="45"/>
      <c r="AC16" s="45"/>
      <c r="AD16" s="45"/>
      <c r="AE16" s="45"/>
      <c r="AF16" s="45">
        <v>50.0</v>
      </c>
      <c r="AG16" s="45">
        <f t="shared" si="1"/>
        <v>3442</v>
      </c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</row>
    <row r="17" ht="26.25" customHeight="1">
      <c r="A17" s="30" t="s">
        <v>73</v>
      </c>
      <c r="B17" s="15"/>
      <c r="C17" s="14"/>
      <c r="D17" s="47">
        <f t="shared" ref="D17:AG17" si="2">SUM(D5:D16)</f>
        <v>3292</v>
      </c>
      <c r="E17" s="47">
        <f t="shared" si="2"/>
        <v>3812</v>
      </c>
      <c r="F17" s="47">
        <f t="shared" si="2"/>
        <v>3643</v>
      </c>
      <c r="G17" s="47">
        <f t="shared" si="2"/>
        <v>1350</v>
      </c>
      <c r="H17" s="47">
        <f t="shared" si="2"/>
        <v>997</v>
      </c>
      <c r="I17" s="47">
        <f t="shared" si="2"/>
        <v>1270</v>
      </c>
      <c r="J17" s="47">
        <f t="shared" si="2"/>
        <v>252</v>
      </c>
      <c r="K17" s="47">
        <f t="shared" si="2"/>
        <v>2585</v>
      </c>
      <c r="L17" s="47">
        <f t="shared" si="2"/>
        <v>0</v>
      </c>
      <c r="M17" s="47">
        <f t="shared" si="2"/>
        <v>850</v>
      </c>
      <c r="N17" s="47">
        <f t="shared" si="2"/>
        <v>1123</v>
      </c>
      <c r="O17" s="47">
        <f t="shared" si="2"/>
        <v>0</v>
      </c>
      <c r="P17" s="47">
        <f t="shared" si="2"/>
        <v>61</v>
      </c>
      <c r="Q17" s="47">
        <f t="shared" si="2"/>
        <v>2193</v>
      </c>
      <c r="R17" s="47">
        <f t="shared" si="2"/>
        <v>0</v>
      </c>
      <c r="S17" s="47">
        <f t="shared" si="2"/>
        <v>356</v>
      </c>
      <c r="T17" s="47">
        <f t="shared" si="2"/>
        <v>1660</v>
      </c>
      <c r="U17" s="47">
        <f t="shared" si="2"/>
        <v>100</v>
      </c>
      <c r="V17" s="47">
        <f t="shared" si="2"/>
        <v>442</v>
      </c>
      <c r="W17" s="47">
        <f t="shared" si="2"/>
        <v>423</v>
      </c>
      <c r="X17" s="47">
        <f t="shared" si="2"/>
        <v>100</v>
      </c>
      <c r="Y17" s="47">
        <f t="shared" si="2"/>
        <v>0</v>
      </c>
      <c r="Z17" s="47">
        <f t="shared" si="2"/>
        <v>371</v>
      </c>
      <c r="AA17" s="47">
        <f t="shared" si="2"/>
        <v>0</v>
      </c>
      <c r="AB17" s="47">
        <f t="shared" si="2"/>
        <v>0</v>
      </c>
      <c r="AC17" s="47">
        <f t="shared" si="2"/>
        <v>0</v>
      </c>
      <c r="AD17" s="47">
        <f t="shared" si="2"/>
        <v>0</v>
      </c>
      <c r="AE17" s="47">
        <f t="shared" si="2"/>
        <v>0</v>
      </c>
      <c r="AF17" s="47">
        <f t="shared" si="2"/>
        <v>50</v>
      </c>
      <c r="AG17" s="47">
        <f t="shared" si="2"/>
        <v>24930</v>
      </c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</row>
    <row r="18" ht="6.75" customHeight="1">
      <c r="A18" s="36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</row>
    <row r="19" ht="14.25" customHeight="1">
      <c r="A19" s="36"/>
      <c r="B19" s="35" t="s">
        <v>121</v>
      </c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ht="14.25" customHeight="1">
      <c r="A20" s="36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ht="23.25" customHeight="1">
      <c r="A21" s="35"/>
      <c r="B21" s="28" t="s">
        <v>122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</row>
    <row r="22" ht="13.5" customHeight="1">
      <c r="A22" s="35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5"/>
      <c r="P22" s="35"/>
      <c r="Q22" s="35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6"/>
      <c r="AC22" s="37" t="s">
        <v>91</v>
      </c>
      <c r="AD22" s="5"/>
      <c r="AE22" s="5"/>
      <c r="AF22" s="5"/>
      <c r="AG22" s="5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ht="129.75" customHeight="1">
      <c r="A23" s="38" t="s">
        <v>2</v>
      </c>
      <c r="B23" s="40" t="s">
        <v>3</v>
      </c>
      <c r="C23" s="14"/>
      <c r="D23" s="38" t="s">
        <v>92</v>
      </c>
      <c r="E23" s="40" t="s">
        <v>93</v>
      </c>
      <c r="F23" s="40" t="s">
        <v>94</v>
      </c>
      <c r="G23" s="38" t="s">
        <v>95</v>
      </c>
      <c r="H23" s="38" t="s">
        <v>96</v>
      </c>
      <c r="I23" s="40" t="s">
        <v>97</v>
      </c>
      <c r="J23" s="40" t="s">
        <v>98</v>
      </c>
      <c r="K23" s="41" t="s">
        <v>99</v>
      </c>
      <c r="L23" s="41" t="s">
        <v>100</v>
      </c>
      <c r="M23" s="41" t="s">
        <v>101</v>
      </c>
      <c r="N23" s="38" t="s">
        <v>102</v>
      </c>
      <c r="O23" s="38" t="s">
        <v>103</v>
      </c>
      <c r="P23" s="41" t="s">
        <v>104</v>
      </c>
      <c r="Q23" s="38" t="s">
        <v>105</v>
      </c>
      <c r="R23" s="38" t="s">
        <v>106</v>
      </c>
      <c r="S23" s="42" t="s">
        <v>107</v>
      </c>
      <c r="T23" s="40" t="s">
        <v>108</v>
      </c>
      <c r="U23" s="38" t="s">
        <v>109</v>
      </c>
      <c r="V23" s="43" t="s">
        <v>110</v>
      </c>
      <c r="W23" s="41" t="s">
        <v>111</v>
      </c>
      <c r="X23" s="38" t="s">
        <v>112</v>
      </c>
      <c r="Y23" s="44" t="s">
        <v>113</v>
      </c>
      <c r="Z23" s="44" t="s">
        <v>114</v>
      </c>
      <c r="AA23" s="44" t="s">
        <v>115</v>
      </c>
      <c r="AB23" s="44" t="s">
        <v>116</v>
      </c>
      <c r="AC23" s="44" t="s">
        <v>117</v>
      </c>
      <c r="AD23" s="44" t="s">
        <v>118</v>
      </c>
      <c r="AE23" s="44" t="s">
        <v>119</v>
      </c>
      <c r="AF23" s="44" t="s">
        <v>120</v>
      </c>
      <c r="AG23" s="45" t="s">
        <v>73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</row>
    <row r="24" ht="26.25" customHeight="1">
      <c r="A24" s="45">
        <v>1.0</v>
      </c>
      <c r="B24" s="46" t="s">
        <v>61</v>
      </c>
      <c r="C24" s="14"/>
      <c r="D24" s="45">
        <v>712.0</v>
      </c>
      <c r="E24" s="45">
        <v>586.0</v>
      </c>
      <c r="F24" s="45">
        <v>400.0</v>
      </c>
      <c r="G24" s="45"/>
      <c r="H24" s="45">
        <v>185.0</v>
      </c>
      <c r="I24" s="45">
        <v>126.0</v>
      </c>
      <c r="J24" s="45"/>
      <c r="K24" s="45">
        <v>645.0</v>
      </c>
      <c r="L24" s="45"/>
      <c r="M24" s="45">
        <v>105.0</v>
      </c>
      <c r="N24" s="45">
        <v>150.0</v>
      </c>
      <c r="O24" s="45"/>
      <c r="P24" s="45">
        <v>20.0</v>
      </c>
      <c r="Q24" s="45">
        <v>300.0</v>
      </c>
      <c r="R24" s="45"/>
      <c r="S24" s="45"/>
      <c r="T24" s="45">
        <v>262.0</v>
      </c>
      <c r="U24" s="45"/>
      <c r="V24" s="45"/>
      <c r="W24" s="45">
        <v>150.0</v>
      </c>
      <c r="X24" s="45"/>
      <c r="Y24" s="45"/>
      <c r="Z24" s="45">
        <v>63.0</v>
      </c>
      <c r="AA24" s="47"/>
      <c r="AB24" s="45"/>
      <c r="AC24" s="45">
        <v>20.0</v>
      </c>
      <c r="AD24" s="45"/>
      <c r="AE24" s="45"/>
      <c r="AF24" s="45"/>
      <c r="AG24" s="45">
        <f t="shared" ref="AG24:AG35" si="3">SUM(D24:AF24)</f>
        <v>3724</v>
      </c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</row>
    <row r="25" ht="26.25" customHeight="1">
      <c r="A25" s="45">
        <v>2.0</v>
      </c>
      <c r="B25" s="46" t="s">
        <v>62</v>
      </c>
      <c r="C25" s="14"/>
      <c r="D25" s="45">
        <v>295.0</v>
      </c>
      <c r="E25" s="45">
        <v>320.0</v>
      </c>
      <c r="F25" s="45">
        <v>260.0</v>
      </c>
      <c r="G25" s="45"/>
      <c r="H25" s="45">
        <v>30.0</v>
      </c>
      <c r="I25" s="45">
        <v>104.0</v>
      </c>
      <c r="J25" s="45"/>
      <c r="K25" s="45">
        <v>235.0</v>
      </c>
      <c r="L25" s="45"/>
      <c r="M25" s="45">
        <v>50.0</v>
      </c>
      <c r="N25" s="45">
        <v>90.0</v>
      </c>
      <c r="O25" s="45"/>
      <c r="P25" s="45"/>
      <c r="Q25" s="45">
        <v>200.0</v>
      </c>
      <c r="R25" s="45"/>
      <c r="S25" s="45"/>
      <c r="T25" s="45">
        <v>150.0</v>
      </c>
      <c r="U25" s="45"/>
      <c r="V25" s="45">
        <v>155.0</v>
      </c>
      <c r="W25" s="45">
        <v>80.0</v>
      </c>
      <c r="X25" s="45"/>
      <c r="Y25" s="45"/>
      <c r="Z25" s="45">
        <v>50.0</v>
      </c>
      <c r="AA25" s="47"/>
      <c r="AB25" s="45"/>
      <c r="AC25" s="45"/>
      <c r="AD25" s="45"/>
      <c r="AE25" s="45"/>
      <c r="AF25" s="45"/>
      <c r="AG25" s="45">
        <f t="shared" si="3"/>
        <v>2019</v>
      </c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</row>
    <row r="26" ht="26.25" customHeight="1">
      <c r="A26" s="45">
        <v>3.0</v>
      </c>
      <c r="B26" s="46" t="s">
        <v>63</v>
      </c>
      <c r="C26" s="14"/>
      <c r="D26" s="45">
        <v>418.0</v>
      </c>
      <c r="E26" s="45">
        <v>447.0</v>
      </c>
      <c r="F26" s="45">
        <v>357.0</v>
      </c>
      <c r="G26" s="45"/>
      <c r="H26" s="45">
        <v>136.0</v>
      </c>
      <c r="I26" s="45">
        <v>259.0</v>
      </c>
      <c r="J26" s="45">
        <v>59.0</v>
      </c>
      <c r="K26" s="45">
        <v>516.0</v>
      </c>
      <c r="L26" s="45"/>
      <c r="M26" s="45">
        <v>110.0</v>
      </c>
      <c r="N26" s="45">
        <v>209.0</v>
      </c>
      <c r="O26" s="45"/>
      <c r="P26" s="45"/>
      <c r="Q26" s="45">
        <v>317.0</v>
      </c>
      <c r="R26" s="45"/>
      <c r="S26" s="45">
        <v>4.0</v>
      </c>
      <c r="T26" s="45">
        <v>205.0</v>
      </c>
      <c r="U26" s="45"/>
      <c r="V26" s="45">
        <v>90.0</v>
      </c>
      <c r="W26" s="45">
        <v>122.0</v>
      </c>
      <c r="X26" s="45">
        <v>20.0</v>
      </c>
      <c r="Y26" s="45"/>
      <c r="Z26" s="45"/>
      <c r="AA26" s="47"/>
      <c r="AB26" s="45"/>
      <c r="AC26" s="45"/>
      <c r="AD26" s="45"/>
      <c r="AE26" s="45"/>
      <c r="AF26" s="45"/>
      <c r="AG26" s="45">
        <f t="shared" si="3"/>
        <v>3269</v>
      </c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</row>
    <row r="27" ht="26.25" customHeight="1">
      <c r="A27" s="45">
        <v>4.0</v>
      </c>
      <c r="B27" s="46" t="s">
        <v>64</v>
      </c>
      <c r="C27" s="14"/>
      <c r="D27" s="45">
        <v>450.0</v>
      </c>
      <c r="E27" s="45">
        <v>455.0</v>
      </c>
      <c r="F27" s="45">
        <v>290.0</v>
      </c>
      <c r="G27" s="45">
        <v>50.0</v>
      </c>
      <c r="H27" s="45">
        <v>80.0</v>
      </c>
      <c r="I27" s="45">
        <v>100.0</v>
      </c>
      <c r="J27" s="45">
        <v>30.0</v>
      </c>
      <c r="K27" s="45">
        <v>445.0</v>
      </c>
      <c r="L27" s="45"/>
      <c r="M27" s="45">
        <v>170.0</v>
      </c>
      <c r="N27" s="45">
        <v>60.0</v>
      </c>
      <c r="O27" s="45"/>
      <c r="P27" s="45"/>
      <c r="Q27" s="45">
        <v>429.0</v>
      </c>
      <c r="R27" s="45"/>
      <c r="S27" s="45"/>
      <c r="T27" s="45">
        <v>310.0</v>
      </c>
      <c r="U27" s="45"/>
      <c r="V27" s="45">
        <v>59.0</v>
      </c>
      <c r="W27" s="45">
        <v>100.0</v>
      </c>
      <c r="X27" s="45">
        <v>50.0</v>
      </c>
      <c r="Y27" s="45"/>
      <c r="Z27" s="45">
        <v>50.0</v>
      </c>
      <c r="AA27" s="47"/>
      <c r="AB27" s="45">
        <v>10.0</v>
      </c>
      <c r="AC27" s="45"/>
      <c r="AD27" s="45"/>
      <c r="AE27" s="45"/>
      <c r="AF27" s="45"/>
      <c r="AG27" s="45">
        <f t="shared" si="3"/>
        <v>3138</v>
      </c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</row>
    <row r="28" ht="26.25" customHeight="1">
      <c r="A28" s="45">
        <v>5.0</v>
      </c>
      <c r="B28" s="48" t="s">
        <v>65</v>
      </c>
      <c r="C28" s="14"/>
      <c r="D28" s="49">
        <v>600.0</v>
      </c>
      <c r="E28" s="49">
        <v>595.0</v>
      </c>
      <c r="F28" s="49">
        <v>650.0</v>
      </c>
      <c r="G28" s="49">
        <v>150.0</v>
      </c>
      <c r="H28" s="49">
        <v>150.0</v>
      </c>
      <c r="I28" s="49"/>
      <c r="J28" s="49">
        <v>25.0</v>
      </c>
      <c r="K28" s="49">
        <v>605.0</v>
      </c>
      <c r="L28" s="49"/>
      <c r="M28" s="49">
        <v>190.0</v>
      </c>
      <c r="N28" s="49">
        <v>210.0</v>
      </c>
      <c r="O28" s="49"/>
      <c r="P28" s="49"/>
      <c r="Q28" s="49">
        <v>215.0</v>
      </c>
      <c r="R28" s="49"/>
      <c r="S28" s="49">
        <v>380.0</v>
      </c>
      <c r="T28" s="49">
        <v>300.0</v>
      </c>
      <c r="U28" s="49"/>
      <c r="V28" s="49"/>
      <c r="W28" s="49">
        <v>200.0</v>
      </c>
      <c r="X28" s="49"/>
      <c r="Y28" s="49"/>
      <c r="Z28" s="49"/>
      <c r="AA28" s="50"/>
      <c r="AB28" s="49"/>
      <c r="AC28" s="49"/>
      <c r="AD28" s="49"/>
      <c r="AE28" s="49"/>
      <c r="AF28" s="49"/>
      <c r="AG28" s="45">
        <f t="shared" si="3"/>
        <v>4270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</row>
    <row r="29" ht="26.25" customHeight="1">
      <c r="A29" s="45">
        <v>6.0</v>
      </c>
      <c r="B29" s="46" t="s">
        <v>66</v>
      </c>
      <c r="C29" s="14"/>
      <c r="D29" s="45">
        <f>50+50+50+80+20+30+20+50+50</f>
        <v>400</v>
      </c>
      <c r="E29" s="45">
        <f>5+45+50+5+45+50+5+45+55+30+70+5+45</f>
        <v>455</v>
      </c>
      <c r="F29" s="45">
        <f>45+35+15+15+50+20+25+5+20+30+20+30+30+35+30+5</f>
        <v>410</v>
      </c>
      <c r="G29" s="45"/>
      <c r="H29" s="45">
        <f>20+30+20+30+20</f>
        <v>120</v>
      </c>
      <c r="I29" s="45">
        <f>30+40+30+10+40+10+30+10+30+20+30</f>
        <v>280</v>
      </c>
      <c r="J29" s="45"/>
      <c r="K29" s="45">
        <f>50+60+40+20+30+10+15+25+40+10</f>
        <v>300</v>
      </c>
      <c r="L29" s="45"/>
      <c r="M29" s="45">
        <f>30+10+20+30+30</f>
        <v>120</v>
      </c>
      <c r="N29" s="45">
        <f>30+20+20</f>
        <v>70</v>
      </c>
      <c r="O29" s="45"/>
      <c r="P29" s="45">
        <v>30.0</v>
      </c>
      <c r="Q29" s="45">
        <f>20+35+35+30+30+5+18+1+19</f>
        <v>193</v>
      </c>
      <c r="R29" s="45"/>
      <c r="S29" s="45">
        <f>20+30</f>
        <v>50</v>
      </c>
      <c r="T29" s="45">
        <f>15+5+35+15+30+30+10+20+10+30+20+25</f>
        <v>245</v>
      </c>
      <c r="U29" s="45"/>
      <c r="V29" s="45">
        <f>20+30+20+25+5+30+20</f>
        <v>150</v>
      </c>
      <c r="W29" s="45">
        <f>10+20+20+30+20+20+30</f>
        <v>150</v>
      </c>
      <c r="X29" s="45"/>
      <c r="Y29" s="45"/>
      <c r="Z29" s="45">
        <f>15+20+15</f>
        <v>50</v>
      </c>
      <c r="AA29" s="47"/>
      <c r="AB29" s="45">
        <v>20.0</v>
      </c>
      <c r="AC29" s="45"/>
      <c r="AD29" s="45"/>
      <c r="AE29" s="45"/>
      <c r="AF29" s="45"/>
      <c r="AG29" s="45">
        <f t="shared" si="3"/>
        <v>3043</v>
      </c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</row>
    <row r="30" ht="26.25" customHeight="1">
      <c r="A30" s="45">
        <v>7.0</v>
      </c>
      <c r="B30" s="46" t="s">
        <v>67</v>
      </c>
      <c r="C30" s="14"/>
      <c r="D30" s="45">
        <v>200.0</v>
      </c>
      <c r="E30" s="45">
        <v>345.0</v>
      </c>
      <c r="F30" s="45">
        <v>180.0</v>
      </c>
      <c r="G30" s="45">
        <v>50.0</v>
      </c>
      <c r="H30" s="45">
        <v>50.0</v>
      </c>
      <c r="I30" s="45">
        <v>70.0</v>
      </c>
      <c r="J30" s="45"/>
      <c r="K30" s="45">
        <v>350.0</v>
      </c>
      <c r="L30" s="45"/>
      <c r="M30" s="45">
        <v>20.0</v>
      </c>
      <c r="N30" s="45">
        <v>60.0</v>
      </c>
      <c r="O30" s="45"/>
      <c r="P30" s="45">
        <v>30.0</v>
      </c>
      <c r="Q30" s="45">
        <v>363.0</v>
      </c>
      <c r="R30" s="45"/>
      <c r="S30" s="45">
        <v>20.0</v>
      </c>
      <c r="T30" s="45">
        <v>175.0</v>
      </c>
      <c r="U30" s="45"/>
      <c r="V30" s="45">
        <v>30.0</v>
      </c>
      <c r="W30" s="45">
        <v>50.0</v>
      </c>
      <c r="X30" s="45"/>
      <c r="Y30" s="45"/>
      <c r="Z30" s="45"/>
      <c r="AA30" s="47"/>
      <c r="AB30" s="45"/>
      <c r="AC30" s="45"/>
      <c r="AD30" s="45"/>
      <c r="AE30" s="45"/>
      <c r="AF30" s="45"/>
      <c r="AG30" s="45">
        <f t="shared" si="3"/>
        <v>1993</v>
      </c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</row>
    <row r="31" ht="26.25" customHeight="1">
      <c r="A31" s="45">
        <v>8.0</v>
      </c>
      <c r="B31" s="46" t="s">
        <v>68</v>
      </c>
      <c r="C31" s="14"/>
      <c r="D31" s="45">
        <v>200.0</v>
      </c>
      <c r="E31" s="45">
        <v>200.0</v>
      </c>
      <c r="F31" s="45">
        <v>245.0</v>
      </c>
      <c r="G31" s="45">
        <v>50.0</v>
      </c>
      <c r="H31" s="45">
        <v>50.0</v>
      </c>
      <c r="I31" s="45">
        <v>50.0</v>
      </c>
      <c r="J31" s="45"/>
      <c r="K31" s="45">
        <v>320.0</v>
      </c>
      <c r="L31" s="45"/>
      <c r="M31" s="45">
        <v>50.0</v>
      </c>
      <c r="N31" s="45">
        <v>50.0</v>
      </c>
      <c r="O31" s="45"/>
      <c r="P31" s="45"/>
      <c r="Q31" s="45">
        <v>180.0</v>
      </c>
      <c r="R31" s="45"/>
      <c r="S31" s="45"/>
      <c r="T31" s="45">
        <v>180.0</v>
      </c>
      <c r="U31" s="45">
        <v>30.0</v>
      </c>
      <c r="V31" s="45">
        <v>80.0</v>
      </c>
      <c r="W31" s="45">
        <v>70.0</v>
      </c>
      <c r="X31" s="45"/>
      <c r="Y31" s="45"/>
      <c r="Z31" s="45">
        <v>50.0</v>
      </c>
      <c r="AA31" s="47"/>
      <c r="AB31" s="45"/>
      <c r="AC31" s="45">
        <v>40.0</v>
      </c>
      <c r="AD31" s="45"/>
      <c r="AE31" s="45"/>
      <c r="AF31" s="45"/>
      <c r="AG31" s="45">
        <f t="shared" si="3"/>
        <v>1845</v>
      </c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</row>
    <row r="32" ht="24.0" customHeight="1">
      <c r="A32" s="45">
        <v>9.0</v>
      </c>
      <c r="B32" s="46" t="s">
        <v>69</v>
      </c>
      <c r="C32" s="14"/>
      <c r="D32" s="45">
        <f>280+170</f>
        <v>450</v>
      </c>
      <c r="E32" s="45">
        <f>280+130</f>
        <v>410</v>
      </c>
      <c r="F32" s="45">
        <f>300+140</f>
        <v>440</v>
      </c>
      <c r="G32" s="45">
        <v>10.0</v>
      </c>
      <c r="H32" s="45">
        <f>50+20</f>
        <v>70</v>
      </c>
      <c r="I32" s="45">
        <f>50+30</f>
        <v>80</v>
      </c>
      <c r="J32" s="45"/>
      <c r="K32" s="45">
        <f>250+150</f>
        <v>400</v>
      </c>
      <c r="L32" s="45"/>
      <c r="M32" s="45">
        <v>40.0</v>
      </c>
      <c r="N32" s="45">
        <f>80+20</f>
        <v>100</v>
      </c>
      <c r="O32" s="45"/>
      <c r="P32" s="45"/>
      <c r="Q32" s="45">
        <v>175.0</v>
      </c>
      <c r="R32" s="45"/>
      <c r="S32" s="45">
        <v>20.0</v>
      </c>
      <c r="T32" s="45">
        <f>140+120</f>
        <v>260</v>
      </c>
      <c r="U32" s="45"/>
      <c r="V32" s="45">
        <v>30.0</v>
      </c>
      <c r="W32" s="45">
        <f>20+30</f>
        <v>50</v>
      </c>
      <c r="X32" s="45">
        <v>30.0</v>
      </c>
      <c r="Y32" s="45"/>
      <c r="Z32" s="45">
        <f>20+20</f>
        <v>40</v>
      </c>
      <c r="AA32" s="47"/>
      <c r="AB32" s="45"/>
      <c r="AC32" s="45"/>
      <c r="AD32" s="45"/>
      <c r="AE32" s="45"/>
      <c r="AF32" s="45"/>
      <c r="AG32" s="45">
        <f t="shared" si="3"/>
        <v>2605</v>
      </c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</row>
    <row r="33" ht="26.25" customHeight="1">
      <c r="A33" s="45">
        <v>10.0</v>
      </c>
      <c r="B33" s="48" t="s">
        <v>70</v>
      </c>
      <c r="C33" s="14"/>
      <c r="D33" s="49">
        <v>446.0</v>
      </c>
      <c r="E33" s="49">
        <v>557.0</v>
      </c>
      <c r="F33" s="49">
        <v>280.0</v>
      </c>
      <c r="G33" s="49">
        <v>40.0</v>
      </c>
      <c r="H33" s="49">
        <v>56.0</v>
      </c>
      <c r="I33" s="49">
        <v>80.0</v>
      </c>
      <c r="J33" s="49"/>
      <c r="K33" s="49">
        <v>445.0</v>
      </c>
      <c r="L33" s="49"/>
      <c r="M33" s="49">
        <v>95.0</v>
      </c>
      <c r="N33" s="49">
        <v>95.0</v>
      </c>
      <c r="O33" s="49"/>
      <c r="P33" s="49">
        <v>40.0</v>
      </c>
      <c r="Q33" s="49">
        <v>540.0</v>
      </c>
      <c r="R33" s="49"/>
      <c r="S33" s="49">
        <v>40.0</v>
      </c>
      <c r="T33" s="49">
        <v>280.0</v>
      </c>
      <c r="U33" s="49">
        <v>100.0</v>
      </c>
      <c r="V33" s="49">
        <v>100.0</v>
      </c>
      <c r="W33" s="49">
        <v>110.0</v>
      </c>
      <c r="X33" s="49">
        <v>40.0</v>
      </c>
      <c r="Y33" s="49"/>
      <c r="Z33" s="49">
        <v>70.0</v>
      </c>
      <c r="AA33" s="49"/>
      <c r="AB33" s="49">
        <v>20.0</v>
      </c>
      <c r="AC33" s="49">
        <v>20.0</v>
      </c>
      <c r="AD33" s="49"/>
      <c r="AE33" s="49"/>
      <c r="AF33" s="49"/>
      <c r="AG33" s="45">
        <f t="shared" si="3"/>
        <v>3454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</row>
    <row r="34" ht="26.25" customHeight="1">
      <c r="A34" s="45">
        <v>11.0</v>
      </c>
      <c r="B34" s="46" t="s">
        <v>71</v>
      </c>
      <c r="C34" s="14"/>
      <c r="D34" s="45">
        <v>489.0</v>
      </c>
      <c r="E34" s="45">
        <v>503.0</v>
      </c>
      <c r="F34" s="45">
        <v>420.0</v>
      </c>
      <c r="G34" s="45">
        <v>30.0</v>
      </c>
      <c r="H34" s="45">
        <v>80.0</v>
      </c>
      <c r="I34" s="45">
        <v>46.0</v>
      </c>
      <c r="J34" s="45">
        <v>50.0</v>
      </c>
      <c r="K34" s="45">
        <v>370.0</v>
      </c>
      <c r="L34" s="45"/>
      <c r="M34" s="45">
        <v>120.0</v>
      </c>
      <c r="N34" s="45">
        <v>115.0</v>
      </c>
      <c r="O34" s="45"/>
      <c r="P34" s="45">
        <v>80.0</v>
      </c>
      <c r="Q34" s="45">
        <v>348.0</v>
      </c>
      <c r="R34" s="45"/>
      <c r="S34" s="45">
        <v>40.0</v>
      </c>
      <c r="T34" s="45">
        <v>230.0</v>
      </c>
      <c r="U34" s="45">
        <v>20.0</v>
      </c>
      <c r="V34" s="45">
        <v>90.0</v>
      </c>
      <c r="W34" s="45">
        <v>30.0</v>
      </c>
      <c r="X34" s="45">
        <v>50.0</v>
      </c>
      <c r="Y34" s="45"/>
      <c r="Z34" s="45">
        <v>110.0</v>
      </c>
      <c r="AA34" s="45"/>
      <c r="AB34" s="45">
        <v>20.0</v>
      </c>
      <c r="AC34" s="45"/>
      <c r="AD34" s="45"/>
      <c r="AE34" s="45"/>
      <c r="AF34" s="45"/>
      <c r="AG34" s="45">
        <f t="shared" si="3"/>
        <v>3241</v>
      </c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</row>
    <row r="35" ht="26.25" customHeight="1">
      <c r="A35" s="45">
        <v>12.0</v>
      </c>
      <c r="B35" s="46" t="s">
        <v>72</v>
      </c>
      <c r="C35" s="14"/>
      <c r="D35" s="45">
        <v>485.0</v>
      </c>
      <c r="E35" s="45">
        <v>410.0</v>
      </c>
      <c r="F35" s="45">
        <v>330.0</v>
      </c>
      <c r="G35" s="45">
        <v>1170.0</v>
      </c>
      <c r="H35" s="45">
        <v>119.0</v>
      </c>
      <c r="I35" s="45">
        <v>150.0</v>
      </c>
      <c r="J35" s="45">
        <v>60.0</v>
      </c>
      <c r="K35" s="45">
        <v>380.0</v>
      </c>
      <c r="L35" s="45"/>
      <c r="M35" s="45">
        <v>130.0</v>
      </c>
      <c r="N35" s="45">
        <v>110.0</v>
      </c>
      <c r="O35" s="45"/>
      <c r="P35" s="45">
        <v>30.0</v>
      </c>
      <c r="Q35" s="45">
        <v>330.0</v>
      </c>
      <c r="R35" s="45"/>
      <c r="S35" s="45">
        <v>50.0</v>
      </c>
      <c r="T35" s="45">
        <v>340.0</v>
      </c>
      <c r="U35" s="45">
        <v>30.0</v>
      </c>
      <c r="V35" s="45">
        <v>100.0</v>
      </c>
      <c r="W35" s="45">
        <v>90.0</v>
      </c>
      <c r="X35" s="45">
        <v>30.0</v>
      </c>
      <c r="Y35" s="45"/>
      <c r="Z35" s="45">
        <v>10.0</v>
      </c>
      <c r="AA35" s="47"/>
      <c r="AB35" s="45">
        <v>20.0</v>
      </c>
      <c r="AC35" s="45">
        <v>30.0</v>
      </c>
      <c r="AD35" s="45"/>
      <c r="AE35" s="45"/>
      <c r="AF35" s="45">
        <v>300.0</v>
      </c>
      <c r="AG35" s="45">
        <f t="shared" si="3"/>
        <v>4704</v>
      </c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</row>
    <row r="36" ht="26.25" customHeight="1">
      <c r="A36" s="30" t="s">
        <v>73</v>
      </c>
      <c r="B36" s="15"/>
      <c r="C36" s="14"/>
      <c r="D36" s="47">
        <f t="shared" ref="D36:AG36" si="4">SUM(D24:D35)</f>
        <v>5145</v>
      </c>
      <c r="E36" s="47">
        <f t="shared" si="4"/>
        <v>5283</v>
      </c>
      <c r="F36" s="47">
        <f t="shared" si="4"/>
        <v>4262</v>
      </c>
      <c r="G36" s="47">
        <f t="shared" si="4"/>
        <v>1550</v>
      </c>
      <c r="H36" s="47">
        <f t="shared" si="4"/>
        <v>1126</v>
      </c>
      <c r="I36" s="47">
        <f t="shared" si="4"/>
        <v>1345</v>
      </c>
      <c r="J36" s="47">
        <f t="shared" si="4"/>
        <v>224</v>
      </c>
      <c r="K36" s="47">
        <f t="shared" si="4"/>
        <v>5011</v>
      </c>
      <c r="L36" s="47">
        <f t="shared" si="4"/>
        <v>0</v>
      </c>
      <c r="M36" s="47">
        <f t="shared" si="4"/>
        <v>1200</v>
      </c>
      <c r="N36" s="47">
        <f t="shared" si="4"/>
        <v>1319</v>
      </c>
      <c r="O36" s="47">
        <f t="shared" si="4"/>
        <v>0</v>
      </c>
      <c r="P36" s="47">
        <f t="shared" si="4"/>
        <v>230</v>
      </c>
      <c r="Q36" s="47">
        <f t="shared" si="4"/>
        <v>3590</v>
      </c>
      <c r="R36" s="47">
        <f t="shared" si="4"/>
        <v>0</v>
      </c>
      <c r="S36" s="47">
        <f t="shared" si="4"/>
        <v>604</v>
      </c>
      <c r="T36" s="47">
        <f t="shared" si="4"/>
        <v>2937</v>
      </c>
      <c r="U36" s="47">
        <f t="shared" si="4"/>
        <v>180</v>
      </c>
      <c r="V36" s="47">
        <f t="shared" si="4"/>
        <v>884</v>
      </c>
      <c r="W36" s="47">
        <f t="shared" si="4"/>
        <v>1202</v>
      </c>
      <c r="X36" s="47">
        <f t="shared" si="4"/>
        <v>220</v>
      </c>
      <c r="Y36" s="47">
        <f t="shared" si="4"/>
        <v>0</v>
      </c>
      <c r="Z36" s="47">
        <f t="shared" si="4"/>
        <v>493</v>
      </c>
      <c r="AA36" s="47">
        <f t="shared" si="4"/>
        <v>0</v>
      </c>
      <c r="AB36" s="47">
        <f t="shared" si="4"/>
        <v>90</v>
      </c>
      <c r="AC36" s="47">
        <f t="shared" si="4"/>
        <v>110</v>
      </c>
      <c r="AD36" s="47">
        <f t="shared" si="4"/>
        <v>0</v>
      </c>
      <c r="AE36" s="47">
        <f t="shared" si="4"/>
        <v>0</v>
      </c>
      <c r="AF36" s="47">
        <f t="shared" si="4"/>
        <v>300</v>
      </c>
      <c r="AG36" s="47">
        <f t="shared" si="4"/>
        <v>37305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</row>
    <row r="37" ht="3.75" customHeight="1">
      <c r="A37" s="36"/>
      <c r="B37" s="36"/>
      <c r="C37" s="36"/>
      <c r="D37" s="36"/>
      <c r="E37" s="36"/>
      <c r="F37" s="53"/>
      <c r="G37" s="53"/>
      <c r="H37" s="53"/>
      <c r="I37" s="53"/>
      <c r="J37" s="53"/>
      <c r="K37" s="53"/>
      <c r="L37" s="53"/>
      <c r="M37" s="53"/>
      <c r="N37" s="53"/>
      <c r="O37" s="35"/>
      <c r="P37" s="35"/>
      <c r="Q37" s="35"/>
      <c r="R37" s="53"/>
      <c r="S37" s="53"/>
      <c r="T37" s="53"/>
      <c r="U37" s="53"/>
      <c r="V37" s="36"/>
      <c r="W37" s="36"/>
      <c r="X37" s="53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</row>
    <row r="38" ht="15.0" customHeight="1">
      <c r="A38" s="35"/>
      <c r="B38" s="35" t="s">
        <v>123</v>
      </c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</row>
    <row r="39" ht="15.0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</row>
    <row r="40" ht="27.0" customHeight="1">
      <c r="A40" s="35"/>
      <c r="B40" s="28" t="s">
        <v>124</v>
      </c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</row>
    <row r="41" ht="12.75" customHeight="1">
      <c r="A41" s="35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5"/>
      <c r="P41" s="35"/>
      <c r="Q41" s="35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6"/>
      <c r="AC41" s="37" t="s">
        <v>91</v>
      </c>
      <c r="AD41" s="5"/>
      <c r="AE41" s="5"/>
      <c r="AF41" s="5"/>
      <c r="AG41" s="5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</row>
    <row r="42" ht="124.5" customHeight="1">
      <c r="A42" s="38" t="s">
        <v>2</v>
      </c>
      <c r="B42" s="40" t="s">
        <v>3</v>
      </c>
      <c r="C42" s="14"/>
      <c r="D42" s="38" t="s">
        <v>92</v>
      </c>
      <c r="E42" s="40" t="s">
        <v>93</v>
      </c>
      <c r="F42" s="40" t="s">
        <v>94</v>
      </c>
      <c r="G42" s="38" t="s">
        <v>95</v>
      </c>
      <c r="H42" s="38" t="s">
        <v>96</v>
      </c>
      <c r="I42" s="40" t="s">
        <v>97</v>
      </c>
      <c r="J42" s="40" t="s">
        <v>98</v>
      </c>
      <c r="K42" s="41" t="s">
        <v>99</v>
      </c>
      <c r="L42" s="41" t="s">
        <v>100</v>
      </c>
      <c r="M42" s="41" t="s">
        <v>101</v>
      </c>
      <c r="N42" s="38" t="s">
        <v>102</v>
      </c>
      <c r="O42" s="38" t="s">
        <v>103</v>
      </c>
      <c r="P42" s="41" t="s">
        <v>104</v>
      </c>
      <c r="Q42" s="38" t="s">
        <v>105</v>
      </c>
      <c r="R42" s="38" t="s">
        <v>106</v>
      </c>
      <c r="S42" s="42" t="s">
        <v>107</v>
      </c>
      <c r="T42" s="40" t="s">
        <v>108</v>
      </c>
      <c r="U42" s="38" t="s">
        <v>109</v>
      </c>
      <c r="V42" s="43" t="s">
        <v>110</v>
      </c>
      <c r="W42" s="41" t="s">
        <v>111</v>
      </c>
      <c r="X42" s="38" t="s">
        <v>112</v>
      </c>
      <c r="Y42" s="44" t="s">
        <v>113</v>
      </c>
      <c r="Z42" s="44" t="s">
        <v>114</v>
      </c>
      <c r="AA42" s="44" t="s">
        <v>115</v>
      </c>
      <c r="AB42" s="44" t="s">
        <v>116</v>
      </c>
      <c r="AC42" s="44" t="s">
        <v>117</v>
      </c>
      <c r="AD42" s="44" t="s">
        <v>118</v>
      </c>
      <c r="AE42" s="44" t="s">
        <v>119</v>
      </c>
      <c r="AF42" s="44" t="s">
        <v>120</v>
      </c>
      <c r="AG42" s="45" t="s">
        <v>73</v>
      </c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</row>
    <row r="43" ht="25.5" customHeight="1">
      <c r="A43" s="45">
        <v>1.0</v>
      </c>
      <c r="B43" s="46" t="s">
        <v>61</v>
      </c>
      <c r="C43" s="14"/>
      <c r="D43" s="45">
        <v>1336.0</v>
      </c>
      <c r="E43" s="45">
        <v>790.0</v>
      </c>
      <c r="F43" s="45">
        <v>675.0</v>
      </c>
      <c r="G43" s="45">
        <v>300.0</v>
      </c>
      <c r="H43" s="45">
        <v>380.0</v>
      </c>
      <c r="I43" s="45">
        <v>319.0</v>
      </c>
      <c r="J43" s="45"/>
      <c r="K43" s="45">
        <v>726.0</v>
      </c>
      <c r="L43" s="45"/>
      <c r="M43" s="45">
        <v>264.0</v>
      </c>
      <c r="N43" s="45">
        <v>245.0</v>
      </c>
      <c r="O43" s="45"/>
      <c r="P43" s="45">
        <v>50.0</v>
      </c>
      <c r="Q43" s="45">
        <v>675.0</v>
      </c>
      <c r="R43" s="45"/>
      <c r="S43" s="45">
        <v>119.0</v>
      </c>
      <c r="T43" s="45">
        <v>390.0</v>
      </c>
      <c r="U43" s="45">
        <v>401.0</v>
      </c>
      <c r="V43" s="45"/>
      <c r="W43" s="45">
        <v>286.0</v>
      </c>
      <c r="X43" s="45"/>
      <c r="Y43" s="45"/>
      <c r="Z43" s="45">
        <v>74.0</v>
      </c>
      <c r="AA43" s="47"/>
      <c r="AB43" s="45">
        <v>20.0</v>
      </c>
      <c r="AC43" s="45">
        <v>50.0</v>
      </c>
      <c r="AD43" s="45"/>
      <c r="AE43" s="45"/>
      <c r="AF43" s="45"/>
      <c r="AG43" s="45">
        <f t="shared" ref="AG43:AG55" si="5">SUM(D43:AF43)</f>
        <v>7100</v>
      </c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</row>
    <row r="44" ht="25.5" customHeight="1">
      <c r="A44" s="45">
        <v>2.0</v>
      </c>
      <c r="B44" s="46" t="s">
        <v>62</v>
      </c>
      <c r="C44" s="14"/>
      <c r="D44" s="45">
        <v>540.0</v>
      </c>
      <c r="E44" s="45">
        <v>680.0</v>
      </c>
      <c r="F44" s="45">
        <v>620.0</v>
      </c>
      <c r="G44" s="45"/>
      <c r="H44" s="45">
        <v>100.0</v>
      </c>
      <c r="I44" s="45">
        <v>170.0</v>
      </c>
      <c r="J44" s="45"/>
      <c r="K44" s="45">
        <v>468.0</v>
      </c>
      <c r="L44" s="45"/>
      <c r="M44" s="45">
        <v>242.0</v>
      </c>
      <c r="N44" s="45">
        <v>225.0</v>
      </c>
      <c r="O44" s="45"/>
      <c r="P44" s="45">
        <v>50.0</v>
      </c>
      <c r="Q44" s="45">
        <v>395.0</v>
      </c>
      <c r="R44" s="45"/>
      <c r="S44" s="45">
        <v>230.0</v>
      </c>
      <c r="T44" s="45">
        <v>460.0</v>
      </c>
      <c r="U44" s="45"/>
      <c r="V44" s="45">
        <v>130.0</v>
      </c>
      <c r="W44" s="45">
        <v>45.0</v>
      </c>
      <c r="X44" s="45"/>
      <c r="Y44" s="45"/>
      <c r="Z44" s="45">
        <v>140.0</v>
      </c>
      <c r="AA44" s="47"/>
      <c r="AB44" s="45"/>
      <c r="AC44" s="45">
        <v>20.0</v>
      </c>
      <c r="AD44" s="45"/>
      <c r="AE44" s="45"/>
      <c r="AF44" s="45"/>
      <c r="AG44" s="45">
        <f t="shared" si="5"/>
        <v>4515</v>
      </c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</row>
    <row r="45" ht="25.5" customHeight="1">
      <c r="A45" s="45">
        <v>3.0</v>
      </c>
      <c r="B45" s="46" t="s">
        <v>63</v>
      </c>
      <c r="C45" s="14"/>
      <c r="D45" s="45">
        <v>1113.0</v>
      </c>
      <c r="E45" s="45">
        <v>975.0</v>
      </c>
      <c r="F45" s="45">
        <v>850.0</v>
      </c>
      <c r="G45" s="45"/>
      <c r="H45" s="45">
        <v>275.0</v>
      </c>
      <c r="I45" s="45">
        <v>661.0</v>
      </c>
      <c r="J45" s="45">
        <v>105.0</v>
      </c>
      <c r="K45" s="45">
        <v>606.0</v>
      </c>
      <c r="L45" s="45"/>
      <c r="M45" s="45">
        <v>246.0</v>
      </c>
      <c r="N45" s="45">
        <v>255.0</v>
      </c>
      <c r="O45" s="45"/>
      <c r="P45" s="45">
        <v>68.0</v>
      </c>
      <c r="Q45" s="45">
        <v>465.0</v>
      </c>
      <c r="R45" s="45"/>
      <c r="S45" s="45">
        <v>245.0</v>
      </c>
      <c r="T45" s="45">
        <v>480.0</v>
      </c>
      <c r="U45" s="45">
        <v>100.0</v>
      </c>
      <c r="V45" s="45">
        <v>363.0</v>
      </c>
      <c r="W45" s="45">
        <v>135.0</v>
      </c>
      <c r="X45" s="45">
        <v>140.0</v>
      </c>
      <c r="Y45" s="45"/>
      <c r="Z45" s="45">
        <v>50.0</v>
      </c>
      <c r="AA45" s="47"/>
      <c r="AB45" s="45">
        <v>10.0</v>
      </c>
      <c r="AC45" s="45"/>
      <c r="AD45" s="45"/>
      <c r="AE45" s="45"/>
      <c r="AF45" s="45"/>
      <c r="AG45" s="45">
        <f t="shared" si="5"/>
        <v>7142</v>
      </c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</row>
    <row r="46" ht="25.5" customHeight="1">
      <c r="A46" s="45">
        <v>4.0</v>
      </c>
      <c r="B46" s="46" t="s">
        <v>64</v>
      </c>
      <c r="C46" s="14"/>
      <c r="D46" s="45">
        <v>1350.0</v>
      </c>
      <c r="E46" s="45">
        <v>1565.0</v>
      </c>
      <c r="F46" s="45">
        <v>715.0</v>
      </c>
      <c r="G46" s="45">
        <v>380.0</v>
      </c>
      <c r="H46" s="45">
        <v>275.0</v>
      </c>
      <c r="I46" s="45">
        <v>571.0</v>
      </c>
      <c r="J46" s="45">
        <v>165.0</v>
      </c>
      <c r="K46" s="45">
        <v>800.0</v>
      </c>
      <c r="L46" s="45"/>
      <c r="M46" s="45">
        <v>530.0</v>
      </c>
      <c r="N46" s="45">
        <v>345.0</v>
      </c>
      <c r="O46" s="45"/>
      <c r="P46" s="45">
        <v>140.0</v>
      </c>
      <c r="Q46" s="45">
        <v>1320.0</v>
      </c>
      <c r="R46" s="45"/>
      <c r="S46" s="45">
        <v>435.0</v>
      </c>
      <c r="T46" s="45">
        <v>1005.0</v>
      </c>
      <c r="U46" s="45">
        <v>295.0</v>
      </c>
      <c r="V46" s="45">
        <v>102.0</v>
      </c>
      <c r="W46" s="45">
        <v>345.0</v>
      </c>
      <c r="X46" s="45">
        <v>110.0</v>
      </c>
      <c r="Y46" s="45"/>
      <c r="Z46" s="45">
        <v>130.0</v>
      </c>
      <c r="AA46" s="47"/>
      <c r="AB46" s="45">
        <v>65.0</v>
      </c>
      <c r="AC46" s="45">
        <v>190.0</v>
      </c>
      <c r="AD46" s="45"/>
      <c r="AE46" s="45"/>
      <c r="AF46" s="45"/>
      <c r="AG46" s="45">
        <f t="shared" si="5"/>
        <v>10833</v>
      </c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</row>
    <row r="47" ht="26.25" customHeight="1">
      <c r="A47" s="45">
        <v>5.0</v>
      </c>
      <c r="B47" s="48" t="s">
        <v>65</v>
      </c>
      <c r="C47" s="14"/>
      <c r="D47" s="49">
        <v>1690.0</v>
      </c>
      <c r="E47" s="49">
        <v>1530.0</v>
      </c>
      <c r="F47" s="49">
        <v>862.0</v>
      </c>
      <c r="G47" s="49">
        <v>450.0</v>
      </c>
      <c r="H47" s="49">
        <v>630.0</v>
      </c>
      <c r="I47" s="49"/>
      <c r="J47" s="49">
        <v>97.0</v>
      </c>
      <c r="K47" s="49">
        <v>784.0</v>
      </c>
      <c r="L47" s="49"/>
      <c r="M47" s="49">
        <v>494.0</v>
      </c>
      <c r="N47" s="49">
        <v>694.0</v>
      </c>
      <c r="O47" s="49"/>
      <c r="P47" s="49">
        <v>110.0</v>
      </c>
      <c r="Q47" s="49">
        <v>615.0</v>
      </c>
      <c r="R47" s="49"/>
      <c r="S47" s="49">
        <v>500.0</v>
      </c>
      <c r="T47" s="49">
        <v>995.0</v>
      </c>
      <c r="U47" s="49">
        <v>300.0</v>
      </c>
      <c r="V47" s="49">
        <v>350.0</v>
      </c>
      <c r="W47" s="49">
        <v>505.0</v>
      </c>
      <c r="X47" s="49">
        <v>60.0</v>
      </c>
      <c r="Y47" s="49"/>
      <c r="Z47" s="49">
        <v>150.0</v>
      </c>
      <c r="AA47" s="50"/>
      <c r="AB47" s="49">
        <v>40.0</v>
      </c>
      <c r="AC47" s="49"/>
      <c r="AD47" s="49"/>
      <c r="AE47" s="49"/>
      <c r="AF47" s="49"/>
      <c r="AG47" s="45">
        <f t="shared" si="5"/>
        <v>10856</v>
      </c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</row>
    <row r="48" ht="25.5" customHeight="1">
      <c r="A48" s="45">
        <v>6.0</v>
      </c>
      <c r="B48" s="46" t="s">
        <v>66</v>
      </c>
      <c r="C48" s="14"/>
      <c r="D48" s="45">
        <f>60+40+100+50+100+100+50+30+30+30+30+50+50+40+10+50+40+60</f>
        <v>920</v>
      </c>
      <c r="E48" s="45">
        <f>5+95+100+100+70+65+50+20+50+100+50+20+50+50+30+50+50+50+50+50+50+50</f>
        <v>1205</v>
      </c>
      <c r="F48" s="45">
        <f>65+65+20+28+82+130+50+25+105+40+30+10+28+7+40+53+7+15+70+50+25+33+32+15+25+96+70+62+18+40+42+28+100</f>
        <v>1506</v>
      </c>
      <c r="G48" s="45">
        <f>50+20+30+50</f>
        <v>150</v>
      </c>
      <c r="H48" s="45">
        <f>20+50+50+20</f>
        <v>140</v>
      </c>
      <c r="I48" s="45">
        <f>90+10+50+25+30+20+4+100+46+100+30+24+60+40+30+30+40+40</f>
        <v>769</v>
      </c>
      <c r="J48" s="45"/>
      <c r="K48" s="45">
        <f>100+65+50+25+75+1+29+60+40+25+35+11+25+15+55+5+15+40+30+15+35+45+15+25+85+15+15+30</f>
        <v>981</v>
      </c>
      <c r="L48" s="45"/>
      <c r="M48" s="45">
        <f>50+30+50</f>
        <v>130</v>
      </c>
      <c r="N48" s="45">
        <f>20+61+50</f>
        <v>131</v>
      </c>
      <c r="O48" s="45"/>
      <c r="P48" s="45">
        <f>50+10+40</f>
        <v>100</v>
      </c>
      <c r="Q48" s="45">
        <f>65+20+95+30+15+65+25+20+20+18+20</f>
        <v>393</v>
      </c>
      <c r="R48" s="45"/>
      <c r="S48" s="45">
        <f>60+25+25</f>
        <v>110</v>
      </c>
      <c r="T48" s="45">
        <f>50+20+30+50+10+30+60+40+25+55+20+30+20+30+20+30+50</f>
        <v>570</v>
      </c>
      <c r="U48" s="45"/>
      <c r="V48" s="45">
        <f>50+50+50+20+30+30+50+30+40+20+20</f>
        <v>390</v>
      </c>
      <c r="W48" s="45">
        <f>30+20+10+20+20+20+30+30+30+40</f>
        <v>250</v>
      </c>
      <c r="X48" s="45"/>
      <c r="Y48" s="45"/>
      <c r="Z48" s="45">
        <f>20+20+20+30+10+10+20</f>
        <v>130</v>
      </c>
      <c r="AA48" s="47"/>
      <c r="AB48" s="45">
        <f>30+5+10</f>
        <v>45</v>
      </c>
      <c r="AC48" s="45">
        <v>10.0</v>
      </c>
      <c r="AD48" s="45"/>
      <c r="AE48" s="45"/>
      <c r="AF48" s="45"/>
      <c r="AG48" s="45">
        <f t="shared" si="5"/>
        <v>7930</v>
      </c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</row>
    <row r="49" ht="25.5" customHeight="1">
      <c r="A49" s="45">
        <v>7.0</v>
      </c>
      <c r="B49" s="46" t="s">
        <v>67</v>
      </c>
      <c r="C49" s="14"/>
      <c r="D49" s="45">
        <v>690.0</v>
      </c>
      <c r="E49" s="45">
        <v>730.0</v>
      </c>
      <c r="F49" s="45">
        <v>1042.0</v>
      </c>
      <c r="G49" s="45">
        <v>180.0</v>
      </c>
      <c r="H49" s="45">
        <v>230.0</v>
      </c>
      <c r="I49" s="45">
        <v>340.0</v>
      </c>
      <c r="J49" s="45"/>
      <c r="K49" s="45">
        <v>780.0</v>
      </c>
      <c r="L49" s="45"/>
      <c r="M49" s="45">
        <v>150.0</v>
      </c>
      <c r="N49" s="45">
        <v>150.0</v>
      </c>
      <c r="O49" s="45"/>
      <c r="P49" s="45">
        <v>70.0</v>
      </c>
      <c r="Q49" s="45">
        <v>900.0</v>
      </c>
      <c r="R49" s="45"/>
      <c r="S49" s="45">
        <v>125.0</v>
      </c>
      <c r="T49" s="45">
        <v>430.0</v>
      </c>
      <c r="U49" s="45">
        <v>100.0</v>
      </c>
      <c r="V49" s="45">
        <v>160.0</v>
      </c>
      <c r="W49" s="45">
        <v>60.0</v>
      </c>
      <c r="X49" s="45">
        <v>20.0</v>
      </c>
      <c r="Y49" s="45"/>
      <c r="Z49" s="45">
        <v>60.0</v>
      </c>
      <c r="AA49" s="47"/>
      <c r="AB49" s="45">
        <v>20.0</v>
      </c>
      <c r="AC49" s="45">
        <v>20.0</v>
      </c>
      <c r="AD49" s="45"/>
      <c r="AE49" s="45"/>
      <c r="AF49" s="45"/>
      <c r="AG49" s="45">
        <f t="shared" si="5"/>
        <v>6257</v>
      </c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</row>
    <row r="50" ht="25.5" customHeight="1">
      <c r="A50" s="45">
        <v>8.0</v>
      </c>
      <c r="B50" s="46" t="s">
        <v>68</v>
      </c>
      <c r="C50" s="14"/>
      <c r="D50" s="45">
        <f>517+200</f>
        <v>717</v>
      </c>
      <c r="E50" s="45">
        <f>670+200</f>
        <v>870</v>
      </c>
      <c r="F50" s="45">
        <v>730.0</v>
      </c>
      <c r="G50" s="45">
        <v>240.0</v>
      </c>
      <c r="H50" s="45">
        <v>250.0</v>
      </c>
      <c r="I50" s="45">
        <v>320.0</v>
      </c>
      <c r="J50" s="45">
        <v>103.0</v>
      </c>
      <c r="K50" s="45">
        <v>555.0</v>
      </c>
      <c r="L50" s="45"/>
      <c r="M50" s="45">
        <v>270.0</v>
      </c>
      <c r="N50" s="45">
        <v>200.0</v>
      </c>
      <c r="O50" s="45"/>
      <c r="P50" s="45">
        <v>130.0</v>
      </c>
      <c r="Q50" s="45">
        <v>400.0</v>
      </c>
      <c r="R50" s="45"/>
      <c r="S50" s="45">
        <v>230.0</v>
      </c>
      <c r="T50" s="45">
        <v>470.0</v>
      </c>
      <c r="U50" s="45">
        <v>5.0</v>
      </c>
      <c r="V50" s="45">
        <v>250.0</v>
      </c>
      <c r="W50" s="45">
        <v>140.0</v>
      </c>
      <c r="X50" s="45">
        <v>70.0</v>
      </c>
      <c r="Y50" s="45"/>
      <c r="Z50" s="45">
        <v>110.0</v>
      </c>
      <c r="AA50" s="45"/>
      <c r="AB50" s="45">
        <v>120.0</v>
      </c>
      <c r="AC50" s="45">
        <v>70.0</v>
      </c>
      <c r="AD50" s="45"/>
      <c r="AE50" s="45"/>
      <c r="AF50" s="45"/>
      <c r="AG50" s="45">
        <f t="shared" si="5"/>
        <v>6250</v>
      </c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</row>
    <row r="51" ht="17.25" customHeight="1">
      <c r="A51" s="45">
        <v>9.0</v>
      </c>
      <c r="B51" s="46" t="s">
        <v>69</v>
      </c>
      <c r="C51" s="14"/>
      <c r="D51" s="45">
        <f>650+450</f>
        <v>1100</v>
      </c>
      <c r="E51" s="45">
        <f>850+600</f>
        <v>1450</v>
      </c>
      <c r="F51" s="45">
        <f>900+740</f>
        <v>1640</v>
      </c>
      <c r="G51" s="45">
        <f>50+150</f>
        <v>200</v>
      </c>
      <c r="H51" s="45">
        <f>250+250</f>
        <v>500</v>
      </c>
      <c r="I51" s="45">
        <f>350+370</f>
        <v>720</v>
      </c>
      <c r="J51" s="45">
        <f>50+70</f>
        <v>120</v>
      </c>
      <c r="K51" s="45">
        <f>760+690</f>
        <v>1450</v>
      </c>
      <c r="L51" s="45"/>
      <c r="M51" s="45">
        <f>275+205</f>
        <v>480</v>
      </c>
      <c r="N51" s="45">
        <f>200+150</f>
        <v>350</v>
      </c>
      <c r="O51" s="45"/>
      <c r="P51" s="45"/>
      <c r="Q51" s="45">
        <v>400.0</v>
      </c>
      <c r="R51" s="45"/>
      <c r="S51" s="45">
        <f>200+100</f>
        <v>300</v>
      </c>
      <c r="T51" s="45">
        <f>400+350</f>
        <v>750</v>
      </c>
      <c r="U51" s="45">
        <f>100+70</f>
        <v>170</v>
      </c>
      <c r="V51" s="45">
        <f>40+160</f>
        <v>200</v>
      </c>
      <c r="W51" s="45">
        <f>45+180</f>
        <v>225</v>
      </c>
      <c r="X51" s="45">
        <v>30.0</v>
      </c>
      <c r="Y51" s="45"/>
      <c r="Z51" s="45">
        <f>50+50</f>
        <v>100</v>
      </c>
      <c r="AA51" s="47"/>
      <c r="AB51" s="45">
        <v>20.0</v>
      </c>
      <c r="AC51" s="45">
        <v>40.0</v>
      </c>
      <c r="AD51" s="45"/>
      <c r="AE51" s="45"/>
      <c r="AF51" s="45"/>
      <c r="AG51" s="45">
        <f t="shared" si="5"/>
        <v>10245</v>
      </c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</row>
    <row r="52" ht="25.5" customHeight="1">
      <c r="A52" s="54">
        <v>10.0</v>
      </c>
      <c r="B52" s="55" t="s">
        <v>70</v>
      </c>
      <c r="C52" s="49"/>
      <c r="D52" s="49">
        <v>600.0</v>
      </c>
      <c r="E52" s="49">
        <v>700.0</v>
      </c>
      <c r="F52" s="49">
        <v>700.0</v>
      </c>
      <c r="G52" s="49"/>
      <c r="H52" s="49">
        <v>200.0</v>
      </c>
      <c r="I52" s="49">
        <v>200.0</v>
      </c>
      <c r="J52" s="49">
        <v>30.0</v>
      </c>
      <c r="K52" s="49">
        <v>400.0</v>
      </c>
      <c r="L52" s="49"/>
      <c r="M52" s="49">
        <v>200.0</v>
      </c>
      <c r="N52" s="49">
        <v>200.0</v>
      </c>
      <c r="O52" s="49"/>
      <c r="P52" s="49"/>
      <c r="Q52" s="49">
        <v>1100.0</v>
      </c>
      <c r="R52" s="49"/>
      <c r="S52" s="49">
        <v>130.0</v>
      </c>
      <c r="T52" s="49">
        <v>510.0</v>
      </c>
      <c r="U52" s="49">
        <v>80.0</v>
      </c>
      <c r="V52" s="49">
        <v>200.0</v>
      </c>
      <c r="W52" s="49">
        <v>104.0</v>
      </c>
      <c r="X52" s="49">
        <v>100.0</v>
      </c>
      <c r="Y52" s="49"/>
      <c r="Z52" s="49">
        <v>200.0</v>
      </c>
      <c r="AA52" s="49"/>
      <c r="AB52" s="49"/>
      <c r="AC52" s="49">
        <v>20.0</v>
      </c>
      <c r="AD52" s="49"/>
      <c r="AE52" s="49"/>
      <c r="AF52" s="49"/>
      <c r="AG52" s="45">
        <f t="shared" si="5"/>
        <v>5674</v>
      </c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</row>
    <row r="53" ht="25.5" customHeight="1">
      <c r="A53" s="23"/>
      <c r="B53" s="56"/>
      <c r="C53" s="57" t="s">
        <v>80</v>
      </c>
      <c r="D53" s="57">
        <v>201.0</v>
      </c>
      <c r="E53" s="57">
        <v>300.0</v>
      </c>
      <c r="F53" s="57">
        <v>229.0</v>
      </c>
      <c r="G53" s="57">
        <v>85.0</v>
      </c>
      <c r="H53" s="57">
        <v>81.0</v>
      </c>
      <c r="I53" s="57">
        <v>62.0</v>
      </c>
      <c r="J53" s="57">
        <v>5.0</v>
      </c>
      <c r="K53" s="57">
        <v>260.0</v>
      </c>
      <c r="L53" s="57"/>
      <c r="M53" s="57">
        <v>42.0</v>
      </c>
      <c r="N53" s="57">
        <v>44.0</v>
      </c>
      <c r="O53" s="57"/>
      <c r="P53" s="57">
        <v>20.0</v>
      </c>
      <c r="Q53" s="57">
        <v>61.0</v>
      </c>
      <c r="R53" s="57"/>
      <c r="S53" s="57">
        <v>52.0</v>
      </c>
      <c r="T53" s="57">
        <v>42.0</v>
      </c>
      <c r="U53" s="57">
        <v>38.0</v>
      </c>
      <c r="V53" s="57">
        <v>36.0</v>
      </c>
      <c r="W53" s="57">
        <v>115.0</v>
      </c>
      <c r="X53" s="57">
        <v>10.0</v>
      </c>
      <c r="Y53" s="57"/>
      <c r="Z53" s="57">
        <v>39.0</v>
      </c>
      <c r="AA53" s="57"/>
      <c r="AB53" s="57">
        <v>7.0</v>
      </c>
      <c r="AC53" s="57">
        <v>3.0</v>
      </c>
      <c r="AD53" s="57"/>
      <c r="AE53" s="57"/>
      <c r="AF53" s="57"/>
      <c r="AG53" s="57">
        <f t="shared" si="5"/>
        <v>1732</v>
      </c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</row>
    <row r="54" ht="25.5" customHeight="1">
      <c r="A54" s="45">
        <v>11.0</v>
      </c>
      <c r="B54" s="46" t="s">
        <v>71</v>
      </c>
      <c r="C54" s="14"/>
      <c r="D54" s="45">
        <v>1500.0</v>
      </c>
      <c r="E54" s="45">
        <v>1814.0</v>
      </c>
      <c r="F54" s="45">
        <v>1600.0</v>
      </c>
      <c r="G54" s="45">
        <v>300.0</v>
      </c>
      <c r="H54" s="45">
        <v>450.0</v>
      </c>
      <c r="I54" s="45">
        <v>480.0</v>
      </c>
      <c r="J54" s="45">
        <v>100.0</v>
      </c>
      <c r="K54" s="45">
        <v>1500.0</v>
      </c>
      <c r="L54" s="45"/>
      <c r="M54" s="45">
        <v>250.0</v>
      </c>
      <c r="N54" s="45">
        <v>408.0</v>
      </c>
      <c r="O54" s="45"/>
      <c r="P54" s="45"/>
      <c r="Q54" s="45">
        <v>1190.0</v>
      </c>
      <c r="R54" s="45"/>
      <c r="S54" s="45">
        <v>400.0</v>
      </c>
      <c r="T54" s="45">
        <v>1150.0</v>
      </c>
      <c r="U54" s="45">
        <v>200.0</v>
      </c>
      <c r="V54" s="45">
        <v>351.0</v>
      </c>
      <c r="W54" s="45">
        <v>170.0</v>
      </c>
      <c r="X54" s="45">
        <v>100.0</v>
      </c>
      <c r="Y54" s="45"/>
      <c r="Z54" s="45">
        <v>200.0</v>
      </c>
      <c r="AA54" s="45"/>
      <c r="AB54" s="45">
        <v>30.0</v>
      </c>
      <c r="AC54" s="45">
        <v>70.0</v>
      </c>
      <c r="AD54" s="45"/>
      <c r="AE54" s="45"/>
      <c r="AF54" s="45"/>
      <c r="AG54" s="45">
        <f t="shared" si="5"/>
        <v>12263</v>
      </c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</row>
    <row r="55" ht="25.5" customHeight="1">
      <c r="A55" s="45">
        <v>12.0</v>
      </c>
      <c r="B55" s="46" t="s">
        <v>72</v>
      </c>
      <c r="C55" s="14"/>
      <c r="D55" s="45">
        <v>1400.0</v>
      </c>
      <c r="E55" s="45">
        <v>1450.0</v>
      </c>
      <c r="F55" s="45">
        <v>1550.0</v>
      </c>
      <c r="G55" s="45">
        <v>928.0</v>
      </c>
      <c r="H55" s="45">
        <v>400.0</v>
      </c>
      <c r="I55" s="45">
        <v>770.0</v>
      </c>
      <c r="J55" s="45">
        <v>100.0</v>
      </c>
      <c r="K55" s="45">
        <v>1147.0</v>
      </c>
      <c r="L55" s="45"/>
      <c r="M55" s="45">
        <v>400.0</v>
      </c>
      <c r="N55" s="45">
        <v>359.0</v>
      </c>
      <c r="O55" s="45"/>
      <c r="P55" s="45">
        <v>200.0</v>
      </c>
      <c r="Q55" s="45">
        <v>1370.0</v>
      </c>
      <c r="R55" s="45"/>
      <c r="S55" s="45">
        <v>250.0</v>
      </c>
      <c r="T55" s="45">
        <v>1028.0</v>
      </c>
      <c r="U55" s="45">
        <v>150.0</v>
      </c>
      <c r="V55" s="45">
        <v>500.0</v>
      </c>
      <c r="W55" s="45">
        <v>130.0</v>
      </c>
      <c r="X55" s="45">
        <v>60.0</v>
      </c>
      <c r="Y55" s="45"/>
      <c r="Z55" s="45">
        <v>180.0</v>
      </c>
      <c r="AA55" s="47"/>
      <c r="AB55" s="45">
        <v>70.0</v>
      </c>
      <c r="AC55" s="45">
        <v>50.0</v>
      </c>
      <c r="AD55" s="45"/>
      <c r="AE55" s="45"/>
      <c r="AF55" s="45">
        <v>700.0</v>
      </c>
      <c r="AG55" s="45">
        <f t="shared" si="5"/>
        <v>13192</v>
      </c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</row>
    <row r="56" ht="25.5" customHeight="1">
      <c r="A56" s="30" t="s">
        <v>73</v>
      </c>
      <c r="B56" s="15"/>
      <c r="C56" s="14"/>
      <c r="D56" s="47">
        <f t="shared" ref="D56:AG56" si="6">SUM(D43:D55)</f>
        <v>13157</v>
      </c>
      <c r="E56" s="47">
        <f t="shared" si="6"/>
        <v>14059</v>
      </c>
      <c r="F56" s="47">
        <f t="shared" si="6"/>
        <v>12719</v>
      </c>
      <c r="G56" s="47">
        <f t="shared" si="6"/>
        <v>3213</v>
      </c>
      <c r="H56" s="47">
        <f t="shared" si="6"/>
        <v>3911</v>
      </c>
      <c r="I56" s="47">
        <f t="shared" si="6"/>
        <v>5382</v>
      </c>
      <c r="J56" s="47">
        <f t="shared" si="6"/>
        <v>825</v>
      </c>
      <c r="K56" s="47">
        <f t="shared" si="6"/>
        <v>10457</v>
      </c>
      <c r="L56" s="47">
        <f t="shared" si="6"/>
        <v>0</v>
      </c>
      <c r="M56" s="47">
        <f t="shared" si="6"/>
        <v>3698</v>
      </c>
      <c r="N56" s="47">
        <f t="shared" si="6"/>
        <v>3606</v>
      </c>
      <c r="O56" s="47">
        <f t="shared" si="6"/>
        <v>0</v>
      </c>
      <c r="P56" s="47">
        <f t="shared" si="6"/>
        <v>938</v>
      </c>
      <c r="Q56" s="47">
        <f t="shared" si="6"/>
        <v>9284</v>
      </c>
      <c r="R56" s="47">
        <f t="shared" si="6"/>
        <v>0</v>
      </c>
      <c r="S56" s="47">
        <f t="shared" si="6"/>
        <v>3126</v>
      </c>
      <c r="T56" s="47">
        <f t="shared" si="6"/>
        <v>8280</v>
      </c>
      <c r="U56" s="47">
        <f t="shared" si="6"/>
        <v>1839</v>
      </c>
      <c r="V56" s="47">
        <f t="shared" si="6"/>
        <v>3032</v>
      </c>
      <c r="W56" s="47">
        <f t="shared" si="6"/>
        <v>2510</v>
      </c>
      <c r="X56" s="47">
        <f t="shared" si="6"/>
        <v>700</v>
      </c>
      <c r="Y56" s="47">
        <f t="shared" si="6"/>
        <v>0</v>
      </c>
      <c r="Z56" s="47">
        <f t="shared" si="6"/>
        <v>1563</v>
      </c>
      <c r="AA56" s="47">
        <f t="shared" si="6"/>
        <v>0</v>
      </c>
      <c r="AB56" s="47">
        <f t="shared" si="6"/>
        <v>447</v>
      </c>
      <c r="AC56" s="47">
        <f t="shared" si="6"/>
        <v>543</v>
      </c>
      <c r="AD56" s="47">
        <f t="shared" si="6"/>
        <v>0</v>
      </c>
      <c r="AE56" s="47">
        <f t="shared" si="6"/>
        <v>0</v>
      </c>
      <c r="AF56" s="47">
        <f t="shared" si="6"/>
        <v>700</v>
      </c>
      <c r="AG56" s="47">
        <f t="shared" si="6"/>
        <v>103989</v>
      </c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</row>
    <row r="57" ht="15.0" customHeight="1">
      <c r="A57" s="35"/>
      <c r="B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</row>
    <row r="58" ht="15.0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</row>
    <row r="59" ht="25.5" customHeight="1">
      <c r="A59" s="35"/>
      <c r="B59" s="28" t="s">
        <v>125</v>
      </c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</row>
    <row r="60" ht="13.5" customHeight="1">
      <c r="A60" s="35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5"/>
      <c r="P60" s="35"/>
      <c r="Q60" s="35"/>
      <c r="R60" s="37"/>
      <c r="S60" s="37"/>
      <c r="T60" s="59"/>
      <c r="U60" s="59"/>
      <c r="V60" s="59"/>
      <c r="W60" s="59"/>
      <c r="X60" s="59"/>
      <c r="Y60" s="59"/>
      <c r="Z60" s="59"/>
      <c r="AA60" s="59"/>
      <c r="AB60" s="36"/>
      <c r="AC60" s="37" t="s">
        <v>91</v>
      </c>
      <c r="AD60" s="5"/>
      <c r="AE60" s="5"/>
      <c r="AF60" s="5"/>
      <c r="AG60" s="5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</row>
    <row r="61" ht="163.5" customHeight="1">
      <c r="A61" s="38" t="s">
        <v>2</v>
      </c>
      <c r="B61" s="40" t="s">
        <v>3</v>
      </c>
      <c r="C61" s="14"/>
      <c r="D61" s="38" t="s">
        <v>92</v>
      </c>
      <c r="E61" s="40" t="s">
        <v>93</v>
      </c>
      <c r="F61" s="40" t="s">
        <v>94</v>
      </c>
      <c r="G61" s="38" t="s">
        <v>95</v>
      </c>
      <c r="H61" s="38" t="s">
        <v>96</v>
      </c>
      <c r="I61" s="40" t="s">
        <v>97</v>
      </c>
      <c r="J61" s="40" t="s">
        <v>98</v>
      </c>
      <c r="K61" s="41" t="s">
        <v>99</v>
      </c>
      <c r="L61" s="41" t="s">
        <v>100</v>
      </c>
      <c r="M61" s="41" t="s">
        <v>101</v>
      </c>
      <c r="N61" s="38" t="s">
        <v>102</v>
      </c>
      <c r="O61" s="38" t="s">
        <v>103</v>
      </c>
      <c r="P61" s="41" t="s">
        <v>104</v>
      </c>
      <c r="Q61" s="38" t="s">
        <v>105</v>
      </c>
      <c r="R61" s="38" t="s">
        <v>106</v>
      </c>
      <c r="S61" s="42" t="s">
        <v>107</v>
      </c>
      <c r="T61" s="40" t="s">
        <v>108</v>
      </c>
      <c r="U61" s="38" t="s">
        <v>109</v>
      </c>
      <c r="V61" s="43" t="s">
        <v>110</v>
      </c>
      <c r="W61" s="41" t="s">
        <v>111</v>
      </c>
      <c r="X61" s="38" t="s">
        <v>112</v>
      </c>
      <c r="Y61" s="44" t="s">
        <v>113</v>
      </c>
      <c r="Z61" s="44" t="s">
        <v>114</v>
      </c>
      <c r="AA61" s="44" t="s">
        <v>115</v>
      </c>
      <c r="AB61" s="44" t="s">
        <v>116</v>
      </c>
      <c r="AC61" s="44" t="s">
        <v>117</v>
      </c>
      <c r="AD61" s="44" t="s">
        <v>118</v>
      </c>
      <c r="AE61" s="44" t="s">
        <v>119</v>
      </c>
      <c r="AF61" s="44" t="s">
        <v>120</v>
      </c>
      <c r="AG61" s="45" t="s">
        <v>73</v>
      </c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</row>
    <row r="62" ht="26.25" customHeight="1">
      <c r="A62" s="45">
        <v>1.0</v>
      </c>
      <c r="B62" s="46" t="s">
        <v>61</v>
      </c>
      <c r="C62" s="14"/>
      <c r="D62" s="45">
        <v>696.0</v>
      </c>
      <c r="E62" s="45">
        <v>385.0</v>
      </c>
      <c r="F62" s="45">
        <v>275.0</v>
      </c>
      <c r="G62" s="45"/>
      <c r="H62" s="45">
        <v>163.0</v>
      </c>
      <c r="I62" s="45">
        <v>216.0</v>
      </c>
      <c r="J62" s="45"/>
      <c r="K62" s="45">
        <v>658.0</v>
      </c>
      <c r="L62" s="45"/>
      <c r="M62" s="45">
        <v>165.0</v>
      </c>
      <c r="N62" s="45">
        <v>214.0</v>
      </c>
      <c r="O62" s="45"/>
      <c r="P62" s="45"/>
      <c r="Q62" s="45">
        <v>120.0</v>
      </c>
      <c r="R62" s="45"/>
      <c r="S62" s="45">
        <v>129.0</v>
      </c>
      <c r="T62" s="45">
        <v>125.0</v>
      </c>
      <c r="U62" s="45">
        <v>80.0</v>
      </c>
      <c r="V62" s="45"/>
      <c r="W62" s="45">
        <v>178.0</v>
      </c>
      <c r="X62" s="45"/>
      <c r="Y62" s="45"/>
      <c r="Z62" s="45"/>
      <c r="AA62" s="47"/>
      <c r="AB62" s="45">
        <v>50.0</v>
      </c>
      <c r="AC62" s="45">
        <v>50.0</v>
      </c>
      <c r="AD62" s="45"/>
      <c r="AE62" s="45"/>
      <c r="AF62" s="45"/>
      <c r="AG62" s="45">
        <f t="shared" ref="AG62:AG73" si="7">SUM(D62:AF62)</f>
        <v>3504</v>
      </c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</row>
    <row r="63" ht="26.25" customHeight="1">
      <c r="A63" s="45">
        <v>2.0</v>
      </c>
      <c r="B63" s="46" t="s">
        <v>62</v>
      </c>
      <c r="C63" s="14"/>
      <c r="D63" s="45">
        <v>200.0</v>
      </c>
      <c r="E63" s="45">
        <v>336.0</v>
      </c>
      <c r="F63" s="45">
        <v>400.0</v>
      </c>
      <c r="G63" s="45"/>
      <c r="H63" s="45">
        <v>107.0</v>
      </c>
      <c r="I63" s="45"/>
      <c r="J63" s="45"/>
      <c r="K63" s="45">
        <v>505.0</v>
      </c>
      <c r="L63" s="45"/>
      <c r="M63" s="45">
        <v>100.0</v>
      </c>
      <c r="N63" s="45">
        <v>20.0</v>
      </c>
      <c r="O63" s="45"/>
      <c r="P63" s="45"/>
      <c r="Q63" s="45">
        <v>400.0</v>
      </c>
      <c r="R63" s="45"/>
      <c r="S63" s="45">
        <v>125.0</v>
      </c>
      <c r="T63" s="45">
        <v>398.0</v>
      </c>
      <c r="U63" s="45">
        <v>100.0</v>
      </c>
      <c r="V63" s="45">
        <v>80.0</v>
      </c>
      <c r="W63" s="45">
        <v>42.0</v>
      </c>
      <c r="X63" s="45"/>
      <c r="Y63" s="45"/>
      <c r="Z63" s="45">
        <v>80.0</v>
      </c>
      <c r="AA63" s="47"/>
      <c r="AB63" s="45"/>
      <c r="AC63" s="45"/>
      <c r="AD63" s="45"/>
      <c r="AE63" s="45"/>
      <c r="AF63" s="45"/>
      <c r="AG63" s="45">
        <f t="shared" si="7"/>
        <v>2893</v>
      </c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</row>
    <row r="64" ht="17.25" customHeight="1">
      <c r="A64" s="45">
        <v>3.0</v>
      </c>
      <c r="B64" s="46" t="s">
        <v>63</v>
      </c>
      <c r="C64" s="14"/>
      <c r="D64" s="45">
        <v>200.0</v>
      </c>
      <c r="E64" s="45">
        <v>248.0</v>
      </c>
      <c r="F64" s="45">
        <v>200.0</v>
      </c>
      <c r="G64" s="45"/>
      <c r="H64" s="45">
        <v>50.0</v>
      </c>
      <c r="I64" s="45">
        <v>100.0</v>
      </c>
      <c r="J64" s="45"/>
      <c r="K64" s="45">
        <v>480.0</v>
      </c>
      <c r="L64" s="45"/>
      <c r="M64" s="45">
        <v>100.0</v>
      </c>
      <c r="N64" s="45"/>
      <c r="O64" s="45"/>
      <c r="P64" s="45"/>
      <c r="Q64" s="45">
        <v>150.0</v>
      </c>
      <c r="R64" s="45"/>
      <c r="S64" s="45"/>
      <c r="T64" s="45">
        <v>100.0</v>
      </c>
      <c r="U64" s="45"/>
      <c r="V64" s="45">
        <v>174.0</v>
      </c>
      <c r="W64" s="45"/>
      <c r="X64" s="45">
        <v>30.0</v>
      </c>
      <c r="Y64" s="45"/>
      <c r="Z64" s="45"/>
      <c r="AA64" s="47"/>
      <c r="AB64" s="45"/>
      <c r="AC64" s="45"/>
      <c r="AD64" s="45"/>
      <c r="AE64" s="45"/>
      <c r="AF64" s="45"/>
      <c r="AG64" s="45">
        <f t="shared" si="7"/>
        <v>1832</v>
      </c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</row>
    <row r="65" ht="17.25" customHeight="1">
      <c r="A65" s="45">
        <v>4.0</v>
      </c>
      <c r="B65" s="46" t="s">
        <v>64</v>
      </c>
      <c r="C65" s="14"/>
      <c r="D65" s="45">
        <v>500.0</v>
      </c>
      <c r="E65" s="45">
        <v>655.0</v>
      </c>
      <c r="F65" s="45">
        <v>70.0</v>
      </c>
      <c r="G65" s="45"/>
      <c r="H65" s="45">
        <v>100.0</v>
      </c>
      <c r="I65" s="45">
        <v>150.0</v>
      </c>
      <c r="J65" s="45"/>
      <c r="K65" s="45">
        <v>580.0</v>
      </c>
      <c r="L65" s="45"/>
      <c r="M65" s="45"/>
      <c r="N65" s="45">
        <v>45.0</v>
      </c>
      <c r="O65" s="45"/>
      <c r="P65" s="45">
        <v>50.0</v>
      </c>
      <c r="Q65" s="45">
        <v>280.0</v>
      </c>
      <c r="R65" s="45"/>
      <c r="S65" s="45">
        <v>200.0</v>
      </c>
      <c r="T65" s="45">
        <v>390.0</v>
      </c>
      <c r="U65" s="45">
        <v>200.0</v>
      </c>
      <c r="V65" s="45"/>
      <c r="W65" s="45">
        <v>175.0</v>
      </c>
      <c r="X65" s="45">
        <v>50.0</v>
      </c>
      <c r="Y65" s="45"/>
      <c r="Z65" s="45">
        <v>50.0</v>
      </c>
      <c r="AA65" s="47"/>
      <c r="AB65" s="45"/>
      <c r="AC65" s="45"/>
      <c r="AD65" s="45"/>
      <c r="AE65" s="45"/>
      <c r="AF65" s="45"/>
      <c r="AG65" s="45">
        <f t="shared" si="7"/>
        <v>3495</v>
      </c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</row>
    <row r="66" ht="17.25" customHeight="1">
      <c r="A66" s="45">
        <v>5.0</v>
      </c>
      <c r="B66" s="48" t="s">
        <v>65</v>
      </c>
      <c r="C66" s="14"/>
      <c r="D66" s="49">
        <v>400.0</v>
      </c>
      <c r="E66" s="49">
        <v>297.0</v>
      </c>
      <c r="F66" s="49">
        <v>545.0</v>
      </c>
      <c r="G66" s="49">
        <v>70.0</v>
      </c>
      <c r="H66" s="49">
        <v>100.0</v>
      </c>
      <c r="I66" s="49"/>
      <c r="J66" s="49"/>
      <c r="K66" s="49">
        <v>430.0</v>
      </c>
      <c r="L66" s="49"/>
      <c r="M66" s="49">
        <v>150.0</v>
      </c>
      <c r="N66" s="49">
        <v>255.0</v>
      </c>
      <c r="O66" s="49"/>
      <c r="P66" s="49">
        <v>30.0</v>
      </c>
      <c r="Q66" s="49">
        <v>485.0</v>
      </c>
      <c r="R66" s="49"/>
      <c r="S66" s="49">
        <v>200.0</v>
      </c>
      <c r="T66" s="49">
        <v>345.0</v>
      </c>
      <c r="U66" s="49"/>
      <c r="V66" s="49"/>
      <c r="W66" s="49">
        <v>375.0</v>
      </c>
      <c r="X66" s="49"/>
      <c r="Y66" s="49"/>
      <c r="Z66" s="49"/>
      <c r="AA66" s="49"/>
      <c r="AB66" s="49"/>
      <c r="AC66" s="49"/>
      <c r="AD66" s="49"/>
      <c r="AE66" s="49"/>
      <c r="AF66" s="49"/>
      <c r="AG66" s="45">
        <f t="shared" si="7"/>
        <v>3682</v>
      </c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</row>
    <row r="67" ht="17.25" customHeight="1">
      <c r="A67" s="45">
        <v>6.0</v>
      </c>
      <c r="B67" s="46" t="s">
        <v>66</v>
      </c>
      <c r="C67" s="14"/>
      <c r="D67" s="45">
        <f>100+60+40+60</f>
        <v>260</v>
      </c>
      <c r="E67" s="45">
        <f>70+30+80+50+70</f>
        <v>300</v>
      </c>
      <c r="F67" s="45">
        <f>35+10+25+50+100+50+80+15+15+25+20+35+40+20+5+15+15+55+20+110+15</f>
        <v>755</v>
      </c>
      <c r="G67" s="45">
        <v>30.0</v>
      </c>
      <c r="H67" s="45">
        <v>100.0</v>
      </c>
      <c r="I67" s="45">
        <f>100+50+50+50</f>
        <v>250</v>
      </c>
      <c r="J67" s="45"/>
      <c r="K67" s="45">
        <f>5+35+70+5+15+25+70+100+20+35+20+15+25+40+60+15+10+30+10+45+40+20</f>
        <v>710</v>
      </c>
      <c r="L67" s="45"/>
      <c r="M67" s="45">
        <f>50+50</f>
        <v>100</v>
      </c>
      <c r="N67" s="45">
        <v>100.0</v>
      </c>
      <c r="O67" s="45"/>
      <c r="P67" s="45"/>
      <c r="Q67" s="45">
        <f>25+15+25+35+55+35+55+10+20</f>
        <v>275</v>
      </c>
      <c r="R67" s="45"/>
      <c r="S67" s="45"/>
      <c r="T67" s="45">
        <v>65.0</v>
      </c>
      <c r="U67" s="45"/>
      <c r="V67" s="45"/>
      <c r="W67" s="45"/>
      <c r="X67" s="45"/>
      <c r="Y67" s="45"/>
      <c r="Z67" s="45"/>
      <c r="AA67" s="47"/>
      <c r="AB67" s="45"/>
      <c r="AC67" s="45"/>
      <c r="AD67" s="45"/>
      <c r="AE67" s="45"/>
      <c r="AF67" s="45"/>
      <c r="AG67" s="45">
        <f t="shared" si="7"/>
        <v>2945</v>
      </c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</row>
    <row r="68" ht="17.25" customHeight="1">
      <c r="A68" s="45">
        <v>7.0</v>
      </c>
      <c r="B68" s="48" t="s">
        <v>67</v>
      </c>
      <c r="C68" s="14"/>
      <c r="D68" s="49">
        <f>40+30</f>
        <v>70</v>
      </c>
      <c r="E68" s="49">
        <f>50+200+50</f>
        <v>300</v>
      </c>
      <c r="F68" s="49">
        <f>25+70+5+45</f>
        <v>145</v>
      </c>
      <c r="G68" s="49">
        <f>60+40</f>
        <v>100</v>
      </c>
      <c r="H68" s="49"/>
      <c r="I68" s="49"/>
      <c r="J68" s="49"/>
      <c r="K68" s="49">
        <f>15+20+5+9+20+30+30+30+80+20+30</f>
        <v>289</v>
      </c>
      <c r="L68" s="49"/>
      <c r="M68" s="49"/>
      <c r="N68" s="49">
        <v>30.0</v>
      </c>
      <c r="O68" s="49"/>
      <c r="P68" s="49"/>
      <c r="Q68" s="49">
        <f>15+10+10+30+30+30+30+50+30+50+10+25+25+30+20</f>
        <v>395</v>
      </c>
      <c r="R68" s="49"/>
      <c r="S68" s="49"/>
      <c r="T68" s="49">
        <f>50+30+80</f>
        <v>160</v>
      </c>
      <c r="U68" s="49"/>
      <c r="V68" s="49"/>
      <c r="W68" s="49">
        <f>30+10</f>
        <v>40</v>
      </c>
      <c r="X68" s="49"/>
      <c r="Y68" s="49"/>
      <c r="Z68" s="49"/>
      <c r="AA68" s="49"/>
      <c r="AB68" s="49"/>
      <c r="AC68" s="49"/>
      <c r="AD68" s="49"/>
      <c r="AE68" s="49"/>
      <c r="AF68" s="49"/>
      <c r="AG68" s="45">
        <f t="shared" si="7"/>
        <v>1529</v>
      </c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</row>
    <row r="69" ht="17.25" customHeight="1">
      <c r="A69" s="45">
        <v>8.0</v>
      </c>
      <c r="B69" s="46" t="s">
        <v>68</v>
      </c>
      <c r="C69" s="14"/>
      <c r="D69" s="45">
        <v>270.0</v>
      </c>
      <c r="E69" s="45">
        <v>100.0</v>
      </c>
      <c r="F69" s="45">
        <v>285.0</v>
      </c>
      <c r="G69" s="45"/>
      <c r="H69" s="45">
        <v>50.0</v>
      </c>
      <c r="I69" s="45">
        <v>100.0</v>
      </c>
      <c r="J69" s="45"/>
      <c r="K69" s="45">
        <v>646.0</v>
      </c>
      <c r="L69" s="45"/>
      <c r="M69" s="45">
        <v>100.0</v>
      </c>
      <c r="N69" s="45">
        <v>120.0</v>
      </c>
      <c r="O69" s="45"/>
      <c r="P69" s="45"/>
      <c r="Q69" s="45">
        <v>180.0</v>
      </c>
      <c r="R69" s="45"/>
      <c r="S69" s="45"/>
      <c r="T69" s="45">
        <v>90.0</v>
      </c>
      <c r="U69" s="45"/>
      <c r="V69" s="45">
        <v>50.0</v>
      </c>
      <c r="W69" s="45">
        <v>60.0</v>
      </c>
      <c r="X69" s="45"/>
      <c r="Y69" s="45"/>
      <c r="Z69" s="45"/>
      <c r="AA69" s="47"/>
      <c r="AB69" s="45"/>
      <c r="AC69" s="45"/>
      <c r="AD69" s="45"/>
      <c r="AE69" s="45"/>
      <c r="AF69" s="45"/>
      <c r="AG69" s="45">
        <f t="shared" si="7"/>
        <v>2051</v>
      </c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</row>
    <row r="70" ht="17.25" customHeight="1">
      <c r="A70" s="45">
        <v>9.0</v>
      </c>
      <c r="B70" s="46" t="s">
        <v>69</v>
      </c>
      <c r="C70" s="14"/>
      <c r="D70" s="45">
        <f>350+100</f>
        <v>450</v>
      </c>
      <c r="E70" s="45">
        <f>300+300</f>
        <v>600</v>
      </c>
      <c r="F70" s="45">
        <f>370+100</f>
        <v>470</v>
      </c>
      <c r="G70" s="45">
        <v>100.0</v>
      </c>
      <c r="H70" s="45">
        <v>100.0</v>
      </c>
      <c r="I70" s="45"/>
      <c r="J70" s="45">
        <v>20.0</v>
      </c>
      <c r="K70" s="45">
        <f>285+300</f>
        <v>585</v>
      </c>
      <c r="L70" s="45"/>
      <c r="M70" s="45">
        <f>100+50</f>
        <v>150</v>
      </c>
      <c r="N70" s="45">
        <v>50.0</v>
      </c>
      <c r="O70" s="45"/>
      <c r="P70" s="45"/>
      <c r="Q70" s="45">
        <f>200+20</f>
        <v>220</v>
      </c>
      <c r="R70" s="45"/>
      <c r="S70" s="45">
        <f>50+50</f>
        <v>100</v>
      </c>
      <c r="T70" s="45">
        <f>50+250</f>
        <v>300</v>
      </c>
      <c r="U70" s="45"/>
      <c r="V70" s="45"/>
      <c r="W70" s="45"/>
      <c r="X70" s="45">
        <v>70.0</v>
      </c>
      <c r="Y70" s="45"/>
      <c r="Z70" s="45">
        <f>70+20</f>
        <v>90</v>
      </c>
      <c r="AA70" s="47"/>
      <c r="AB70" s="45"/>
      <c r="AC70" s="45">
        <v>30.0</v>
      </c>
      <c r="AD70" s="45"/>
      <c r="AE70" s="45"/>
      <c r="AF70" s="45"/>
      <c r="AG70" s="45">
        <f t="shared" si="7"/>
        <v>3335</v>
      </c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</row>
    <row r="71" ht="17.25" customHeight="1">
      <c r="A71" s="45">
        <v>10.0</v>
      </c>
      <c r="B71" s="48" t="s">
        <v>70</v>
      </c>
      <c r="C71" s="14"/>
      <c r="D71" s="49">
        <f>60+360</f>
        <v>420</v>
      </c>
      <c r="E71" s="49">
        <f>100+260</f>
        <v>360</v>
      </c>
      <c r="F71" s="49">
        <f>100+130</f>
        <v>230</v>
      </c>
      <c r="G71" s="49">
        <v>50.0</v>
      </c>
      <c r="H71" s="49">
        <f>60</f>
        <v>60</v>
      </c>
      <c r="I71" s="49">
        <f>100</f>
        <v>100</v>
      </c>
      <c r="J71" s="49">
        <f>40</f>
        <v>40</v>
      </c>
      <c r="K71" s="49">
        <f>55+400</f>
        <v>455</v>
      </c>
      <c r="L71" s="49"/>
      <c r="M71" s="49"/>
      <c r="N71" s="49">
        <v>100.0</v>
      </c>
      <c r="O71" s="49"/>
      <c r="P71" s="49">
        <v>50.0</v>
      </c>
      <c r="Q71" s="49">
        <f>170+400</f>
        <v>570</v>
      </c>
      <c r="R71" s="49"/>
      <c r="S71" s="49">
        <f>50+100</f>
        <v>150</v>
      </c>
      <c r="T71" s="49">
        <v>100.0</v>
      </c>
      <c r="U71" s="49">
        <v>50.0</v>
      </c>
      <c r="V71" s="49"/>
      <c r="W71" s="49">
        <v>110.0</v>
      </c>
      <c r="X71" s="49">
        <f>10</f>
        <v>10</v>
      </c>
      <c r="Y71" s="49"/>
      <c r="Z71" s="49">
        <f>10</f>
        <v>10</v>
      </c>
      <c r="AA71" s="49"/>
      <c r="AB71" s="49"/>
      <c r="AC71" s="49">
        <f>20</f>
        <v>20</v>
      </c>
      <c r="AD71" s="49"/>
      <c r="AE71" s="49"/>
      <c r="AF71" s="49"/>
      <c r="AG71" s="49">
        <f t="shared" si="7"/>
        <v>2885</v>
      </c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</row>
    <row r="72" ht="17.25" customHeight="1">
      <c r="A72" s="45">
        <v>11.0</v>
      </c>
      <c r="B72" s="46" t="s">
        <v>71</v>
      </c>
      <c r="C72" s="14"/>
      <c r="D72" s="45">
        <v>250.0</v>
      </c>
      <c r="E72" s="45">
        <v>150.0</v>
      </c>
      <c r="F72" s="45">
        <v>170.0</v>
      </c>
      <c r="G72" s="45">
        <v>100.0</v>
      </c>
      <c r="H72" s="45">
        <v>50.0</v>
      </c>
      <c r="I72" s="45">
        <v>50.0</v>
      </c>
      <c r="J72" s="45"/>
      <c r="K72" s="45">
        <v>550.0</v>
      </c>
      <c r="L72" s="45"/>
      <c r="M72" s="45">
        <v>50.0</v>
      </c>
      <c r="N72" s="45"/>
      <c r="O72" s="45"/>
      <c r="P72" s="45"/>
      <c r="Q72" s="45">
        <v>100.0</v>
      </c>
      <c r="R72" s="45"/>
      <c r="S72" s="45">
        <v>50.0</v>
      </c>
      <c r="T72" s="45">
        <v>60.0</v>
      </c>
      <c r="U72" s="45"/>
      <c r="V72" s="45">
        <v>70.0</v>
      </c>
      <c r="W72" s="45">
        <v>20.0</v>
      </c>
      <c r="X72" s="45"/>
      <c r="Y72" s="45"/>
      <c r="Z72" s="45"/>
      <c r="AA72" s="45"/>
      <c r="AB72" s="45">
        <v>20.0</v>
      </c>
      <c r="AC72" s="45"/>
      <c r="AD72" s="45"/>
      <c r="AE72" s="45"/>
      <c r="AF72" s="45"/>
      <c r="AG72" s="45">
        <f t="shared" si="7"/>
        <v>1690</v>
      </c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</row>
    <row r="73" ht="17.25" customHeight="1">
      <c r="A73" s="45">
        <v>12.0</v>
      </c>
      <c r="B73" s="46" t="s">
        <v>72</v>
      </c>
      <c r="C73" s="14"/>
      <c r="D73" s="45">
        <v>250.0</v>
      </c>
      <c r="E73" s="45">
        <v>300.0</v>
      </c>
      <c r="F73" s="45">
        <v>280.0</v>
      </c>
      <c r="G73" s="45">
        <v>50.0</v>
      </c>
      <c r="H73" s="45"/>
      <c r="I73" s="45">
        <v>100.0</v>
      </c>
      <c r="J73" s="45"/>
      <c r="K73" s="45">
        <v>180.0</v>
      </c>
      <c r="L73" s="45"/>
      <c r="M73" s="45"/>
      <c r="N73" s="45">
        <v>70.0</v>
      </c>
      <c r="O73" s="45"/>
      <c r="P73" s="45">
        <v>20.0</v>
      </c>
      <c r="Q73" s="45">
        <v>168.0</v>
      </c>
      <c r="R73" s="45"/>
      <c r="S73" s="45">
        <v>70.0</v>
      </c>
      <c r="T73" s="45">
        <v>140.0</v>
      </c>
      <c r="U73" s="45"/>
      <c r="V73" s="45">
        <v>50.0</v>
      </c>
      <c r="W73" s="45"/>
      <c r="X73" s="45"/>
      <c r="Y73" s="45"/>
      <c r="Z73" s="45"/>
      <c r="AA73" s="47"/>
      <c r="AB73" s="45"/>
      <c r="AC73" s="45"/>
      <c r="AD73" s="45"/>
      <c r="AE73" s="45"/>
      <c r="AF73" s="45">
        <v>150.0</v>
      </c>
      <c r="AG73" s="45">
        <f t="shared" si="7"/>
        <v>1828</v>
      </c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</row>
    <row r="74" ht="17.25" customHeight="1">
      <c r="A74" s="30" t="s">
        <v>73</v>
      </c>
      <c r="B74" s="15"/>
      <c r="C74" s="14"/>
      <c r="D74" s="47">
        <f t="shared" ref="D74:AG74" si="8">SUM(D62:D73)</f>
        <v>3966</v>
      </c>
      <c r="E74" s="47">
        <f t="shared" si="8"/>
        <v>4031</v>
      </c>
      <c r="F74" s="47">
        <f t="shared" si="8"/>
        <v>3825</v>
      </c>
      <c r="G74" s="47">
        <f t="shared" si="8"/>
        <v>500</v>
      </c>
      <c r="H74" s="47">
        <f t="shared" si="8"/>
        <v>880</v>
      </c>
      <c r="I74" s="47">
        <f t="shared" si="8"/>
        <v>1066</v>
      </c>
      <c r="J74" s="47">
        <f t="shared" si="8"/>
        <v>60</v>
      </c>
      <c r="K74" s="47">
        <f t="shared" si="8"/>
        <v>6068</v>
      </c>
      <c r="L74" s="47">
        <f t="shared" si="8"/>
        <v>0</v>
      </c>
      <c r="M74" s="47">
        <f t="shared" si="8"/>
        <v>915</v>
      </c>
      <c r="N74" s="47">
        <f t="shared" si="8"/>
        <v>1004</v>
      </c>
      <c r="O74" s="47">
        <f t="shared" si="8"/>
        <v>0</v>
      </c>
      <c r="P74" s="47">
        <f t="shared" si="8"/>
        <v>150</v>
      </c>
      <c r="Q74" s="47">
        <f t="shared" si="8"/>
        <v>3343</v>
      </c>
      <c r="R74" s="47">
        <f t="shared" si="8"/>
        <v>0</v>
      </c>
      <c r="S74" s="47">
        <f t="shared" si="8"/>
        <v>1024</v>
      </c>
      <c r="T74" s="47">
        <f t="shared" si="8"/>
        <v>2273</v>
      </c>
      <c r="U74" s="47">
        <f t="shared" si="8"/>
        <v>430</v>
      </c>
      <c r="V74" s="47">
        <f t="shared" si="8"/>
        <v>424</v>
      </c>
      <c r="W74" s="47">
        <f t="shared" si="8"/>
        <v>1000</v>
      </c>
      <c r="X74" s="47">
        <f t="shared" si="8"/>
        <v>160</v>
      </c>
      <c r="Y74" s="47">
        <f t="shared" si="8"/>
        <v>0</v>
      </c>
      <c r="Z74" s="47">
        <f t="shared" si="8"/>
        <v>230</v>
      </c>
      <c r="AA74" s="47">
        <f t="shared" si="8"/>
        <v>0</v>
      </c>
      <c r="AB74" s="47">
        <f t="shared" si="8"/>
        <v>70</v>
      </c>
      <c r="AC74" s="47">
        <f t="shared" si="8"/>
        <v>100</v>
      </c>
      <c r="AD74" s="47">
        <f t="shared" si="8"/>
        <v>0</v>
      </c>
      <c r="AE74" s="47">
        <f t="shared" si="8"/>
        <v>0</v>
      </c>
      <c r="AF74" s="47">
        <f t="shared" si="8"/>
        <v>150</v>
      </c>
      <c r="AG74" s="47">
        <f t="shared" si="8"/>
        <v>31669</v>
      </c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</row>
    <row r="75" ht="17.2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</row>
  </sheetData>
  <mergeCells count="68"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A52:A53"/>
    <mergeCell ref="B52:B53"/>
    <mergeCell ref="B54:C54"/>
    <mergeCell ref="B55:C55"/>
    <mergeCell ref="B68:C68"/>
    <mergeCell ref="B69:C69"/>
    <mergeCell ref="B70:C70"/>
    <mergeCell ref="B71:C71"/>
    <mergeCell ref="B72:C72"/>
    <mergeCell ref="B73:C73"/>
    <mergeCell ref="A74:C74"/>
    <mergeCell ref="B61:C61"/>
    <mergeCell ref="B62:C62"/>
    <mergeCell ref="B63:C63"/>
    <mergeCell ref="B64:C64"/>
    <mergeCell ref="B65:C65"/>
    <mergeCell ref="B66:C66"/>
    <mergeCell ref="B67:C67"/>
    <mergeCell ref="B2:AG2"/>
    <mergeCell ref="AC3:AG3"/>
    <mergeCell ref="B4:C4"/>
    <mergeCell ref="B5:C5"/>
    <mergeCell ref="B6:C6"/>
    <mergeCell ref="B7:C7"/>
    <mergeCell ref="B8:C8"/>
    <mergeCell ref="B16:C16"/>
    <mergeCell ref="A17:C17"/>
    <mergeCell ref="B19:AG19"/>
    <mergeCell ref="B21:AG21"/>
    <mergeCell ref="AC22:AG22"/>
    <mergeCell ref="B9:C9"/>
    <mergeCell ref="B10:C10"/>
    <mergeCell ref="B11:C11"/>
    <mergeCell ref="B12:C12"/>
    <mergeCell ref="B13:C13"/>
    <mergeCell ref="B14:C14"/>
    <mergeCell ref="B15:C15"/>
    <mergeCell ref="B23:C23"/>
    <mergeCell ref="B24:C24"/>
    <mergeCell ref="B25:C25"/>
    <mergeCell ref="B26:C26"/>
    <mergeCell ref="B27:C27"/>
    <mergeCell ref="B28:C28"/>
    <mergeCell ref="B29:C29"/>
    <mergeCell ref="B38:AG38"/>
    <mergeCell ref="B40:AG40"/>
    <mergeCell ref="AC41:AG41"/>
    <mergeCell ref="B30:C30"/>
    <mergeCell ref="B31:C31"/>
    <mergeCell ref="B32:C32"/>
    <mergeCell ref="B33:C33"/>
    <mergeCell ref="B34:C34"/>
    <mergeCell ref="B35:C35"/>
    <mergeCell ref="A36:C36"/>
    <mergeCell ref="A56:C56"/>
    <mergeCell ref="B57:AG57"/>
    <mergeCell ref="B59:AG59"/>
    <mergeCell ref="AC60:AG6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0FEF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.0"/>
    <col customWidth="1" min="3" max="3" width="6.71"/>
    <col customWidth="1" min="4" max="32" width="5.86"/>
    <col customWidth="1" min="33" max="33" width="7.43"/>
    <col customWidth="1" min="34" max="37" width="9.14"/>
    <col customWidth="1" min="38" max="38" width="11.29"/>
    <col customWidth="1" min="39" max="53" width="9.14"/>
  </cols>
  <sheetData>
    <row r="1" ht="17.2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</row>
    <row r="2" ht="24.0" customHeight="1">
      <c r="A2" s="28" t="s">
        <v>126</v>
      </c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  <row r="3" ht="14.25" customHeight="1">
      <c r="A3" s="35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6"/>
      <c r="AC3" s="37" t="s">
        <v>91</v>
      </c>
      <c r="AD3" s="5"/>
      <c r="AE3" s="5"/>
      <c r="AF3" s="5"/>
      <c r="AG3" s="5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</row>
    <row r="4" ht="132.0" customHeight="1">
      <c r="A4" s="38" t="s">
        <v>2</v>
      </c>
      <c r="B4" s="39" t="s">
        <v>3</v>
      </c>
      <c r="C4" s="14"/>
      <c r="D4" s="38" t="s">
        <v>92</v>
      </c>
      <c r="E4" s="40" t="s">
        <v>93</v>
      </c>
      <c r="F4" s="40" t="s">
        <v>94</v>
      </c>
      <c r="G4" s="38" t="s">
        <v>95</v>
      </c>
      <c r="H4" s="38" t="s">
        <v>96</v>
      </c>
      <c r="I4" s="40" t="s">
        <v>97</v>
      </c>
      <c r="J4" s="40" t="s">
        <v>98</v>
      </c>
      <c r="K4" s="41" t="s">
        <v>99</v>
      </c>
      <c r="L4" s="41" t="s">
        <v>100</v>
      </c>
      <c r="M4" s="41" t="s">
        <v>101</v>
      </c>
      <c r="N4" s="38" t="s">
        <v>102</v>
      </c>
      <c r="O4" s="38" t="s">
        <v>103</v>
      </c>
      <c r="P4" s="41" t="s">
        <v>104</v>
      </c>
      <c r="Q4" s="38" t="s">
        <v>105</v>
      </c>
      <c r="R4" s="38" t="s">
        <v>106</v>
      </c>
      <c r="S4" s="42" t="s">
        <v>107</v>
      </c>
      <c r="T4" s="40" t="s">
        <v>108</v>
      </c>
      <c r="U4" s="38" t="s">
        <v>109</v>
      </c>
      <c r="V4" s="43" t="s">
        <v>110</v>
      </c>
      <c r="W4" s="41" t="s">
        <v>111</v>
      </c>
      <c r="X4" s="38" t="s">
        <v>112</v>
      </c>
      <c r="Y4" s="44" t="s">
        <v>113</v>
      </c>
      <c r="Z4" s="44" t="s">
        <v>114</v>
      </c>
      <c r="AA4" s="44" t="s">
        <v>115</v>
      </c>
      <c r="AB4" s="44" t="s">
        <v>116</v>
      </c>
      <c r="AC4" s="44" t="s">
        <v>117</v>
      </c>
      <c r="AD4" s="44" t="s">
        <v>118</v>
      </c>
      <c r="AE4" s="44" t="s">
        <v>119</v>
      </c>
      <c r="AF4" s="44" t="s">
        <v>120</v>
      </c>
      <c r="AG4" s="45" t="s">
        <v>73</v>
      </c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ht="38.25" customHeight="1">
      <c r="A5" s="47">
        <v>1.0</v>
      </c>
      <c r="B5" s="30" t="s">
        <v>85</v>
      </c>
      <c r="C5" s="14"/>
      <c r="D5" s="47">
        <v>3292.0</v>
      </c>
      <c r="E5" s="47">
        <v>3812.0</v>
      </c>
      <c r="F5" s="47">
        <v>3643.0</v>
      </c>
      <c r="G5" s="47">
        <v>1350.0</v>
      </c>
      <c r="H5" s="47">
        <v>997.0</v>
      </c>
      <c r="I5" s="47">
        <v>1270.0</v>
      </c>
      <c r="J5" s="47">
        <v>252.0</v>
      </c>
      <c r="K5" s="47">
        <v>2585.0</v>
      </c>
      <c r="L5" s="47"/>
      <c r="M5" s="47">
        <v>850.0</v>
      </c>
      <c r="N5" s="47">
        <v>1123.0</v>
      </c>
      <c r="O5" s="47"/>
      <c r="P5" s="47">
        <v>61.0</v>
      </c>
      <c r="Q5" s="47">
        <v>2193.0</v>
      </c>
      <c r="R5" s="47"/>
      <c r="S5" s="47">
        <v>356.0</v>
      </c>
      <c r="T5" s="47">
        <v>1660.0</v>
      </c>
      <c r="U5" s="47">
        <v>100.0</v>
      </c>
      <c r="V5" s="47">
        <v>442.0</v>
      </c>
      <c r="W5" s="47">
        <v>423.0</v>
      </c>
      <c r="X5" s="47">
        <v>100.0</v>
      </c>
      <c r="Y5" s="47"/>
      <c r="Z5" s="47">
        <v>371.0</v>
      </c>
      <c r="AA5" s="47"/>
      <c r="AB5" s="47"/>
      <c r="AC5" s="47"/>
      <c r="AD5" s="47"/>
      <c r="AE5" s="47"/>
      <c r="AF5" s="47">
        <v>50.0</v>
      </c>
      <c r="AG5" s="47">
        <f t="shared" ref="AG5:AG11" si="1">SUM(D5:AF5)</f>
        <v>24930</v>
      </c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</row>
    <row r="6" ht="38.25" customHeight="1">
      <c r="A6" s="47">
        <v>2.0</v>
      </c>
      <c r="B6" s="30" t="s">
        <v>86</v>
      </c>
      <c r="C6" s="14"/>
      <c r="D6" s="47">
        <v>5145.0</v>
      </c>
      <c r="E6" s="47">
        <v>5283.0</v>
      </c>
      <c r="F6" s="47">
        <v>4262.0</v>
      </c>
      <c r="G6" s="47">
        <v>1550.0</v>
      </c>
      <c r="H6" s="47">
        <v>1126.0</v>
      </c>
      <c r="I6" s="47">
        <v>1345.0</v>
      </c>
      <c r="J6" s="47">
        <v>224.0</v>
      </c>
      <c r="K6" s="47">
        <v>5011.0</v>
      </c>
      <c r="L6" s="47"/>
      <c r="M6" s="47">
        <v>1200.0</v>
      </c>
      <c r="N6" s="47">
        <v>1319.0</v>
      </c>
      <c r="O6" s="47"/>
      <c r="P6" s="47">
        <v>230.0</v>
      </c>
      <c r="Q6" s="47">
        <v>3590.0</v>
      </c>
      <c r="R6" s="47"/>
      <c r="S6" s="47">
        <v>604.0</v>
      </c>
      <c r="T6" s="47">
        <v>2937.0</v>
      </c>
      <c r="U6" s="47">
        <v>180.0</v>
      </c>
      <c r="V6" s="47">
        <v>884.0</v>
      </c>
      <c r="W6" s="47">
        <v>1202.0</v>
      </c>
      <c r="X6" s="47">
        <v>220.0</v>
      </c>
      <c r="Y6" s="47"/>
      <c r="Z6" s="47">
        <v>493.0</v>
      </c>
      <c r="AA6" s="47"/>
      <c r="AB6" s="47">
        <v>90.0</v>
      </c>
      <c r="AC6" s="47">
        <v>110.0</v>
      </c>
      <c r="AD6" s="47"/>
      <c r="AE6" s="47"/>
      <c r="AF6" s="47">
        <v>300.0</v>
      </c>
      <c r="AG6" s="47">
        <f t="shared" si="1"/>
        <v>37305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38.25" customHeight="1">
      <c r="A7" s="60">
        <v>3.0</v>
      </c>
      <c r="B7" s="61" t="s">
        <v>87</v>
      </c>
      <c r="C7" s="62"/>
      <c r="D7" s="47">
        <v>12956.0</v>
      </c>
      <c r="E7" s="47">
        <v>13759.0</v>
      </c>
      <c r="F7" s="47">
        <v>12490.0</v>
      </c>
      <c r="G7" s="47">
        <v>3128.0</v>
      </c>
      <c r="H7" s="47">
        <v>3830.0</v>
      </c>
      <c r="I7" s="47">
        <v>5320.0</v>
      </c>
      <c r="J7" s="47">
        <v>820.0</v>
      </c>
      <c r="K7" s="47">
        <v>10197.0</v>
      </c>
      <c r="L7" s="47"/>
      <c r="M7" s="47">
        <v>3656.0</v>
      </c>
      <c r="N7" s="47">
        <v>3562.0</v>
      </c>
      <c r="O7" s="47"/>
      <c r="P7" s="47">
        <v>918.0</v>
      </c>
      <c r="Q7" s="47">
        <v>9223.0</v>
      </c>
      <c r="R7" s="47"/>
      <c r="S7" s="47">
        <v>3074.0</v>
      </c>
      <c r="T7" s="47">
        <v>8238.0</v>
      </c>
      <c r="U7" s="47">
        <v>1801.0</v>
      </c>
      <c r="V7" s="47">
        <v>2996.0</v>
      </c>
      <c r="W7" s="47">
        <v>2395.0</v>
      </c>
      <c r="X7" s="47">
        <v>690.0</v>
      </c>
      <c r="Y7" s="47"/>
      <c r="Z7" s="47">
        <v>1524.0</v>
      </c>
      <c r="AA7" s="47"/>
      <c r="AB7" s="47">
        <v>440.0</v>
      </c>
      <c r="AC7" s="47">
        <v>540.0</v>
      </c>
      <c r="AD7" s="47"/>
      <c r="AE7" s="47"/>
      <c r="AF7" s="47">
        <v>700.0</v>
      </c>
      <c r="AG7" s="47">
        <f t="shared" si="1"/>
        <v>102257</v>
      </c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</row>
    <row r="8" ht="38.25" customHeight="1">
      <c r="A8" s="23"/>
      <c r="B8" s="63"/>
      <c r="C8" s="64"/>
      <c r="D8" s="65">
        <v>201.0</v>
      </c>
      <c r="E8" s="65">
        <v>300.0</v>
      </c>
      <c r="F8" s="65">
        <v>229.0</v>
      </c>
      <c r="G8" s="65">
        <v>85.0</v>
      </c>
      <c r="H8" s="65">
        <v>81.0</v>
      </c>
      <c r="I8" s="65">
        <v>62.0</v>
      </c>
      <c r="J8" s="65">
        <v>5.0</v>
      </c>
      <c r="K8" s="65">
        <v>260.0</v>
      </c>
      <c r="L8" s="65"/>
      <c r="M8" s="65">
        <v>42.0</v>
      </c>
      <c r="N8" s="65">
        <v>44.0</v>
      </c>
      <c r="O8" s="65"/>
      <c r="P8" s="65">
        <v>20.0</v>
      </c>
      <c r="Q8" s="65">
        <v>61.0</v>
      </c>
      <c r="R8" s="65"/>
      <c r="S8" s="65">
        <v>52.0</v>
      </c>
      <c r="T8" s="65">
        <v>42.0</v>
      </c>
      <c r="U8" s="65">
        <v>38.0</v>
      </c>
      <c r="V8" s="65">
        <v>36.0</v>
      </c>
      <c r="W8" s="65">
        <v>115.0</v>
      </c>
      <c r="X8" s="65">
        <v>10.0</v>
      </c>
      <c r="Y8" s="65"/>
      <c r="Z8" s="65">
        <v>39.0</v>
      </c>
      <c r="AA8" s="65"/>
      <c r="AB8" s="65">
        <v>7.0</v>
      </c>
      <c r="AC8" s="65">
        <v>3.0</v>
      </c>
      <c r="AD8" s="65"/>
      <c r="AE8" s="65"/>
      <c r="AF8" s="65"/>
      <c r="AG8" s="47">
        <f t="shared" si="1"/>
        <v>1732</v>
      </c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</row>
    <row r="9" ht="38.25" customHeight="1">
      <c r="A9" s="47">
        <v>4.0</v>
      </c>
      <c r="B9" s="30" t="s">
        <v>127</v>
      </c>
      <c r="C9" s="14"/>
      <c r="D9" s="47">
        <v>3966.0</v>
      </c>
      <c r="E9" s="47">
        <v>4031.0</v>
      </c>
      <c r="F9" s="47">
        <v>3825.0</v>
      </c>
      <c r="G9" s="47">
        <v>500.0</v>
      </c>
      <c r="H9" s="47">
        <v>880.0</v>
      </c>
      <c r="I9" s="47">
        <v>1066.0</v>
      </c>
      <c r="J9" s="47">
        <v>60.0</v>
      </c>
      <c r="K9" s="47">
        <v>6068.0</v>
      </c>
      <c r="L9" s="47"/>
      <c r="M9" s="47">
        <v>915.0</v>
      </c>
      <c r="N9" s="47">
        <v>1004.0</v>
      </c>
      <c r="O9" s="47"/>
      <c r="P9" s="47">
        <v>150.0</v>
      </c>
      <c r="Q9" s="47">
        <v>3343.0</v>
      </c>
      <c r="R9" s="47"/>
      <c r="S9" s="47">
        <v>1024.0</v>
      </c>
      <c r="T9" s="47">
        <v>2273.0</v>
      </c>
      <c r="U9" s="47">
        <v>430.0</v>
      </c>
      <c r="V9" s="47">
        <v>424.0</v>
      </c>
      <c r="W9" s="47">
        <v>1000.0</v>
      </c>
      <c r="X9" s="47">
        <v>160.0</v>
      </c>
      <c r="Y9" s="47"/>
      <c r="Z9" s="47">
        <v>230.0</v>
      </c>
      <c r="AA9" s="47"/>
      <c r="AB9" s="47">
        <v>70.0</v>
      </c>
      <c r="AC9" s="47">
        <v>100.0</v>
      </c>
      <c r="AD9" s="47"/>
      <c r="AE9" s="47"/>
      <c r="AF9" s="47">
        <v>150.0</v>
      </c>
      <c r="AG9" s="47">
        <f t="shared" si="1"/>
        <v>31669</v>
      </c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</row>
    <row r="10" ht="38.25" customHeight="1">
      <c r="A10" s="66" t="s">
        <v>89</v>
      </c>
      <c r="B10" s="8"/>
      <c r="C10" s="67"/>
      <c r="D10" s="47">
        <f t="shared" ref="D10:AF10" si="2">D5+D6+D7+D9</f>
        <v>25359</v>
      </c>
      <c r="E10" s="47">
        <f t="shared" si="2"/>
        <v>26885</v>
      </c>
      <c r="F10" s="47">
        <f t="shared" si="2"/>
        <v>24220</v>
      </c>
      <c r="G10" s="47">
        <f t="shared" si="2"/>
        <v>6528</v>
      </c>
      <c r="H10" s="47">
        <f t="shared" si="2"/>
        <v>6833</v>
      </c>
      <c r="I10" s="47">
        <f t="shared" si="2"/>
        <v>9001</v>
      </c>
      <c r="J10" s="47">
        <f t="shared" si="2"/>
        <v>1356</v>
      </c>
      <c r="K10" s="47">
        <f t="shared" si="2"/>
        <v>23861</v>
      </c>
      <c r="L10" s="47">
        <f t="shared" si="2"/>
        <v>0</v>
      </c>
      <c r="M10" s="47">
        <f t="shared" si="2"/>
        <v>6621</v>
      </c>
      <c r="N10" s="47">
        <f t="shared" si="2"/>
        <v>7008</v>
      </c>
      <c r="O10" s="47">
        <f t="shared" si="2"/>
        <v>0</v>
      </c>
      <c r="P10" s="47">
        <f t="shared" si="2"/>
        <v>1359</v>
      </c>
      <c r="Q10" s="47">
        <f t="shared" si="2"/>
        <v>18349</v>
      </c>
      <c r="R10" s="47">
        <f t="shared" si="2"/>
        <v>0</v>
      </c>
      <c r="S10" s="47">
        <f t="shared" si="2"/>
        <v>5058</v>
      </c>
      <c r="T10" s="47">
        <f t="shared" si="2"/>
        <v>15108</v>
      </c>
      <c r="U10" s="47">
        <f t="shared" si="2"/>
        <v>2511</v>
      </c>
      <c r="V10" s="47">
        <f t="shared" si="2"/>
        <v>4746</v>
      </c>
      <c r="W10" s="47">
        <f t="shared" si="2"/>
        <v>5020</v>
      </c>
      <c r="X10" s="47">
        <f t="shared" si="2"/>
        <v>1170</v>
      </c>
      <c r="Y10" s="47">
        <f t="shared" si="2"/>
        <v>0</v>
      </c>
      <c r="Z10" s="47">
        <f t="shared" si="2"/>
        <v>2618</v>
      </c>
      <c r="AA10" s="47">
        <f t="shared" si="2"/>
        <v>0</v>
      </c>
      <c r="AB10" s="47">
        <f t="shared" si="2"/>
        <v>600</v>
      </c>
      <c r="AC10" s="47">
        <f t="shared" si="2"/>
        <v>750</v>
      </c>
      <c r="AD10" s="47">
        <f t="shared" si="2"/>
        <v>0</v>
      </c>
      <c r="AE10" s="47">
        <f t="shared" si="2"/>
        <v>0</v>
      </c>
      <c r="AF10" s="47">
        <f t="shared" si="2"/>
        <v>1200</v>
      </c>
      <c r="AG10" s="47">
        <f t="shared" si="1"/>
        <v>196161</v>
      </c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</row>
    <row r="11" ht="38.25" customHeight="1">
      <c r="A11" s="34"/>
      <c r="B11" s="68"/>
      <c r="C11" s="69" t="s">
        <v>80</v>
      </c>
      <c r="D11" s="65">
        <f t="shared" ref="D11:AF11" si="3">D8</f>
        <v>201</v>
      </c>
      <c r="E11" s="65">
        <f t="shared" si="3"/>
        <v>300</v>
      </c>
      <c r="F11" s="65">
        <f t="shared" si="3"/>
        <v>229</v>
      </c>
      <c r="G11" s="65">
        <f t="shared" si="3"/>
        <v>85</v>
      </c>
      <c r="H11" s="65">
        <f t="shared" si="3"/>
        <v>81</v>
      </c>
      <c r="I11" s="65">
        <f t="shared" si="3"/>
        <v>62</v>
      </c>
      <c r="J11" s="65">
        <f t="shared" si="3"/>
        <v>5</v>
      </c>
      <c r="K11" s="65">
        <f t="shared" si="3"/>
        <v>260</v>
      </c>
      <c r="L11" s="65" t="str">
        <f t="shared" si="3"/>
        <v/>
      </c>
      <c r="M11" s="65">
        <f t="shared" si="3"/>
        <v>42</v>
      </c>
      <c r="N11" s="65">
        <f t="shared" si="3"/>
        <v>44</v>
      </c>
      <c r="O11" s="65" t="str">
        <f t="shared" si="3"/>
        <v/>
      </c>
      <c r="P11" s="65">
        <f t="shared" si="3"/>
        <v>20</v>
      </c>
      <c r="Q11" s="65">
        <f t="shared" si="3"/>
        <v>61</v>
      </c>
      <c r="R11" s="65" t="str">
        <f t="shared" si="3"/>
        <v/>
      </c>
      <c r="S11" s="65">
        <f t="shared" si="3"/>
        <v>52</v>
      </c>
      <c r="T11" s="65">
        <f t="shared" si="3"/>
        <v>42</v>
      </c>
      <c r="U11" s="65">
        <f t="shared" si="3"/>
        <v>38</v>
      </c>
      <c r="V11" s="65">
        <f t="shared" si="3"/>
        <v>36</v>
      </c>
      <c r="W11" s="65">
        <f t="shared" si="3"/>
        <v>115</v>
      </c>
      <c r="X11" s="65">
        <f t="shared" si="3"/>
        <v>10</v>
      </c>
      <c r="Y11" s="65" t="str">
        <f t="shared" si="3"/>
        <v/>
      </c>
      <c r="Z11" s="65">
        <f t="shared" si="3"/>
        <v>39</v>
      </c>
      <c r="AA11" s="65" t="str">
        <f t="shared" si="3"/>
        <v/>
      </c>
      <c r="AB11" s="65">
        <f t="shared" si="3"/>
        <v>7</v>
      </c>
      <c r="AC11" s="65">
        <f t="shared" si="3"/>
        <v>3</v>
      </c>
      <c r="AD11" s="65" t="str">
        <f t="shared" si="3"/>
        <v/>
      </c>
      <c r="AE11" s="65" t="str">
        <f t="shared" si="3"/>
        <v/>
      </c>
      <c r="AF11" s="65" t="str">
        <f t="shared" si="3"/>
        <v/>
      </c>
      <c r="AG11" s="65">
        <f t="shared" si="1"/>
        <v>1732</v>
      </c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</row>
    <row r="12" ht="17.2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</row>
  </sheetData>
  <mergeCells count="8">
    <mergeCell ref="AC3:AG3"/>
    <mergeCell ref="A7:A8"/>
    <mergeCell ref="A2:AG2"/>
    <mergeCell ref="B4:C4"/>
    <mergeCell ref="B5:C5"/>
    <mergeCell ref="B6:C6"/>
    <mergeCell ref="A10:B11"/>
    <mergeCell ref="B9:C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2016-09-09T02:25:40Z</dcterms:created>
  <dc:creator>UNiQUE</dc:creator>
</cp:coreProperties>
</file>