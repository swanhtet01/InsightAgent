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Size Code"/>
    <sheet r:id="rId2" sheetId="2" name="T(2021)&amp;amp;(H1-2022)Compare"/>
    <sheet r:id="rId3" sheetId="3" name="M(2021)&amp;amp;(H1-2022)Compare"/>
    <sheet r:id="rId4" sheetId="4" name="E(2021)&amp;amp;(H1-2022)Compare"/>
    <sheet r:id="rId5" sheetId="5" name="P(2021)&amp;amp;(H1-2022)Compare"/>
    <sheet r:id="rId6" sheetId="6" name="TMEP(H1-21)Compare"/>
    <sheet r:id="rId7" sheetId="7" name="TEMP(H2-2021)Compare"/>
    <sheet r:id="rId8" sheetId="8" name="TMEP(H1-22)Compare"/>
  </sheets>
  <definedNames>
    <definedName name="apple">#REF!</definedName>
  </definedNames>
  <calcPr fullCalcOnLoad="1"/>
</workbook>
</file>

<file path=xl/sharedStrings.xml><?xml version="1.0" encoding="utf-8"?>
<sst xmlns="http://schemas.openxmlformats.org/spreadsheetml/2006/main" count="880" uniqueCount="141">
  <si>
    <t>4-Customer Yangon Steel Radial Tyre Whole Sale (H1-2022)</t>
  </si>
  <si>
    <t>Date-16-7-2022</t>
  </si>
  <si>
    <t>No</t>
  </si>
  <si>
    <t>Code</t>
  </si>
  <si>
    <t>Description</t>
  </si>
  <si>
    <t>(H1-2022) Total</t>
  </si>
  <si>
    <t>Sale (H1-2022)</t>
  </si>
  <si>
    <t>U Tommy</t>
  </si>
  <si>
    <t>U Mg Mg</t>
  </si>
  <si>
    <t>U Eisat</t>
  </si>
  <si>
    <t>Mann Power</t>
  </si>
  <si>
    <t>Qty</t>
  </si>
  <si>
    <t>Amount</t>
  </si>
  <si>
    <t>001</t>
  </si>
  <si>
    <t>145 R 12 C (YT-168)</t>
  </si>
  <si>
    <t>002</t>
  </si>
  <si>
    <t>155 R 12 C (YT-168)</t>
  </si>
  <si>
    <t>003</t>
  </si>
  <si>
    <t>165/80 R 13 (YT-219)</t>
  </si>
  <si>
    <t>004</t>
  </si>
  <si>
    <t>165 R 13 C (YT-168)</t>
  </si>
  <si>
    <t>005</t>
  </si>
  <si>
    <t>175 R 13 C (YT-168)</t>
  </si>
  <si>
    <t>006</t>
  </si>
  <si>
    <t>175 R 14 C (YT-168)</t>
  </si>
  <si>
    <t>007</t>
  </si>
  <si>
    <t xml:space="preserve">185 R 14 C (YT-168) </t>
  </si>
  <si>
    <t>008</t>
  </si>
  <si>
    <t>185/70 R 14 (Premier Taxi)</t>
  </si>
  <si>
    <t>009</t>
  </si>
  <si>
    <t>185/70 R 14 (YT-P1)</t>
  </si>
  <si>
    <t>010</t>
  </si>
  <si>
    <t>195 R 14 C (YT-168)</t>
  </si>
  <si>
    <t>011</t>
  </si>
  <si>
    <t>195/65 R 15 (YT-P1)</t>
  </si>
  <si>
    <t>012</t>
  </si>
  <si>
    <t>195 R 15 C (YT-168)</t>
  </si>
  <si>
    <t>013</t>
  </si>
  <si>
    <t>205/65 R 15 (YT-P1)</t>
  </si>
  <si>
    <t>014</t>
  </si>
  <si>
    <t>205/70 R 15 (YT-579)</t>
  </si>
  <si>
    <t>015</t>
  </si>
  <si>
    <t>265/70 R 16 (YT-700)</t>
  </si>
  <si>
    <t>016</t>
  </si>
  <si>
    <t>6.50 R 16 LT (YTB-300)</t>
  </si>
  <si>
    <t>017</t>
  </si>
  <si>
    <t>6.50 R 16 LT (YTB-210)</t>
  </si>
  <si>
    <t>018</t>
  </si>
  <si>
    <t>175/70 R 14 (YT-567)</t>
  </si>
  <si>
    <t>019</t>
  </si>
  <si>
    <t xml:space="preserve">195/85 R 16 (YTB-210)   </t>
  </si>
  <si>
    <t>020</t>
  </si>
  <si>
    <t xml:space="preserve">195/85 R 16 (YTB-804)   </t>
  </si>
  <si>
    <t>021</t>
  </si>
  <si>
    <t>195/70 R 14 (YTB-569)</t>
  </si>
  <si>
    <t>022</t>
  </si>
  <si>
    <t>215/75 R 15 (YT-701)</t>
  </si>
  <si>
    <t>023</t>
  </si>
  <si>
    <t>7.00 R 16 (YTB-300)</t>
  </si>
  <si>
    <t>024</t>
  </si>
  <si>
    <t>205/75 R 16 C (YT-168)</t>
  </si>
  <si>
    <t>025</t>
  </si>
  <si>
    <t>5.00 R 12 (YT-268)</t>
  </si>
  <si>
    <t>Total</t>
  </si>
  <si>
    <t>Yangon Steel Radial Tyre Whole Sale (H2-2021)</t>
  </si>
  <si>
    <t>(H2-2021)</t>
  </si>
  <si>
    <t>4-Customer Yangon Steel Radial Tyre Whole Sale (H1-2021)</t>
  </si>
  <si>
    <t>(H1-2021) Total</t>
  </si>
  <si>
    <t>Sale (H1-2021)</t>
  </si>
  <si>
    <t>Yangon Steel Radial Tyre (Sale) Mann Power (2021) &amp; (H1-2022) Compare</t>
  </si>
  <si>
    <t>Dis</t>
  </si>
  <si>
    <t>Price</t>
  </si>
  <si>
    <t>39000
41000</t>
  </si>
  <si>
    <t>48000
50000</t>
  </si>
  <si>
    <t>43000
45500</t>
  </si>
  <si>
    <t>54500
57000</t>
  </si>
  <si>
    <t>47000
49500</t>
  </si>
  <si>
    <t>65000
68000</t>
  </si>
  <si>
    <t>63000
66500</t>
  </si>
  <si>
    <t>57500
60500</t>
  </si>
  <si>
    <t>49000
51500</t>
  </si>
  <si>
    <t>50000
52500</t>
  </si>
  <si>
    <t>83000
87000</t>
  </si>
  <si>
    <t>79500
83000</t>
  </si>
  <si>
    <t>70000
73500</t>
  </si>
  <si>
    <t>104000
110000</t>
  </si>
  <si>
    <t>Yangon Steel Radial Tyre (Sale) U Eisat (2021) &amp; (H1-2022) Compare</t>
  </si>
  <si>
    <t>44000
46000</t>
  </si>
  <si>
    <t>35200
39000</t>
  </si>
  <si>
    <t>38900
43000</t>
  </si>
  <si>
    <t>49000
35000</t>
  </si>
  <si>
    <t>44000
46500</t>
  </si>
  <si>
    <t>42000
47000</t>
  </si>
  <si>
    <t>53600
59000</t>
  </si>
  <si>
    <t>59000
62000</t>
  </si>
  <si>
    <t>67000
71000</t>
  </si>
  <si>
    <t>61000
64000</t>
  </si>
  <si>
    <t>56700
63000</t>
  </si>
  <si>
    <t>44100
49000</t>
  </si>
  <si>
    <t>67000
70500</t>
  </si>
  <si>
    <t>65000
48000</t>
  </si>
  <si>
    <t>63600
70000</t>
  </si>
  <si>
    <t>96000
101000</t>
  </si>
  <si>
    <t>41000
46000</t>
  </si>
  <si>
    <t>46000
48500</t>
  </si>
  <si>
    <t>120000
90000</t>
  </si>
  <si>
    <t>89000
68000</t>
  </si>
  <si>
    <t>84000
88500</t>
  </si>
  <si>
    <t>Yangon Steel Radial Tyre (Sale) U Mg Mg (2021) &amp; (H1-2022) Compare</t>
  </si>
  <si>
    <t>Yangon Steel Radial Tyre (Sale) U Tommy (2021) &amp; (H1-2022) Compare</t>
  </si>
  <si>
    <t>35200
39000
41000</t>
  </si>
  <si>
    <t>81000
85000</t>
  </si>
  <si>
    <t>60900
70500</t>
  </si>
  <si>
    <t>86700
101000</t>
  </si>
  <si>
    <t>94500
110000</t>
  </si>
  <si>
    <t xml:space="preserve">Yangon Steel Radial Tyre </t>
  </si>
  <si>
    <t>No.</t>
  </si>
  <si>
    <t>145 R 12 C (8PR) (YT-168)</t>
  </si>
  <si>
    <t>155 R 12 C (8PR) (YT-168)</t>
  </si>
  <si>
    <t>165 R 13 C (8PR) (YT-168)</t>
  </si>
  <si>
    <t>175 R 13 C (8PR) (YT-168)</t>
  </si>
  <si>
    <t>175 R 14 C (8PR) (YT-168)</t>
  </si>
  <si>
    <t>185 R 14 C (8PR) (YT-168)</t>
  </si>
  <si>
    <t>195 R 14 C (8PR) (YT-168)</t>
  </si>
  <si>
    <t>195 R 15 C (8PR) (YT-168)</t>
  </si>
  <si>
    <t>205/70 R 15 (8PR) (YT-579)</t>
  </si>
  <si>
    <t>P 265/70 R 16 (YT-700)</t>
  </si>
  <si>
    <t>6.50 R 16 (12PR) (YTB-300)</t>
  </si>
  <si>
    <t>6.50 R 16 (12PR) (YTB-210)</t>
  </si>
  <si>
    <t>195/85 R 16 (YTB-210)</t>
  </si>
  <si>
    <t>195/85 R 16 (YTB-804)</t>
  </si>
  <si>
    <t>205/75 R 16 (12PR) (YT-168)</t>
  </si>
  <si>
    <t>500 R 12 (10PR) (YT-268)</t>
  </si>
  <si>
    <t>026</t>
  </si>
  <si>
    <t>215/75  R 16 (12PR) (YT-577)</t>
  </si>
  <si>
    <t>027</t>
  </si>
  <si>
    <t>205/85 R 16 (YTB-210)</t>
  </si>
  <si>
    <t>028</t>
  </si>
  <si>
    <t>205/85 R 16 (YTB-804)</t>
  </si>
  <si>
    <t>029</t>
  </si>
  <si>
    <t>7.00 R 16 (YTB-210)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</si>
</sst>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mm-yyyy"/>
    <numFmt numFmtId="165" formatCode="#,##0%"/>
  </numFmts>
  <fonts count="24" x14ac:knownFonts="1">
    <font>
      <sz val="11"/>
      <color theme="1"/>
      <name val="Calibri"/>
      <family val="2"/>
      <scheme val="minor"/>
    </font>
    <font>
      <sz val="11"/>
      <color rgb="FF1a10de"/>
      <name val="Pyidaungsu"/>
      <family val="2"/>
    </font>
    <font>
      <sz val="11"/>
      <color rgb="FF3f0fef"/>
      <name val="Pyidaungsu"/>
      <family val="2"/>
    </font>
    <font>
      <b/>
      <sz val="11"/>
      <color rgb="FF1a10de"/>
      <name val="Pyidaungsu"/>
      <family val="2"/>
    </font>
    <font>
      <b/>
      <sz val="11"/>
      <color rgb="FF3f0fef"/>
      <name val="Pyidaungsu"/>
      <family val="2"/>
    </font>
    <font>
      <b/>
      <sz val="14"/>
      <color rgb="FF3333ff"/>
      <name val="Pyidaungsu"/>
      <family val="2"/>
    </font>
    <font>
      <b/>
      <sz val="11"/>
      <color rgb="FF3333ff"/>
      <name val="Pyidaungsu"/>
      <family val="2"/>
    </font>
    <font>
      <b/>
      <sz val="10"/>
      <color rgb="FF3333ff"/>
      <name val="Pyidaungsu"/>
      <family val="2"/>
    </font>
    <font>
      <sz val="10"/>
      <color rgb="FF3333ff"/>
      <name val="Pyidaungsu"/>
      <family val="2"/>
    </font>
    <font>
      <sz val="11"/>
      <color rgb="FFff0000"/>
      <name val="Pyidaungsu"/>
      <family val="2"/>
    </font>
    <font>
      <sz val="11"/>
      <color rgb="FF3f0fef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Pyidaungsu"/>
      <family val="2"/>
    </font>
    <font>
      <b/>
      <sz val="11"/>
      <color rgb="FF000000"/>
      <name val="Pyidaungsu"/>
      <family val="2"/>
    </font>
    <font>
      <b/>
      <sz val="14"/>
      <color theme="1"/>
      <name val="Pyidaungsu"/>
      <family val="2"/>
    </font>
    <font>
      <b/>
      <sz val="11"/>
      <color theme="1"/>
      <name val="Pyidaungsu"/>
      <family val="2"/>
    </font>
    <font>
      <sz val="11"/>
      <color rgb="FF000000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b/>
      <sz val="10"/>
      <color theme="1"/>
      <name val="Pyidaungsu"/>
      <family val="2"/>
    </font>
    <font>
      <b/>
      <sz val="10"/>
      <color rgb="FFff0000"/>
      <name val="Pyidaungsu"/>
      <family val="2"/>
    </font>
    <font>
      <sz val="11"/>
      <color rgb="FF1a10de"/>
      <name val="Calibri"/>
      <family val="2"/>
    </font>
    <font>
      <sz val="11"/>
      <color theme="1"/>
      <name val="Pyidaungsu"/>
      <family val="2"/>
    </font>
    <font>
      <sz val="11"/>
      <color rgb="FF006600"/>
      <name val="Pyidaungsu"/>
      <family val="2"/>
    </font>
  </fonts>
  <fills count="5">
    <fill>
      <patternFill patternType="none"/>
    </fill>
    <fill>
      <patternFill patternType="gray125"/>
    </fill>
    <fill>
      <patternFill patternType="solid">
        <fgColor rgb="FFfcd5b5"/>
      </patternFill>
    </fill>
    <fill>
      <patternFill patternType="solid">
        <fgColor rgb="FFffff00"/>
      </patternFill>
    </fill>
    <fill>
      <patternFill patternType="solid">
        <fgColor rgb="FFb9cde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0">
    <xf xfId="0" numFmtId="0" borderId="0" fontId="0" fillId="0"/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center" vertical="top"/>
    </xf>
    <xf xfId="0" numFmtId="49" applyNumberFormat="1" borderId="3" applyBorder="1" fontId="3" applyFont="1" fillId="0" applyAlignment="1">
      <alignment horizontal="center" vertical="top"/>
    </xf>
    <xf xfId="0" numFmtId="0" borderId="3" applyBorder="1" fontId="3" applyFont="1" fillId="0" applyAlignment="1">
      <alignment horizontal="center" vertical="top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3" applyNumberFormat="1" borderId="3" applyBorder="1" fontId="4" applyFont="1" fillId="0" applyAlignment="1">
      <alignment horizontal="center"/>
    </xf>
    <xf xfId="0" numFmtId="164" applyNumberFormat="1" borderId="3" applyBorder="1" fontId="4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4" applyBorder="1" fontId="4" applyFont="1" fillId="0" applyAlignment="1">
      <alignment horizontal="center"/>
    </xf>
    <xf xfId="0" numFmtId="3" applyNumberFormat="1" borderId="5" applyBorder="1" fontId="4" applyFont="1" fillId="0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49" applyNumberFormat="1" borderId="6" applyBorder="1" fontId="1" applyFont="1" fillId="0" applyAlignment="1">
      <alignment horizontal="center"/>
    </xf>
    <xf xfId="0" numFmtId="0" borderId="6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49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center"/>
    </xf>
    <xf xfId="0" numFmtId="0" borderId="3" applyBorder="1" fontId="1" applyFont="1" fillId="0" applyAlignment="1">
      <alignment horizontal="left" wrapText="1"/>
    </xf>
    <xf xfId="0" numFmtId="49" applyNumberFormat="1" borderId="3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9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2" applyBorder="1" fontId="5" applyFont="1" fillId="0" applyAlignment="1">
      <alignment horizontal="center"/>
    </xf>
    <xf xfId="0" numFmtId="3" applyNumberFormat="1" borderId="2" applyBorder="1" fontId="5" applyFont="1" fillId="0" applyAlignment="1">
      <alignment horizontal="right"/>
    </xf>
    <xf xfId="0" numFmtId="3" applyNumberFormat="1" borderId="6" applyBorder="1" fontId="6" applyFont="1" fillId="0" applyAlignment="1">
      <alignment horizontal="center" vertical="top"/>
    </xf>
    <xf xfId="0" numFmtId="49" applyNumberFormat="1" borderId="6" applyBorder="1" fontId="7" applyFont="1" fillId="0" applyAlignment="1">
      <alignment horizontal="center" vertical="top"/>
    </xf>
    <xf xfId="0" numFmtId="0" borderId="6" applyBorder="1" fontId="6" applyFont="1" fillId="0" applyAlignment="1">
      <alignment horizontal="center" vertical="top"/>
    </xf>
    <xf xfId="0" numFmtId="3" applyNumberFormat="1" borderId="3" applyBorder="1" fontId="6" applyFont="1" fillId="0" applyAlignment="1">
      <alignment horizontal="center"/>
    </xf>
    <xf xfId="0" numFmtId="164" applyNumberFormat="1" borderId="3" applyBorder="1" fontId="6" applyFont="1" fillId="0" applyAlignment="1">
      <alignment horizontal="center"/>
    </xf>
    <xf xfId="0" numFmtId="3" applyNumberFormat="1" borderId="8" applyBorder="1" fontId="6" applyFont="1" fillId="0" applyAlignment="1">
      <alignment horizontal="center"/>
    </xf>
    <xf xfId="0" numFmtId="3" applyNumberFormat="1" borderId="8" applyBorder="1" fontId="7" applyFont="1" fillId="0" applyAlignment="1">
      <alignment horizontal="center"/>
    </xf>
    <xf xfId="0" numFmtId="0" borderId="8" applyBorder="1" fontId="6" applyFont="1" fillId="0" applyAlignment="1">
      <alignment horizontal="center"/>
    </xf>
    <xf xfId="0" numFmtId="3" applyNumberFormat="1" borderId="4" applyBorder="1" fontId="6" applyFont="1" fillId="0" applyAlignment="1">
      <alignment horizontal="center"/>
    </xf>
    <xf xfId="0" numFmtId="3" applyNumberFormat="1" borderId="5" applyBorder="1" fontId="6" applyFont="1" fillId="0" applyAlignment="1">
      <alignment horizontal="center"/>
    </xf>
    <xf xfId="0" numFmtId="3" applyNumberFormat="1" borderId="7" applyBorder="1" fontId="6" applyFont="1" fillId="0" applyAlignment="1">
      <alignment horizontal="center"/>
    </xf>
    <xf xfId="0" numFmtId="3" applyNumberFormat="1" borderId="7" applyBorder="1" fontId="7" applyFont="1" fillId="0" applyAlignment="1">
      <alignment horizontal="center"/>
    </xf>
    <xf xfId="0" numFmtId="0" borderId="7" applyBorder="1" fontId="6" applyFont="1" fillId="0" applyAlignment="1">
      <alignment horizontal="center"/>
    </xf>
    <xf xfId="0" numFmtId="3" applyNumberFormat="1" borderId="3" applyBorder="1" fontId="8" applyFont="1" fillId="0" applyAlignment="1">
      <alignment horizontal="center"/>
    </xf>
    <xf xfId="0" numFmtId="49" applyNumberFormat="1" borderId="3" applyBorder="1" fontId="8" applyFont="1" fillId="0" applyAlignment="1">
      <alignment horizontal="center"/>
    </xf>
    <xf xfId="0" numFmtId="0" borderId="3" applyBorder="1" fontId="8" applyFont="1" fillId="0" applyAlignment="1">
      <alignment horizontal="left"/>
    </xf>
    <xf xfId="0" numFmtId="49" applyNumberFormat="1" borderId="6" applyBorder="1" fontId="8" applyFont="1" fillId="0" applyAlignment="1">
      <alignment horizontal="center"/>
    </xf>
    <xf xfId="0" numFmtId="0" borderId="6" applyBorder="1" fontId="8" applyFont="1" fillId="0" applyAlignment="1">
      <alignment horizontal="left"/>
    </xf>
    <xf xfId="0" numFmtId="49" applyNumberFormat="1" borderId="9" applyBorder="1" fontId="8" applyFont="1" fillId="0" applyAlignment="1">
      <alignment horizontal="center"/>
    </xf>
    <xf xfId="0" numFmtId="0" borderId="5" applyBorder="1" fontId="8" applyFont="1" fillId="0" applyAlignment="1">
      <alignment horizontal="left"/>
    </xf>
    <xf xfId="0" numFmtId="0" borderId="5" applyBorder="1" fontId="8" applyFont="1" fillId="0" applyAlignment="1">
      <alignment horizontal="left" wrapText="1"/>
    </xf>
    <xf xfId="0" numFmtId="3" applyNumberFormat="1" borderId="4" applyBorder="1" fontId="7" applyFont="1" fillId="0" applyAlignment="1">
      <alignment horizontal="center"/>
    </xf>
    <xf xfId="0" numFmtId="49" applyNumberFormat="1" borderId="10" applyBorder="1" fontId="7" applyFont="1" fillId="0" applyAlignment="1">
      <alignment horizontal="center"/>
    </xf>
    <xf xfId="0" numFmtId="0" borderId="5" applyBorder="1" fontId="7" applyFont="1" fillId="0" applyAlignment="1">
      <alignment horizontal="center"/>
    </xf>
    <xf xfId="0" numFmtId="3" applyNumberFormat="1" borderId="3" applyBorder="1" fontId="7" applyFont="1" fillId="0" applyAlignment="1">
      <alignment horizontal="center"/>
    </xf>
    <xf xfId="0" numFmtId="3" applyNumberFormat="1" borderId="1" applyBorder="1" fontId="8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49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3" applyNumberFormat="1" borderId="1" applyBorder="1" fontId="10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49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165" applyNumberFormat="1" borderId="1" applyBorder="1" fontId="4" applyFont="1" fillId="0" applyAlignment="1">
      <alignment horizontal="center"/>
    </xf>
    <xf xfId="0" numFmtId="165" applyNumberFormat="1" borderId="1" applyBorder="1" fontId="4" applyFont="1" fillId="0" applyAlignment="1">
      <alignment horizontal="left"/>
    </xf>
    <xf xfId="0" numFmtId="3" applyNumberFormat="1" borderId="1" applyBorder="1" fontId="12" applyFont="1" fillId="0" applyAlignment="1">
      <alignment horizontal="left"/>
    </xf>
    <xf xfId="0" numFmtId="3" applyNumberFormat="1" borderId="1" applyBorder="1" fontId="13" applyFont="1" fillId="0" applyAlignment="1">
      <alignment horizontal="center"/>
    </xf>
    <xf xfId="0" numFmtId="3" applyNumberFormat="1" borderId="2" applyBorder="1" fontId="14" applyFont="1" fillId="0" applyAlignment="1">
      <alignment horizontal="left"/>
    </xf>
    <xf xfId="0" numFmtId="3" applyNumberFormat="1" borderId="3" applyBorder="1" fontId="4" applyFont="1" fillId="0" applyAlignment="1">
      <alignment horizontal="center" vertical="top"/>
    </xf>
    <xf xfId="0" numFmtId="49" applyNumberFormat="1" borderId="3" applyBorder="1" fontId="4" applyFont="1" fillId="0" applyAlignment="1">
      <alignment horizontal="center" vertical="top"/>
    </xf>
    <xf xfId="0" numFmtId="0" borderId="3" applyBorder="1" fontId="4" applyFont="1" fillId="0" applyAlignment="1">
      <alignment horizontal="center" vertical="top"/>
    </xf>
    <xf xfId="0" numFmtId="164" applyNumberFormat="1" borderId="3" applyBorder="1" fontId="13" applyFont="1" fillId="2" applyFill="1" applyAlignment="1">
      <alignment horizontal="center"/>
    </xf>
    <xf xfId="0" numFmtId="164" applyNumberFormat="1" borderId="3" applyBorder="1" fontId="15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165" applyNumberFormat="1" borderId="3" applyBorder="1" fontId="4" applyFont="1" fillId="0" applyAlignment="1">
      <alignment horizontal="center" vertical="top"/>
    </xf>
    <xf xfId="0" numFmtId="3" applyNumberFormat="1" borderId="3" applyBorder="1" fontId="13" applyFont="1" fillId="2" applyFill="1" applyAlignment="1">
      <alignment horizontal="center"/>
    </xf>
    <xf xfId="0" numFmtId="3" applyNumberFormat="1" borderId="3" applyBorder="1" fontId="15" applyFont="1" fillId="0" applyAlignment="1">
      <alignment horizontal="center"/>
    </xf>
    <xf xfId="0" numFmtId="165" applyNumberFormat="1" borderId="3" applyBorder="1" fontId="4" applyFont="1" fillId="0" applyAlignment="1">
      <alignment horizontal="center"/>
    </xf>
    <xf xfId="0" numFmtId="3" applyNumberFormat="1" borderId="3" applyBorder="1" fontId="12" applyFont="1" fillId="0" applyAlignment="1">
      <alignment horizontal="center"/>
    </xf>
    <xf xfId="0" numFmtId="3" applyNumberFormat="1" borderId="3" applyBorder="1" fontId="12" applyFont="1" fillId="2" applyFill="1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49" applyNumberFormat="1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left"/>
    </xf>
    <xf xfId="0" numFmtId="165" applyNumberFormat="1" borderId="3" applyBorder="1" fontId="2" applyFont="1" fillId="0" applyAlignment="1">
      <alignment horizontal="center"/>
    </xf>
    <xf xfId="0" numFmtId="3" applyNumberFormat="1" borderId="3" applyBorder="1" fontId="9" applyFont="1" fillId="0" applyAlignment="1">
      <alignment horizontal="center"/>
    </xf>
    <xf xfId="0" numFmtId="3" applyNumberFormat="1" borderId="3" applyBorder="1" fontId="16" applyFont="1" fillId="2" applyFill="1" applyAlignment="1">
      <alignment horizontal="center"/>
    </xf>
    <xf xfId="0" numFmtId="3" applyNumberFormat="1" borderId="3" applyBorder="1" fontId="9" applyFont="1" fillId="2" applyFill="1" applyAlignment="1">
      <alignment horizontal="center"/>
    </xf>
    <xf xfId="0" numFmtId="3" applyNumberFormat="1" borderId="3" applyBorder="1" fontId="17" applyFont="1" fillId="0" applyAlignment="1">
      <alignment horizontal="center"/>
    </xf>
    <xf xfId="0" numFmtId="3" applyNumberFormat="1" borderId="3" applyBorder="1" fontId="18" applyFont="1" fillId="0" applyAlignment="1">
      <alignment horizontal="center"/>
    </xf>
    <xf xfId="0" numFmtId="3" applyNumberFormat="1" borderId="3" applyBorder="1" fontId="18" applyFont="1" fillId="0" applyAlignment="1">
      <alignment horizontal="center" wrapText="1"/>
    </xf>
    <xf xfId="0" numFmtId="3" applyNumberFormat="1" borderId="3" applyBorder="1" fontId="9" applyFont="1" fillId="2" applyFill="1" applyAlignment="1">
      <alignment horizontal="center" wrapText="1"/>
    </xf>
    <xf xfId="0" numFmtId="3" applyNumberFormat="1" borderId="3" applyBorder="1" fontId="16" applyFont="1" fillId="3" applyFill="1" applyAlignment="1">
      <alignment horizontal="center"/>
    </xf>
    <xf xfId="0" numFmtId="3" applyNumberFormat="1" borderId="3" applyBorder="1" fontId="9" applyFont="1" fillId="3" applyFill="1" applyAlignment="1">
      <alignment horizontal="center"/>
    </xf>
    <xf xfId="0" numFmtId="49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165" applyNumberFormat="1" borderId="3" applyBorder="1" fontId="1" applyFont="1" fillId="0" applyAlignment="1">
      <alignment horizontal="center"/>
    </xf>
    <xf xfId="0" numFmtId="0" borderId="3" applyBorder="1" fontId="2" applyFont="1" fillId="0" applyAlignment="1">
      <alignment horizontal="left" wrapText="1"/>
    </xf>
    <xf xfId="0" numFmtId="49" applyNumberFormat="1" borderId="3" applyBorder="1" fontId="4" applyFont="1" fillId="0" applyAlignment="1">
      <alignment horizontal="center"/>
    </xf>
    <xf xfId="0" numFmtId="3" applyNumberFormat="1" borderId="3" applyBorder="1" fontId="13" applyFont="1" fillId="2" applyFill="1" applyAlignment="1">
      <alignment horizontal="right"/>
    </xf>
    <xf xfId="0" numFmtId="3" applyNumberFormat="1" borderId="3" applyBorder="1" fontId="19" applyFont="1" fillId="0" applyAlignment="1">
      <alignment horizontal="center"/>
    </xf>
    <xf xfId="0" numFmtId="3" applyNumberFormat="1" borderId="3" applyBorder="1" fontId="20" applyFont="1" fillId="0" applyAlignment="1">
      <alignment horizontal="center"/>
    </xf>
    <xf xfId="0" numFmtId="3" applyNumberFormat="1" borderId="1" applyBorder="1" fontId="16" applyFont="1" fillId="0" applyAlignment="1">
      <alignment horizontal="left"/>
    </xf>
    <xf xfId="0" numFmtId="3" applyNumberFormat="1" borderId="1" applyBorder="1" fontId="17" applyFont="1" fillId="0" applyAlignment="1">
      <alignment horizontal="left"/>
    </xf>
    <xf xfId="0" numFmtId="3" applyNumberFormat="1" borderId="1" applyBorder="1" fontId="18" applyFont="1" fillId="0" applyAlignment="1">
      <alignment horizontal="center"/>
    </xf>
    <xf xfId="0" numFmtId="3" applyNumberFormat="1" borderId="1" applyBorder="1" fontId="16" applyFont="1" fillId="0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49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165" applyNumberFormat="1" borderId="0" fontId="0" fillId="0" applyAlignment="1">
      <alignment horizontal="general"/>
    </xf>
    <xf xfId="0" numFmtId="165" applyNumberFormat="1" borderId="0" fontId="0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3" applyNumberFormat="1" borderId="1" applyBorder="1" fontId="21" applyFont="1" fillId="0" applyAlignment="1">
      <alignment horizontal="left"/>
    </xf>
    <xf xfId="0" numFmtId="165" applyNumberFormat="1" borderId="1" applyBorder="1" fontId="3" applyFont="1" fillId="0" applyAlignment="1">
      <alignment horizontal="center"/>
    </xf>
    <xf xfId="0" numFmtId="165" applyNumberFormat="1" borderId="1" applyBorder="1" fontId="3" applyFont="1" fillId="0" applyAlignment="1">
      <alignment horizontal="left"/>
    </xf>
    <xf xfId="0" numFmtId="3" applyNumberFormat="1" borderId="2" applyBorder="1" fontId="14" applyFont="1" fillId="0" applyAlignment="1">
      <alignment horizontal="center"/>
    </xf>
    <xf xfId="0" numFmtId="165" applyNumberFormat="1" borderId="3" applyBorder="1" fontId="3" applyFont="1" fillId="0" applyAlignment="1">
      <alignment horizontal="center" vertical="top"/>
    </xf>
    <xf xfId="0" numFmtId="165" applyNumberFormat="1" borderId="3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10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3" applyNumberFormat="1" borderId="4" applyBorder="1" fontId="15" applyFont="1" fillId="0" applyAlignment="1">
      <alignment horizontal="center"/>
    </xf>
    <xf xfId="0" numFmtId="3" applyNumberFormat="1" borderId="10" applyBorder="1" fontId="15" applyFont="1" fillId="0" applyAlignment="1">
      <alignment horizontal="center"/>
    </xf>
    <xf xfId="0" numFmtId="3" applyNumberFormat="1" borderId="5" applyBorder="1" fontId="15" applyFont="1" fillId="0" applyAlignment="1">
      <alignment horizontal="center"/>
    </xf>
    <xf xfId="0" numFmtId="3" applyNumberFormat="1" borderId="3" applyBorder="1" fontId="22" applyFont="1" fillId="2" applyFill="1" applyAlignment="1">
      <alignment horizontal="center"/>
    </xf>
    <xf xfId="0" numFmtId="3" applyNumberFormat="1" borderId="3" applyBorder="1" fontId="9" applyFont="1" fillId="2" applyFill="1" applyAlignment="1">
      <alignment horizontal="right"/>
    </xf>
    <xf xfId="0" numFmtId="3" applyNumberFormat="1" borderId="3" applyBorder="1" fontId="22" applyFont="1" fillId="3" applyFill="1" applyAlignment="1">
      <alignment horizontal="center"/>
    </xf>
    <xf xfId="0" numFmtId="49" applyNumberFormat="1" borderId="10" applyBorder="1" fontId="3" applyFont="1" fillId="0" applyAlignment="1">
      <alignment horizontal="center"/>
    </xf>
    <xf xfId="0" numFmtId="0" borderId="5" applyBorder="1" fontId="3" applyFont="1" fillId="0" applyAlignment="1">
      <alignment horizontal="center"/>
    </xf>
    <xf xfId="0" numFmtId="165" applyNumberFormat="1" borderId="5" applyBorder="1" fontId="3" applyFont="1" fillId="0" applyAlignment="1">
      <alignment horizontal="center"/>
    </xf>
    <xf xfId="0" numFmtId="3" applyNumberFormat="1" borderId="1" applyBorder="1" fontId="12" applyFont="1" fillId="0" applyAlignment="1">
      <alignment horizontal="center"/>
    </xf>
    <xf xfId="0" numFmtId="165" applyNumberFormat="1" borderId="1" applyBorder="1" fontId="1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4" applyBorder="1" fontId="3" applyFont="1" fillId="0" applyAlignment="1">
      <alignment horizontal="center"/>
    </xf>
    <xf xfId="0" numFmtId="164" applyNumberFormat="1" borderId="10" applyBorder="1" fontId="3" applyFont="1" fillId="0" applyAlignment="1">
      <alignment horizontal="center"/>
    </xf>
    <xf xfId="0" numFmtId="164" applyNumberFormat="1" borderId="5" applyBorder="1" fontId="3" applyFont="1" fillId="0" applyAlignment="1">
      <alignment horizontal="center"/>
    </xf>
    <xf xfId="0" numFmtId="164" applyNumberFormat="1" borderId="4" applyBorder="1" fontId="4" applyFont="1" fillId="0" applyAlignment="1">
      <alignment horizontal="center"/>
    </xf>
    <xf xfId="0" numFmtId="164" applyNumberFormat="1" borderId="10" applyBorder="1" fontId="4" applyFont="1" fillId="0" applyAlignment="1">
      <alignment horizontal="center"/>
    </xf>
    <xf xfId="0" numFmtId="164" applyNumberFormat="1" borderId="5" applyBorder="1" fontId="4" applyFont="1" fillId="0" applyAlignment="1">
      <alignment horizontal="center"/>
    </xf>
    <xf xfId="0" numFmtId="165" applyNumberFormat="1" borderId="6" applyBorder="1" fontId="3" applyFont="1" fillId="0" applyAlignment="1">
      <alignment horizontal="center" vertical="top"/>
    </xf>
    <xf xfId="0" numFmtId="165" applyNumberFormat="1" borderId="6" applyBorder="1" fontId="4" applyFont="1" fillId="0" applyAlignment="1">
      <alignment horizontal="center" vertical="top"/>
    </xf>
    <xf xfId="0" numFmtId="3" applyNumberFormat="1" borderId="10" applyBorder="1" fontId="4" applyFont="1" fillId="0" applyAlignment="1">
      <alignment horizontal="center"/>
    </xf>
    <xf xfId="0" numFmtId="165" applyNumberFormat="1" borderId="7" applyBorder="1" fontId="3" applyFont="1" fillId="0" applyAlignment="1">
      <alignment horizontal="center"/>
    </xf>
    <xf xfId="0" numFmtId="165" applyNumberFormat="1" borderId="7" applyBorder="1" fontId="4" applyFont="1" fillId="0" applyAlignment="1">
      <alignment horizontal="center"/>
    </xf>
    <xf xfId="0" numFmtId="3" applyNumberFormat="1" borderId="3" applyBorder="1" fontId="2" applyFont="1" fillId="4" applyFill="1" applyAlignment="1">
      <alignment horizontal="center"/>
    </xf>
    <xf xfId="0" numFmtId="165" applyNumberFormat="1" borderId="3" applyBorder="1" fontId="9" applyFont="1" fillId="0" applyAlignment="1">
      <alignment horizontal="center"/>
    </xf>
    <xf xfId="0" numFmtId="3" applyNumberFormat="1" borderId="3" applyBorder="1" fontId="16" applyFont="1" fillId="0" applyAlignment="1">
      <alignment horizontal="center"/>
    </xf>
    <xf xfId="0" numFmtId="165" applyNumberFormat="1" borderId="3" applyBorder="1" fontId="23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9" applyNumberFormat="1" borderId="10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165" applyNumberFormat="1" borderId="5" applyBorder="1" fontId="1" applyFont="1" fillId="0" applyAlignment="1">
      <alignment horizontal="center"/>
    </xf>
    <xf xfId="0" numFmtId="165" applyNumberFormat="1" borderId="5" applyBorder="1" fontId="2" applyFont="1" fillId="0" applyAlignment="1">
      <alignment horizontal="center"/>
    </xf>
    <xf xfId="0" numFmtId="3" applyNumberFormat="1" borderId="1" applyBorder="1" fontId="16" applyFont="1" fillId="0" applyAlignment="1">
      <alignment horizontal="right"/>
    </xf>
    <xf xfId="0" numFmtId="3" applyNumberFormat="1" borderId="3" applyBorder="1" fontId="1" applyFont="1" fillId="3" applyFill="1" applyAlignment="1">
      <alignment horizontal="center"/>
    </xf>
    <xf xfId="0" numFmtId="3" applyNumberFormat="1" borderId="3" applyBorder="1" fontId="9" applyFont="1" fillId="0" applyAlignment="1">
      <alignment horizontal="left"/>
    </xf>
    <xf xfId="0" numFmtId="49" applyNumberFormat="1" borderId="0" fontId="0" fillId="0" applyAlignment="1">
      <alignment horizontal="center"/>
    </xf>
    <xf xfId="0" numFmtId="49" applyNumberFormat="1" borderId="1" applyBorder="1" fontId="13" applyFont="1" fillId="0" applyAlignment="1">
      <alignment horizontal="center"/>
    </xf>
    <xf xfId="0" numFmtId="0" borderId="1" applyBorder="1" fontId="13" applyFont="1" fillId="0" applyAlignment="1">
      <alignment horizontal="center"/>
    </xf>
    <xf xfId="0" numFmtId="3" applyNumberFormat="1" borderId="3" applyBorder="1" fontId="13" applyFont="1" fillId="0" applyAlignment="1">
      <alignment horizontal="center"/>
    </xf>
    <xf xfId="0" numFmtId="49" applyNumberFormat="1" borderId="3" applyBorder="1" fontId="13" applyFont="1" fillId="0" applyAlignment="1">
      <alignment horizontal="center"/>
    </xf>
    <xf xfId="0" numFmtId="0" borderId="3" applyBorder="1" fontId="13" applyFont="1" fillId="0" applyAlignment="1">
      <alignment horizontal="center"/>
    </xf>
    <xf xfId="0" numFmtId="3" applyNumberFormat="1" borderId="3" applyBorder="1" fontId="22" applyFont="1" fillId="0" applyAlignment="1">
      <alignment horizontal="center"/>
    </xf>
    <xf xfId="0" numFmtId="49" applyNumberFormat="1" borderId="3" applyBorder="1" fontId="22" applyFont="1" fillId="0" applyAlignment="1">
      <alignment horizontal="center"/>
    </xf>
    <xf xfId="0" numFmtId="0" borderId="3" applyBorder="1" fontId="22" applyFont="1" fillId="0" applyAlignment="1">
      <alignment horizontal="left"/>
    </xf>
    <xf xfId="0" numFmtId="0" borderId="1" applyBorder="1" fontId="22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3" applyBorder="1" fontId="16" applyFont="1" fillId="0" applyAlignment="1">
      <alignment horizontal="left"/>
    </xf>
    <xf xfId="0" numFmtId="49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/>
  </sheetViews>
  <sheetFormatPr defaultRowHeight="15" x14ac:dyDescent="0.25"/>
  <cols>
    <col min="1" max="1" style="38" width="10.719285714285713" customWidth="1" bestFit="1"/>
    <col min="2" max="2" style="189" width="14.147857142857141" customWidth="1" bestFit="1"/>
    <col min="3" max="3" style="37" width="46.43357142857143" customWidth="1" bestFit="1"/>
    <col min="4" max="4" style="37" width="13.576428571428572" customWidth="1" bestFit="1"/>
    <col min="5" max="5" style="37" width="13.576428571428572" customWidth="1" bestFit="1"/>
    <col min="6" max="6" style="37" width="13.576428571428572" customWidth="1" bestFit="1"/>
  </cols>
  <sheetData>
    <row x14ac:dyDescent="0.25" r="1" customHeight="1" ht="18.75">
      <c r="A1" s="74"/>
      <c r="B1" s="177"/>
      <c r="C1" s="3"/>
      <c r="D1" s="3"/>
      <c r="E1" s="3"/>
      <c r="F1" s="3"/>
    </row>
    <row x14ac:dyDescent="0.25" r="2" customHeight="1" ht="22.5">
      <c r="A2" s="85" t="s">
        <v>115</v>
      </c>
      <c r="B2" s="178"/>
      <c r="C2" s="179"/>
      <c r="D2" s="3"/>
      <c r="E2" s="3"/>
      <c r="F2" s="3"/>
    </row>
    <row x14ac:dyDescent="0.25" r="3" customHeight="1" ht="18.75">
      <c r="A3" s="74"/>
      <c r="B3" s="177"/>
      <c r="C3" s="3"/>
      <c r="D3" s="3"/>
      <c r="E3" s="3"/>
      <c r="F3" s="3"/>
    </row>
    <row x14ac:dyDescent="0.25" r="4" customHeight="1" ht="22.5">
      <c r="A4" s="180" t="s">
        <v>116</v>
      </c>
      <c r="B4" s="181" t="s">
        <v>3</v>
      </c>
      <c r="C4" s="182" t="s">
        <v>4</v>
      </c>
      <c r="D4" s="3"/>
      <c r="E4" s="3"/>
      <c r="F4" s="3"/>
    </row>
    <row x14ac:dyDescent="0.25" r="5" customHeight="1" ht="22.5">
      <c r="A5" s="183">
        <v>1</v>
      </c>
      <c r="B5" s="184" t="s">
        <v>13</v>
      </c>
      <c r="C5" s="185" t="s">
        <v>117</v>
      </c>
      <c r="D5" s="3"/>
      <c r="E5" s="3"/>
      <c r="F5" s="3"/>
    </row>
    <row x14ac:dyDescent="0.25" r="6" customHeight="1" ht="22.5">
      <c r="A6" s="183">
        <v>2</v>
      </c>
      <c r="B6" s="184" t="s">
        <v>15</v>
      </c>
      <c r="C6" s="185" t="s">
        <v>118</v>
      </c>
      <c r="D6" s="3"/>
      <c r="E6" s="3"/>
      <c r="F6" s="3"/>
    </row>
    <row x14ac:dyDescent="0.25" r="7" customHeight="1" ht="22.5">
      <c r="A7" s="183">
        <v>3</v>
      </c>
      <c r="B7" s="184" t="s">
        <v>17</v>
      </c>
      <c r="C7" s="185" t="s">
        <v>18</v>
      </c>
      <c r="D7" s="3"/>
      <c r="E7" s="3"/>
      <c r="F7" s="3"/>
    </row>
    <row x14ac:dyDescent="0.25" r="8" customHeight="1" ht="22.5">
      <c r="A8" s="183">
        <v>4</v>
      </c>
      <c r="B8" s="184" t="s">
        <v>19</v>
      </c>
      <c r="C8" s="185" t="s">
        <v>119</v>
      </c>
      <c r="D8" s="3"/>
      <c r="E8" s="3"/>
      <c r="F8" s="3"/>
    </row>
    <row x14ac:dyDescent="0.25" r="9" customHeight="1" ht="22.5">
      <c r="A9" s="183">
        <v>5</v>
      </c>
      <c r="B9" s="184" t="s">
        <v>21</v>
      </c>
      <c r="C9" s="185" t="s">
        <v>120</v>
      </c>
      <c r="D9" s="3"/>
      <c r="E9" s="3"/>
      <c r="F9" s="3"/>
    </row>
    <row x14ac:dyDescent="0.25" r="10" customHeight="1" ht="22.5">
      <c r="A10" s="183">
        <v>6</v>
      </c>
      <c r="B10" s="184" t="s">
        <v>23</v>
      </c>
      <c r="C10" s="185" t="s">
        <v>121</v>
      </c>
      <c r="D10" s="3"/>
      <c r="E10" s="3"/>
      <c r="F10" s="3"/>
    </row>
    <row x14ac:dyDescent="0.25" r="11" customHeight="1" ht="22.5">
      <c r="A11" s="183">
        <v>7</v>
      </c>
      <c r="B11" s="184" t="s">
        <v>25</v>
      </c>
      <c r="C11" s="185" t="s">
        <v>122</v>
      </c>
      <c r="D11" s="3"/>
      <c r="E11" s="3"/>
      <c r="F11" s="3"/>
    </row>
    <row x14ac:dyDescent="0.25" r="12" customHeight="1" ht="22.5">
      <c r="A12" s="183">
        <v>8</v>
      </c>
      <c r="B12" s="184" t="s">
        <v>27</v>
      </c>
      <c r="C12" s="185" t="s">
        <v>28</v>
      </c>
      <c r="D12" s="3"/>
      <c r="E12" s="186"/>
      <c r="F12" s="187"/>
    </row>
    <row x14ac:dyDescent="0.25" r="13" customHeight="1" ht="22.5">
      <c r="A13" s="183">
        <v>9</v>
      </c>
      <c r="B13" s="184" t="s">
        <v>29</v>
      </c>
      <c r="C13" s="188" t="s">
        <v>30</v>
      </c>
      <c r="D13" s="3"/>
      <c r="E13" s="3"/>
      <c r="F13" s="3"/>
    </row>
    <row x14ac:dyDescent="0.25" r="14" customHeight="1" ht="22.5">
      <c r="A14" s="183">
        <v>10</v>
      </c>
      <c r="B14" s="184" t="s">
        <v>31</v>
      </c>
      <c r="C14" s="185" t="s">
        <v>123</v>
      </c>
      <c r="D14" s="3"/>
      <c r="E14" s="3"/>
      <c r="F14" s="3"/>
    </row>
    <row x14ac:dyDescent="0.25" r="15" customHeight="1" ht="22.5">
      <c r="A15" s="183">
        <v>11</v>
      </c>
      <c r="B15" s="184" t="s">
        <v>33</v>
      </c>
      <c r="C15" s="185" t="s">
        <v>34</v>
      </c>
      <c r="D15" s="3"/>
      <c r="E15" s="3"/>
      <c r="F15" s="3"/>
    </row>
    <row x14ac:dyDescent="0.25" r="16" customHeight="1" ht="22.5">
      <c r="A16" s="183">
        <v>12</v>
      </c>
      <c r="B16" s="184" t="s">
        <v>35</v>
      </c>
      <c r="C16" s="185" t="s">
        <v>124</v>
      </c>
      <c r="D16" s="3"/>
      <c r="E16" s="3"/>
      <c r="F16" s="3"/>
    </row>
    <row x14ac:dyDescent="0.25" r="17" customHeight="1" ht="22.5">
      <c r="A17" s="183">
        <v>13</v>
      </c>
      <c r="B17" s="184" t="s">
        <v>37</v>
      </c>
      <c r="C17" s="185" t="s">
        <v>38</v>
      </c>
      <c r="D17" s="3"/>
      <c r="E17" s="3"/>
      <c r="F17" s="3"/>
    </row>
    <row x14ac:dyDescent="0.25" r="18" customHeight="1" ht="22.5">
      <c r="A18" s="183">
        <v>14</v>
      </c>
      <c r="B18" s="184" t="s">
        <v>39</v>
      </c>
      <c r="C18" s="185" t="s">
        <v>125</v>
      </c>
      <c r="D18" s="3"/>
      <c r="E18" s="3"/>
      <c r="F18" s="3"/>
    </row>
    <row x14ac:dyDescent="0.25" r="19" customHeight="1" ht="22.5">
      <c r="A19" s="183">
        <v>15</v>
      </c>
      <c r="B19" s="184" t="s">
        <v>41</v>
      </c>
      <c r="C19" s="185" t="s">
        <v>126</v>
      </c>
      <c r="D19" s="3"/>
      <c r="E19" s="3"/>
      <c r="F19" s="3"/>
    </row>
    <row x14ac:dyDescent="0.25" r="20" customHeight="1" ht="22.5">
      <c r="A20" s="183">
        <v>16</v>
      </c>
      <c r="B20" s="184" t="s">
        <v>43</v>
      </c>
      <c r="C20" s="185" t="s">
        <v>127</v>
      </c>
      <c r="D20" s="3"/>
      <c r="E20" s="3"/>
      <c r="F20" s="3"/>
    </row>
    <row x14ac:dyDescent="0.25" r="21" customHeight="1" ht="22.5">
      <c r="A21" s="183">
        <v>17</v>
      </c>
      <c r="B21" s="184" t="s">
        <v>45</v>
      </c>
      <c r="C21" s="185" t="s">
        <v>128</v>
      </c>
      <c r="D21" s="3"/>
      <c r="E21" s="3"/>
      <c r="F21" s="3"/>
    </row>
    <row x14ac:dyDescent="0.25" r="22" customHeight="1" ht="22.5">
      <c r="A22" s="183">
        <v>18</v>
      </c>
      <c r="B22" s="184" t="s">
        <v>47</v>
      </c>
      <c r="C22" s="188" t="s">
        <v>48</v>
      </c>
      <c r="D22" s="3"/>
      <c r="E22" s="3"/>
      <c r="F22" s="3"/>
    </row>
    <row x14ac:dyDescent="0.25" r="23" customHeight="1" ht="22.5">
      <c r="A23" s="183">
        <v>19</v>
      </c>
      <c r="B23" s="184" t="s">
        <v>49</v>
      </c>
      <c r="C23" s="188" t="s">
        <v>129</v>
      </c>
      <c r="D23" s="3"/>
      <c r="E23" s="3"/>
      <c r="F23" s="3"/>
    </row>
    <row x14ac:dyDescent="0.25" r="24" customHeight="1" ht="22.5">
      <c r="A24" s="183">
        <v>20</v>
      </c>
      <c r="B24" s="184" t="s">
        <v>51</v>
      </c>
      <c r="C24" s="188" t="s">
        <v>130</v>
      </c>
      <c r="D24" s="3"/>
      <c r="E24" s="3"/>
      <c r="F24" s="3"/>
    </row>
    <row x14ac:dyDescent="0.25" r="25" customHeight="1" ht="22.5">
      <c r="A25" s="183">
        <v>21</v>
      </c>
      <c r="B25" s="184" t="s">
        <v>53</v>
      </c>
      <c r="C25" s="188" t="s">
        <v>54</v>
      </c>
      <c r="D25" s="3"/>
      <c r="E25" s="3"/>
      <c r="F25" s="3"/>
    </row>
    <row x14ac:dyDescent="0.25" r="26" customHeight="1" ht="22.5">
      <c r="A26" s="183">
        <v>22</v>
      </c>
      <c r="B26" s="184" t="s">
        <v>55</v>
      </c>
      <c r="C26" s="185" t="s">
        <v>56</v>
      </c>
      <c r="D26" s="3"/>
      <c r="E26" s="3"/>
      <c r="F26" s="3"/>
    </row>
    <row x14ac:dyDescent="0.25" r="27" customHeight="1" ht="22.5">
      <c r="A27" s="183">
        <v>23</v>
      </c>
      <c r="B27" s="184" t="s">
        <v>57</v>
      </c>
      <c r="C27" s="188" t="s">
        <v>58</v>
      </c>
      <c r="D27" s="3"/>
      <c r="E27" s="3"/>
      <c r="F27" s="3"/>
    </row>
    <row x14ac:dyDescent="0.25" r="28" customHeight="1" ht="22.5">
      <c r="A28" s="183">
        <v>24</v>
      </c>
      <c r="B28" s="184" t="s">
        <v>59</v>
      </c>
      <c r="C28" s="185" t="s">
        <v>131</v>
      </c>
      <c r="D28" s="3"/>
      <c r="E28" s="3"/>
      <c r="F28" s="3"/>
    </row>
    <row x14ac:dyDescent="0.25" r="29" customHeight="1" ht="22.5">
      <c r="A29" s="183">
        <v>25</v>
      </c>
      <c r="B29" s="184" t="s">
        <v>61</v>
      </c>
      <c r="C29" s="185" t="s">
        <v>132</v>
      </c>
      <c r="D29" s="3"/>
      <c r="E29" s="3"/>
      <c r="F29" s="3"/>
    </row>
    <row x14ac:dyDescent="0.25" r="30" customHeight="1" ht="22.5">
      <c r="A30" s="183">
        <v>26</v>
      </c>
      <c r="B30" s="184" t="s">
        <v>133</v>
      </c>
      <c r="C30" s="185" t="s">
        <v>134</v>
      </c>
      <c r="D30" s="3"/>
      <c r="E30" s="3"/>
      <c r="F30" s="3"/>
    </row>
    <row x14ac:dyDescent="0.25" r="31" customHeight="1" ht="22.5">
      <c r="A31" s="183">
        <v>27</v>
      </c>
      <c r="B31" s="184" t="s">
        <v>135</v>
      </c>
      <c r="C31" s="188" t="s">
        <v>136</v>
      </c>
      <c r="D31" s="3"/>
      <c r="E31" s="3"/>
      <c r="F31" s="3"/>
    </row>
    <row x14ac:dyDescent="0.25" r="32" customHeight="1" ht="22.5">
      <c r="A32" s="183">
        <v>28</v>
      </c>
      <c r="B32" s="184" t="s">
        <v>137</v>
      </c>
      <c r="C32" s="188" t="s">
        <v>138</v>
      </c>
      <c r="D32" s="3"/>
      <c r="E32" s="3"/>
      <c r="F32" s="3"/>
    </row>
    <row x14ac:dyDescent="0.25" r="33" customHeight="1" ht="22.5">
      <c r="A33" s="183">
        <v>29</v>
      </c>
      <c r="B33" s="184" t="s">
        <v>139</v>
      </c>
      <c r="C33" s="188" t="s">
        <v>140</v>
      </c>
      <c r="D33" s="3"/>
      <c r="E33" s="3"/>
      <c r="F33" s="3"/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36"/>
  <sheetViews>
    <sheetView workbookViewId="0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127" width="6.433571428571429" customWidth="1" bestFit="1"/>
    <col min="5" max="5" style="35" width="6.147857142857143" customWidth="1" bestFit="1"/>
    <col min="6" max="6" style="35" width="8.719285714285713" customWidth="1" bestFit="1"/>
    <col min="7" max="7" style="35" width="13.290714285714287" customWidth="1" bestFit="1"/>
    <col min="8" max="8" style="35" width="6.576428571428571" customWidth="1" bestFit="1"/>
    <col min="9" max="9" style="35" width="8.719285714285713" customWidth="1" bestFit="1"/>
    <col min="10" max="10" style="35" width="13.290714285714287" customWidth="1" bestFit="1"/>
    <col min="11" max="11" style="127" width="9.290714285714287" customWidth="1" bestFit="1"/>
    <col min="12" max="12" style="35" width="6.147857142857143" customWidth="1" bestFit="1"/>
    <col min="13" max="13" style="35" width="8.719285714285713" customWidth="1" bestFit="1"/>
    <col min="14" max="14" style="35" width="13.290714285714287" customWidth="1" bestFit="1"/>
    <col min="15" max="15" style="35" width="9.147857142857141" customWidth="1" bestFit="1"/>
    <col min="16" max="16" style="35" width="8.719285714285713" customWidth="1" bestFit="1"/>
    <col min="17" max="17" style="35" width="13.290714285714287" customWidth="1" bestFit="1"/>
    <col min="18" max="18" style="127" width="9.290714285714287" customWidth="1" bestFit="1"/>
    <col min="19" max="19" style="35" width="6.147857142857143" customWidth="1" bestFit="1"/>
    <col min="20" max="20" style="35" width="8.719285714285713" customWidth="1" bestFit="1"/>
    <col min="21" max="21" style="35" width="13.290714285714287" customWidth="1" bestFit="1"/>
    <col min="22" max="22" style="35" width="9.147857142857141" customWidth="1" bestFit="1"/>
    <col min="23" max="23" style="35" width="8.719285714285713" customWidth="1" bestFit="1"/>
    <col min="24" max="24" style="35" width="13.290714285714287" customWidth="1" bestFit="1"/>
    <col min="25" max="25" style="35" width="6.147857142857143" customWidth="1" bestFit="1"/>
    <col min="26" max="26" style="35" width="8.719285714285713" customWidth="1" bestFit="1"/>
    <col min="27" max="27" style="35" width="13.290714285714287" customWidth="1" bestFit="1"/>
    <col min="28" max="28" style="35" width="9.147857142857141" customWidth="1" bestFit="1"/>
    <col min="29" max="29" style="35" width="8.719285714285713" customWidth="1" bestFit="1"/>
    <col min="30" max="30" style="35" width="13.290714285714287" customWidth="1" bestFit="1"/>
    <col min="31" max="31" style="35" width="6.147857142857143" customWidth="1" bestFit="1"/>
    <col min="32" max="32" style="35" width="8.719285714285713" customWidth="1" bestFit="1"/>
    <col min="33" max="33" style="35" width="13.290714285714287" customWidth="1" bestFit="1"/>
    <col min="34" max="34" style="35" width="9.147857142857141" customWidth="1" bestFit="1"/>
    <col min="35" max="35" style="35" width="8.719285714285713" customWidth="1" bestFit="1"/>
    <col min="36" max="36" style="35" width="13.290714285714287" customWidth="1" bestFit="1"/>
    <col min="37" max="37" style="38" width="6.147857142857143" customWidth="1" bestFit="1"/>
    <col min="38" max="38" style="38" width="8.719285714285713" customWidth="1" bestFit="1"/>
    <col min="39" max="39" style="35" width="13.290714285714287" customWidth="1" bestFit="1"/>
    <col min="40" max="40" style="35" width="9.290714285714287" customWidth="1" bestFit="1"/>
    <col min="41" max="41" style="35" width="8.719285714285713" customWidth="1" bestFit="1"/>
    <col min="42" max="42" style="35" width="13.290714285714287" customWidth="1" bestFit="1"/>
    <col min="43" max="43" style="35" width="7.433571428571429" customWidth="1" bestFit="1"/>
    <col min="44" max="44" style="35" width="8.719285714285713" customWidth="1" bestFit="1"/>
    <col min="45" max="45" style="35" width="11.290714285714287" customWidth="1" bestFit="1"/>
    <col min="46" max="46" style="35" width="7.433571428571429" customWidth="1" bestFit="1"/>
    <col min="47" max="47" style="35" width="8.719285714285713" customWidth="1" bestFit="1"/>
    <col min="48" max="48" style="35" width="11.290714285714287" customWidth="1" bestFit="1"/>
    <col min="49" max="49" style="35" width="7.433571428571429" customWidth="1" bestFit="1"/>
    <col min="50" max="50" style="35" width="8.719285714285713" customWidth="1" bestFit="1"/>
    <col min="51" max="51" style="35" width="11.290714285714287" customWidth="1" bestFit="1"/>
    <col min="52" max="52" style="35" width="7.433571428571429" customWidth="1" bestFit="1"/>
    <col min="53" max="53" style="35" width="8.719285714285713" customWidth="1" bestFit="1"/>
    <col min="54" max="54" style="35" width="11.290714285714287" customWidth="1" bestFit="1"/>
    <col min="55" max="55" style="35" width="7.433571428571429" customWidth="1" bestFit="1"/>
    <col min="56" max="56" style="35" width="8.719285714285713" customWidth="1" bestFit="1"/>
    <col min="57" max="57" style="35" width="11.290714285714287" customWidth="1" bestFit="1"/>
    <col min="58" max="58" style="35" width="7.433571428571429" customWidth="1" bestFit="1"/>
    <col min="59" max="59" style="35" width="8.719285714285713" customWidth="1" bestFit="1"/>
    <col min="60" max="60" style="35" width="11.290714285714287" customWidth="1" bestFit="1"/>
    <col min="61" max="61" style="37" width="13.576428571428572" customWidth="1" bestFit="1"/>
  </cols>
  <sheetData>
    <row x14ac:dyDescent="0.25" r="1" customHeight="1" ht="34.5">
      <c r="A1" s="1"/>
      <c r="B1" s="2"/>
      <c r="C1" s="3"/>
      <c r="D1" s="73"/>
      <c r="E1" s="1"/>
      <c r="F1" s="1"/>
      <c r="G1" s="1"/>
      <c r="H1" s="1"/>
      <c r="I1" s="1"/>
      <c r="J1" s="1"/>
      <c r="K1" s="130"/>
      <c r="L1" s="4"/>
      <c r="M1" s="76"/>
      <c r="N1" s="5"/>
      <c r="O1" s="1"/>
      <c r="P1" s="1"/>
      <c r="Q1" s="1"/>
      <c r="R1" s="130"/>
      <c r="S1" s="4"/>
      <c r="T1" s="76"/>
      <c r="U1" s="5"/>
      <c r="V1" s="1"/>
      <c r="W1" s="1"/>
      <c r="X1" s="1"/>
      <c r="Y1" s="4"/>
      <c r="Z1" s="76"/>
      <c r="AA1" s="5"/>
      <c r="AB1" s="1"/>
      <c r="AC1" s="1"/>
      <c r="AD1" s="1"/>
      <c r="AE1" s="131"/>
      <c r="AF1" s="78"/>
      <c r="AG1" s="131"/>
      <c r="AH1" s="1"/>
      <c r="AI1" s="1"/>
      <c r="AJ1" s="1"/>
      <c r="AK1" s="4"/>
      <c r="AL1" s="76"/>
      <c r="AM1" s="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3"/>
    </row>
    <row x14ac:dyDescent="0.25" r="2" customHeight="1" ht="34.5">
      <c r="A2" s="11" t="s">
        <v>109</v>
      </c>
      <c r="B2" s="12"/>
      <c r="C2" s="3"/>
      <c r="D2" s="150"/>
      <c r="E2" s="152"/>
      <c r="F2" s="151"/>
      <c r="G2" s="152"/>
      <c r="H2" s="152"/>
      <c r="I2" s="152"/>
      <c r="J2" s="152"/>
      <c r="K2" s="133"/>
      <c r="L2" s="11"/>
      <c r="M2" s="84"/>
      <c r="N2" s="11"/>
      <c r="O2" s="11"/>
      <c r="P2" s="11"/>
      <c r="Q2" s="11"/>
      <c r="R2" s="133"/>
      <c r="S2" s="11"/>
      <c r="T2" s="84"/>
      <c r="U2" s="11"/>
      <c r="V2" s="11"/>
      <c r="W2" s="11"/>
      <c r="X2" s="11"/>
      <c r="Y2" s="11"/>
      <c r="Z2" s="84"/>
      <c r="AA2" s="11"/>
      <c r="AB2" s="11"/>
      <c r="AC2" s="11"/>
      <c r="AD2" s="11"/>
      <c r="AE2" s="11"/>
      <c r="AF2" s="84"/>
      <c r="AG2" s="11"/>
      <c r="AH2" s="11"/>
      <c r="AI2" s="11"/>
      <c r="AJ2" s="11"/>
      <c r="AK2" s="11"/>
      <c r="AL2" s="84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3"/>
    </row>
    <row x14ac:dyDescent="0.25" r="3" customHeight="1" ht="34.5">
      <c r="A3" s="15" t="s">
        <v>2</v>
      </c>
      <c r="B3" s="16" t="s">
        <v>3</v>
      </c>
      <c r="C3" s="17" t="s">
        <v>4</v>
      </c>
      <c r="D3" s="19">
        <v>44197</v>
      </c>
      <c r="E3" s="19"/>
      <c r="F3" s="19"/>
      <c r="G3" s="19"/>
      <c r="H3" s="90">
        <v>44562</v>
      </c>
      <c r="I3" s="90"/>
      <c r="J3" s="90"/>
      <c r="K3" s="19">
        <v>44228</v>
      </c>
      <c r="L3" s="19"/>
      <c r="M3" s="19"/>
      <c r="N3" s="19"/>
      <c r="O3" s="90">
        <v>44593</v>
      </c>
      <c r="P3" s="90"/>
      <c r="Q3" s="90"/>
      <c r="R3" s="19">
        <v>44256</v>
      </c>
      <c r="S3" s="19"/>
      <c r="T3" s="19"/>
      <c r="U3" s="19"/>
      <c r="V3" s="90">
        <v>44621</v>
      </c>
      <c r="W3" s="90"/>
      <c r="X3" s="90"/>
      <c r="Y3" s="19">
        <v>44287</v>
      </c>
      <c r="Z3" s="19"/>
      <c r="AA3" s="19"/>
      <c r="AB3" s="90">
        <v>44652</v>
      </c>
      <c r="AC3" s="90"/>
      <c r="AD3" s="90"/>
      <c r="AE3" s="19">
        <v>44682</v>
      </c>
      <c r="AF3" s="19"/>
      <c r="AG3" s="19"/>
      <c r="AH3" s="90">
        <v>44682</v>
      </c>
      <c r="AI3" s="90"/>
      <c r="AJ3" s="90"/>
      <c r="AK3" s="19">
        <v>44348</v>
      </c>
      <c r="AL3" s="19"/>
      <c r="AM3" s="19"/>
      <c r="AN3" s="90">
        <v>44713</v>
      </c>
      <c r="AO3" s="90"/>
      <c r="AP3" s="90"/>
      <c r="AQ3" s="91">
        <v>44378</v>
      </c>
      <c r="AR3" s="91"/>
      <c r="AS3" s="91"/>
      <c r="AT3" s="91">
        <v>44409</v>
      </c>
      <c r="AU3" s="91"/>
      <c r="AV3" s="91"/>
      <c r="AW3" s="91">
        <v>44440</v>
      </c>
      <c r="AX3" s="91"/>
      <c r="AY3" s="91"/>
      <c r="AZ3" s="91">
        <v>44470</v>
      </c>
      <c r="BA3" s="91"/>
      <c r="BB3" s="91"/>
      <c r="BC3" s="91">
        <v>44501</v>
      </c>
      <c r="BD3" s="91"/>
      <c r="BE3" s="91"/>
      <c r="BF3" s="91">
        <v>44531</v>
      </c>
      <c r="BG3" s="91"/>
      <c r="BH3" s="91"/>
      <c r="BI3" s="3"/>
    </row>
    <row x14ac:dyDescent="0.25" r="4" customHeight="1" ht="34.5">
      <c r="A4" s="18"/>
      <c r="B4" s="18"/>
      <c r="C4" s="22"/>
      <c r="D4" s="135" t="s">
        <v>70</v>
      </c>
      <c r="E4" s="18" t="s">
        <v>7</v>
      </c>
      <c r="F4" s="18"/>
      <c r="G4" s="18"/>
      <c r="H4" s="94" t="s">
        <v>7</v>
      </c>
      <c r="I4" s="94"/>
      <c r="J4" s="94"/>
      <c r="K4" s="135" t="s">
        <v>70</v>
      </c>
      <c r="L4" s="18" t="s">
        <v>7</v>
      </c>
      <c r="M4" s="18"/>
      <c r="N4" s="18"/>
      <c r="O4" s="94" t="s">
        <v>7</v>
      </c>
      <c r="P4" s="94"/>
      <c r="Q4" s="94"/>
      <c r="R4" s="135" t="s">
        <v>70</v>
      </c>
      <c r="S4" s="18" t="s">
        <v>7</v>
      </c>
      <c r="T4" s="18"/>
      <c r="U4" s="18"/>
      <c r="V4" s="94" t="s">
        <v>7</v>
      </c>
      <c r="W4" s="94"/>
      <c r="X4" s="94"/>
      <c r="Y4" s="18" t="s">
        <v>7</v>
      </c>
      <c r="Z4" s="18"/>
      <c r="AA4" s="18"/>
      <c r="AB4" s="94" t="s">
        <v>7</v>
      </c>
      <c r="AC4" s="94"/>
      <c r="AD4" s="94"/>
      <c r="AE4" s="18" t="s">
        <v>7</v>
      </c>
      <c r="AF4" s="18"/>
      <c r="AG4" s="18"/>
      <c r="AH4" s="94" t="s">
        <v>7</v>
      </c>
      <c r="AI4" s="94"/>
      <c r="AJ4" s="94"/>
      <c r="AK4" s="18" t="s">
        <v>7</v>
      </c>
      <c r="AL4" s="18"/>
      <c r="AM4" s="18"/>
      <c r="AN4" s="94" t="s">
        <v>7</v>
      </c>
      <c r="AO4" s="94"/>
      <c r="AP4" s="94"/>
      <c r="AQ4" s="95" t="s">
        <v>7</v>
      </c>
      <c r="AR4" s="95"/>
      <c r="AS4" s="95"/>
      <c r="AT4" s="95" t="s">
        <v>7</v>
      </c>
      <c r="AU4" s="95"/>
      <c r="AV4" s="95"/>
      <c r="AW4" s="95" t="s">
        <v>7</v>
      </c>
      <c r="AX4" s="95"/>
      <c r="AY4" s="95"/>
      <c r="AZ4" s="95" t="s">
        <v>7</v>
      </c>
      <c r="BA4" s="95"/>
      <c r="BB4" s="95"/>
      <c r="BC4" s="95" t="s">
        <v>7</v>
      </c>
      <c r="BD4" s="95"/>
      <c r="BE4" s="95"/>
      <c r="BF4" s="140" t="s">
        <v>7</v>
      </c>
      <c r="BG4" s="141"/>
      <c r="BH4" s="142"/>
      <c r="BI4" s="3"/>
    </row>
    <row x14ac:dyDescent="0.25" r="5" customHeight="1" ht="34.5">
      <c r="A5" s="18"/>
      <c r="B5" s="18"/>
      <c r="C5" s="22"/>
      <c r="D5" s="136"/>
      <c r="E5" s="18" t="s">
        <v>11</v>
      </c>
      <c r="F5" s="97" t="s">
        <v>71</v>
      </c>
      <c r="G5" s="18" t="s">
        <v>12</v>
      </c>
      <c r="H5" s="94" t="s">
        <v>11</v>
      </c>
      <c r="I5" s="98" t="s">
        <v>71</v>
      </c>
      <c r="J5" s="94" t="s">
        <v>12</v>
      </c>
      <c r="K5" s="136"/>
      <c r="L5" s="18" t="s">
        <v>11</v>
      </c>
      <c r="M5" s="97" t="s">
        <v>71</v>
      </c>
      <c r="N5" s="18" t="s">
        <v>12</v>
      </c>
      <c r="O5" s="94" t="s">
        <v>11</v>
      </c>
      <c r="P5" s="98" t="s">
        <v>71</v>
      </c>
      <c r="Q5" s="94" t="s">
        <v>12</v>
      </c>
      <c r="R5" s="136"/>
      <c r="S5" s="18" t="s">
        <v>11</v>
      </c>
      <c r="T5" s="97" t="s">
        <v>71</v>
      </c>
      <c r="U5" s="18" t="s">
        <v>12</v>
      </c>
      <c r="V5" s="94" t="s">
        <v>11</v>
      </c>
      <c r="W5" s="98" t="s">
        <v>71</v>
      </c>
      <c r="X5" s="94" t="s">
        <v>12</v>
      </c>
      <c r="Y5" s="18" t="s">
        <v>11</v>
      </c>
      <c r="Z5" s="97" t="s">
        <v>71</v>
      </c>
      <c r="AA5" s="18" t="s">
        <v>12</v>
      </c>
      <c r="AB5" s="94" t="s">
        <v>11</v>
      </c>
      <c r="AC5" s="98" t="s">
        <v>71</v>
      </c>
      <c r="AD5" s="94" t="s">
        <v>12</v>
      </c>
      <c r="AE5" s="18" t="s">
        <v>11</v>
      </c>
      <c r="AF5" s="97" t="s">
        <v>71</v>
      </c>
      <c r="AG5" s="18" t="s">
        <v>12</v>
      </c>
      <c r="AH5" s="94" t="s">
        <v>11</v>
      </c>
      <c r="AI5" s="98" t="s">
        <v>71</v>
      </c>
      <c r="AJ5" s="94" t="s">
        <v>12</v>
      </c>
      <c r="AK5" s="18" t="s">
        <v>11</v>
      </c>
      <c r="AL5" s="97" t="s">
        <v>71</v>
      </c>
      <c r="AM5" s="18" t="s">
        <v>12</v>
      </c>
      <c r="AN5" s="94" t="s">
        <v>11</v>
      </c>
      <c r="AO5" s="98" t="s">
        <v>71</v>
      </c>
      <c r="AP5" s="94" t="s">
        <v>12</v>
      </c>
      <c r="AQ5" s="95" t="s">
        <v>11</v>
      </c>
      <c r="AR5" s="97" t="s">
        <v>71</v>
      </c>
      <c r="AS5" s="95" t="s">
        <v>12</v>
      </c>
      <c r="AT5" s="95" t="s">
        <v>11</v>
      </c>
      <c r="AU5" s="97" t="s">
        <v>71</v>
      </c>
      <c r="AV5" s="95" t="s">
        <v>12</v>
      </c>
      <c r="AW5" s="95" t="s">
        <v>11</v>
      </c>
      <c r="AX5" s="97" t="s">
        <v>71</v>
      </c>
      <c r="AY5" s="95" t="s">
        <v>12</v>
      </c>
      <c r="AZ5" s="95" t="s">
        <v>11</v>
      </c>
      <c r="BA5" s="97" t="s">
        <v>71</v>
      </c>
      <c r="BB5" s="95" t="s">
        <v>12</v>
      </c>
      <c r="BC5" s="95" t="s">
        <v>11</v>
      </c>
      <c r="BD5" s="97" t="s">
        <v>71</v>
      </c>
      <c r="BE5" s="95" t="s">
        <v>12</v>
      </c>
      <c r="BF5" s="95" t="s">
        <v>11</v>
      </c>
      <c r="BG5" s="97" t="s">
        <v>71</v>
      </c>
      <c r="BH5" s="95" t="s">
        <v>12</v>
      </c>
      <c r="BI5" s="3"/>
    </row>
    <row x14ac:dyDescent="0.25" r="6" customHeight="1" ht="34.5">
      <c r="A6" s="25">
        <v>1</v>
      </c>
      <c r="B6" s="26" t="s">
        <v>13</v>
      </c>
      <c r="C6" s="27" t="s">
        <v>14</v>
      </c>
      <c r="D6" s="114">
        <v>0.03</v>
      </c>
      <c r="E6" s="28">
        <v>615</v>
      </c>
      <c r="F6" s="103">
        <v>33500</v>
      </c>
      <c r="G6" s="28">
        <f>E6*F6*97%</f>
      </c>
      <c r="H6" s="104">
        <v>268</v>
      </c>
      <c r="I6" s="105">
        <v>44000</v>
      </c>
      <c r="J6" s="104">
        <f>H6*I6</f>
      </c>
      <c r="K6" s="114">
        <v>0.03</v>
      </c>
      <c r="L6" s="28">
        <v>50</v>
      </c>
      <c r="M6" s="103">
        <v>33500</v>
      </c>
      <c r="N6" s="28">
        <f>L6*M6*97%</f>
      </c>
      <c r="O6" s="104">
        <v>182</v>
      </c>
      <c r="P6" s="105">
        <v>44000</v>
      </c>
      <c r="Q6" s="104">
        <f>O6*P6</f>
      </c>
      <c r="R6" s="114">
        <v>0.03</v>
      </c>
      <c r="S6" s="28">
        <v>350</v>
      </c>
      <c r="T6" s="103">
        <v>33500</v>
      </c>
      <c r="U6" s="28">
        <f>S6*T6*97%</f>
      </c>
      <c r="V6" s="104">
        <v>250</v>
      </c>
      <c r="W6" s="105">
        <v>44000</v>
      </c>
      <c r="X6" s="104">
        <f>V6*W6</f>
      </c>
      <c r="Y6" s="28">
        <v>350</v>
      </c>
      <c r="Z6" s="103">
        <v>33500</v>
      </c>
      <c r="AA6" s="28">
        <f>Y6*Z6</f>
      </c>
      <c r="AB6" s="104">
        <v>400</v>
      </c>
      <c r="AC6" s="105">
        <v>44000</v>
      </c>
      <c r="AD6" s="104">
        <f>AB6*AC6</f>
      </c>
      <c r="AE6" s="28">
        <v>270</v>
      </c>
      <c r="AF6" s="103">
        <v>35200</v>
      </c>
      <c r="AG6" s="28">
        <f>AE6*AF6</f>
      </c>
      <c r="AH6" s="104">
        <v>400</v>
      </c>
      <c r="AI6" s="105">
        <v>44000</v>
      </c>
      <c r="AJ6" s="104">
        <f>AH6*AI6</f>
      </c>
      <c r="AK6" s="28">
        <v>180</v>
      </c>
      <c r="AL6" s="103">
        <v>35200</v>
      </c>
      <c r="AM6" s="28">
        <f>AK6*AL6</f>
      </c>
      <c r="AN6" s="104">
        <f>370+45</f>
      </c>
      <c r="AO6" s="109" t="s">
        <v>87</v>
      </c>
      <c r="AP6" s="104">
        <f>16280000+2070000</f>
      </c>
      <c r="AQ6" s="106">
        <v>50</v>
      </c>
      <c r="AR6" s="107">
        <v>35200</v>
      </c>
      <c r="AS6" s="106">
        <f>AQ6*AR6</f>
      </c>
      <c r="AT6" s="106">
        <v>171</v>
      </c>
      <c r="AU6" s="107">
        <v>35200</v>
      </c>
      <c r="AV6" s="106">
        <f>AT6*AU6</f>
      </c>
      <c r="AW6" s="106">
        <f>79+120+80</f>
      </c>
      <c r="AX6" s="108" t="s">
        <v>110</v>
      </c>
      <c r="AY6" s="106">
        <f>2780800+4680000+3280000</f>
      </c>
      <c r="AZ6" s="106">
        <v>200</v>
      </c>
      <c r="BA6" s="107">
        <v>44000</v>
      </c>
      <c r="BB6" s="106">
        <f>AZ6*BA6</f>
      </c>
      <c r="BC6" s="106">
        <v>437</v>
      </c>
      <c r="BD6" s="107">
        <v>44000</v>
      </c>
      <c r="BE6" s="106">
        <f>BC6*BD6</f>
      </c>
      <c r="BF6" s="106">
        <v>340</v>
      </c>
      <c r="BG6" s="107">
        <v>44000</v>
      </c>
      <c r="BH6" s="106">
        <f>BF6*BG6</f>
      </c>
      <c r="BI6" s="5"/>
    </row>
    <row x14ac:dyDescent="0.25" r="7" customHeight="1" ht="34.5">
      <c r="A7" s="25">
        <v>2</v>
      </c>
      <c r="B7" s="26" t="s">
        <v>15</v>
      </c>
      <c r="C7" s="27" t="s">
        <v>16</v>
      </c>
      <c r="D7" s="114">
        <v>0.03</v>
      </c>
      <c r="E7" s="28">
        <v>472</v>
      </c>
      <c r="F7" s="103">
        <v>37000</v>
      </c>
      <c r="G7" s="28">
        <f>E7*F7*97%</f>
      </c>
      <c r="H7" s="104">
        <v>329</v>
      </c>
      <c r="I7" s="105">
        <v>48000</v>
      </c>
      <c r="J7" s="104">
        <f>H7*I7</f>
      </c>
      <c r="K7" s="114">
        <v>0.03</v>
      </c>
      <c r="L7" s="28">
        <v>50</v>
      </c>
      <c r="M7" s="103">
        <v>37000</v>
      </c>
      <c r="N7" s="28">
        <f>L7*M7*97%</f>
      </c>
      <c r="O7" s="104">
        <v>400</v>
      </c>
      <c r="P7" s="105">
        <v>48000</v>
      </c>
      <c r="Q7" s="104">
        <f>O7*P7</f>
      </c>
      <c r="R7" s="114">
        <v>0.03</v>
      </c>
      <c r="S7" s="28">
        <v>350</v>
      </c>
      <c r="T7" s="103">
        <v>37000</v>
      </c>
      <c r="U7" s="28">
        <f>S7*T7*97%</f>
      </c>
      <c r="V7" s="104">
        <v>600</v>
      </c>
      <c r="W7" s="105">
        <v>48000</v>
      </c>
      <c r="X7" s="104">
        <f>V7*W7</f>
      </c>
      <c r="Y7" s="28">
        <v>300</v>
      </c>
      <c r="Z7" s="103">
        <v>37000</v>
      </c>
      <c r="AA7" s="28">
        <f>Y7*Z7</f>
      </c>
      <c r="AB7" s="104">
        <v>435</v>
      </c>
      <c r="AC7" s="105">
        <v>48000</v>
      </c>
      <c r="AD7" s="104">
        <f>AB7*AC7</f>
      </c>
      <c r="AE7" s="28">
        <v>400</v>
      </c>
      <c r="AF7" s="103">
        <v>38900</v>
      </c>
      <c r="AG7" s="28">
        <f>AE7*AF7</f>
      </c>
      <c r="AH7" s="104">
        <v>446</v>
      </c>
      <c r="AI7" s="105">
        <v>48000</v>
      </c>
      <c r="AJ7" s="104">
        <f>AH7*AI7</f>
      </c>
      <c r="AK7" s="28">
        <v>245</v>
      </c>
      <c r="AL7" s="103">
        <v>38900</v>
      </c>
      <c r="AM7" s="28">
        <f>AK7*AL7</f>
      </c>
      <c r="AN7" s="104">
        <f>470+75</f>
      </c>
      <c r="AO7" s="109" t="s">
        <v>73</v>
      </c>
      <c r="AP7" s="104">
        <f>22560000+3750000</f>
      </c>
      <c r="AQ7" s="106">
        <v>185</v>
      </c>
      <c r="AR7" s="107">
        <v>38900</v>
      </c>
      <c r="AS7" s="106">
        <f>AQ7*AR7</f>
      </c>
      <c r="AT7" s="106">
        <v>270</v>
      </c>
      <c r="AU7" s="107">
        <v>38900</v>
      </c>
      <c r="AV7" s="106">
        <f>AT7*AU7</f>
      </c>
      <c r="AW7" s="106">
        <f>200+100</f>
      </c>
      <c r="AX7" s="108" t="s">
        <v>74</v>
      </c>
      <c r="AY7" s="106">
        <f>8600000+4550000</f>
      </c>
      <c r="AZ7" s="106">
        <v>250</v>
      </c>
      <c r="BA7" s="107">
        <v>48000</v>
      </c>
      <c r="BB7" s="106">
        <f>AZ7*BA7</f>
      </c>
      <c r="BC7" s="106">
        <v>570</v>
      </c>
      <c r="BD7" s="107">
        <v>48000</v>
      </c>
      <c r="BE7" s="106">
        <f>BC7*BD7</f>
      </c>
      <c r="BF7" s="106">
        <v>420</v>
      </c>
      <c r="BG7" s="107">
        <v>48000</v>
      </c>
      <c r="BH7" s="106">
        <f>BF7*BG7</f>
      </c>
      <c r="BI7" s="5"/>
    </row>
    <row x14ac:dyDescent="0.25" r="8" customHeight="1" ht="34.5">
      <c r="A8" s="25">
        <v>3</v>
      </c>
      <c r="B8" s="26" t="s">
        <v>17</v>
      </c>
      <c r="C8" s="27" t="s">
        <v>18</v>
      </c>
      <c r="D8" s="114">
        <v>0.03</v>
      </c>
      <c r="E8" s="28">
        <v>100</v>
      </c>
      <c r="F8" s="103">
        <v>38000</v>
      </c>
      <c r="G8" s="28">
        <f>E8*F8*97%</f>
      </c>
      <c r="H8" s="104">
        <v>130</v>
      </c>
      <c r="I8" s="105">
        <v>49000</v>
      </c>
      <c r="J8" s="104">
        <f>H8*I8</f>
      </c>
      <c r="K8" s="114">
        <v>0.03</v>
      </c>
      <c r="L8" s="28"/>
      <c r="M8" s="103">
        <v>38000</v>
      </c>
      <c r="N8" s="28">
        <f>L8*M8*97%</f>
      </c>
      <c r="O8" s="104">
        <v>40</v>
      </c>
      <c r="P8" s="105">
        <v>49000</v>
      </c>
      <c r="Q8" s="104">
        <f>O8*P8</f>
      </c>
      <c r="R8" s="114">
        <v>0.03</v>
      </c>
      <c r="S8" s="28"/>
      <c r="T8" s="103">
        <v>38000</v>
      </c>
      <c r="U8" s="28">
        <f>S8*T8*97%</f>
      </c>
      <c r="V8" s="104">
        <v>300</v>
      </c>
      <c r="W8" s="105">
        <v>49000</v>
      </c>
      <c r="X8" s="104">
        <f>V8*W8</f>
      </c>
      <c r="Y8" s="28">
        <v>30</v>
      </c>
      <c r="Z8" s="103">
        <v>38000</v>
      </c>
      <c r="AA8" s="28">
        <f>Y8*Z8</f>
      </c>
      <c r="AB8" s="104"/>
      <c r="AC8" s="105">
        <v>49000</v>
      </c>
      <c r="AD8" s="104">
        <f>AB8*AC8</f>
      </c>
      <c r="AE8" s="28">
        <v>120</v>
      </c>
      <c r="AF8" s="103">
        <v>39900</v>
      </c>
      <c r="AG8" s="28">
        <f>AE8*AF8</f>
      </c>
      <c r="AH8" s="104">
        <v>176</v>
      </c>
      <c r="AI8" s="105">
        <v>49000</v>
      </c>
      <c r="AJ8" s="104">
        <f>AH8*AI8</f>
      </c>
      <c r="AK8" s="28">
        <v>50</v>
      </c>
      <c r="AL8" s="103">
        <v>39900</v>
      </c>
      <c r="AM8" s="28">
        <f>AK8*AL8</f>
      </c>
      <c r="AN8" s="104">
        <v>119</v>
      </c>
      <c r="AO8" s="105">
        <v>49000</v>
      </c>
      <c r="AP8" s="104">
        <f>AN8*AO8</f>
      </c>
      <c r="AQ8" s="106"/>
      <c r="AR8" s="107">
        <v>39900</v>
      </c>
      <c r="AS8" s="106">
        <f>AQ8*AR8</f>
      </c>
      <c r="AT8" s="106"/>
      <c r="AU8" s="107">
        <v>39900</v>
      </c>
      <c r="AV8" s="106">
        <f>AT8*AU8</f>
      </c>
      <c r="AW8" s="106">
        <v>100</v>
      </c>
      <c r="AX8" s="107">
        <v>44000</v>
      </c>
      <c r="AY8" s="106">
        <f>AW8*AX8</f>
      </c>
      <c r="AZ8" s="106">
        <v>20</v>
      </c>
      <c r="BA8" s="107">
        <v>49000</v>
      </c>
      <c r="BB8" s="106">
        <f>AZ8*BA8</f>
      </c>
      <c r="BC8" s="106">
        <v>100</v>
      </c>
      <c r="BD8" s="107">
        <v>49000</v>
      </c>
      <c r="BE8" s="106">
        <f>BC8*BD8</f>
      </c>
      <c r="BF8" s="106">
        <v>830</v>
      </c>
      <c r="BG8" s="107">
        <v>49000</v>
      </c>
      <c r="BH8" s="106">
        <f>BF8*BG8</f>
      </c>
      <c r="BI8" s="5"/>
    </row>
    <row x14ac:dyDescent="0.25" r="9" customHeight="1" ht="34.5">
      <c r="A9" s="25">
        <v>4</v>
      </c>
      <c r="B9" s="26" t="s">
        <v>19</v>
      </c>
      <c r="C9" s="27" t="s">
        <v>20</v>
      </c>
      <c r="D9" s="114">
        <v>0.03</v>
      </c>
      <c r="E9" s="28">
        <v>396</v>
      </c>
      <c r="F9" s="103">
        <v>40000</v>
      </c>
      <c r="G9" s="28">
        <f>E9*F9*97%</f>
      </c>
      <c r="H9" s="104">
        <v>323</v>
      </c>
      <c r="I9" s="105">
        <v>54500</v>
      </c>
      <c r="J9" s="104">
        <f>H9*I9</f>
      </c>
      <c r="K9" s="114">
        <v>0.03</v>
      </c>
      <c r="L9" s="28">
        <v>50</v>
      </c>
      <c r="M9" s="103">
        <v>40000</v>
      </c>
      <c r="N9" s="28">
        <f>L9*M9*97%</f>
      </c>
      <c r="O9" s="104">
        <v>340</v>
      </c>
      <c r="P9" s="105">
        <v>54500</v>
      </c>
      <c r="Q9" s="104">
        <f>O9*P9</f>
      </c>
      <c r="R9" s="114">
        <v>0.03</v>
      </c>
      <c r="S9" s="28">
        <v>350</v>
      </c>
      <c r="T9" s="103">
        <v>40000</v>
      </c>
      <c r="U9" s="28">
        <f>S9*T9*97%</f>
      </c>
      <c r="V9" s="104">
        <v>450</v>
      </c>
      <c r="W9" s="105">
        <v>54500</v>
      </c>
      <c r="X9" s="104">
        <f>V9*W9</f>
      </c>
      <c r="Y9" s="28">
        <f>120-30+10+15</f>
      </c>
      <c r="Z9" s="103">
        <v>40000</v>
      </c>
      <c r="AA9" s="28">
        <f>Y9*Z9</f>
      </c>
      <c r="AB9" s="104">
        <v>391</v>
      </c>
      <c r="AC9" s="105">
        <v>54500</v>
      </c>
      <c r="AD9" s="104">
        <f>AB9*AC9</f>
      </c>
      <c r="AE9" s="28">
        <v>630</v>
      </c>
      <c r="AF9" s="103">
        <v>42000</v>
      </c>
      <c r="AG9" s="28">
        <f>AE9*AF9</f>
      </c>
      <c r="AH9" s="104">
        <v>412</v>
      </c>
      <c r="AI9" s="105">
        <v>54500</v>
      </c>
      <c r="AJ9" s="104">
        <f>AH9*AI9</f>
      </c>
      <c r="AK9" s="28">
        <v>360</v>
      </c>
      <c r="AL9" s="103">
        <v>42000</v>
      </c>
      <c r="AM9" s="28">
        <f>AK9*AL9</f>
      </c>
      <c r="AN9" s="104">
        <f>400+95</f>
      </c>
      <c r="AO9" s="109" t="s">
        <v>75</v>
      </c>
      <c r="AP9" s="104">
        <f>21800000+5415000</f>
      </c>
      <c r="AQ9" s="106">
        <v>115</v>
      </c>
      <c r="AR9" s="107">
        <v>42000</v>
      </c>
      <c r="AS9" s="106">
        <f>AQ9*AR9</f>
      </c>
      <c r="AT9" s="106">
        <v>180</v>
      </c>
      <c r="AU9" s="107">
        <v>42000</v>
      </c>
      <c r="AV9" s="106">
        <f>AT9*AU9</f>
      </c>
      <c r="AW9" s="106">
        <f>220+130</f>
      </c>
      <c r="AX9" s="108" t="s">
        <v>76</v>
      </c>
      <c r="AY9" s="106">
        <f>10340000+6435000</f>
      </c>
      <c r="AZ9" s="106">
        <v>310</v>
      </c>
      <c r="BA9" s="107">
        <v>54500</v>
      </c>
      <c r="BB9" s="106">
        <f>AZ9*BA9</f>
      </c>
      <c r="BC9" s="106">
        <v>430</v>
      </c>
      <c r="BD9" s="107">
        <v>54500</v>
      </c>
      <c r="BE9" s="106">
        <f>BC9*BD9</f>
      </c>
      <c r="BF9" s="106">
        <v>357</v>
      </c>
      <c r="BG9" s="107">
        <v>54500</v>
      </c>
      <c r="BH9" s="106">
        <f>BF9*BG9</f>
      </c>
      <c r="BI9" s="5"/>
    </row>
    <row x14ac:dyDescent="0.25" r="10" customHeight="1" ht="34.5">
      <c r="A10" s="25">
        <v>5</v>
      </c>
      <c r="B10" s="26" t="s">
        <v>21</v>
      </c>
      <c r="C10" s="27" t="s">
        <v>22</v>
      </c>
      <c r="D10" s="114">
        <v>0.03</v>
      </c>
      <c r="E10" s="28">
        <v>157</v>
      </c>
      <c r="F10" s="103">
        <v>51000</v>
      </c>
      <c r="G10" s="28">
        <f>E10*F10*97%</f>
      </c>
      <c r="H10" s="104">
        <v>160</v>
      </c>
      <c r="I10" s="105">
        <v>65000</v>
      </c>
      <c r="J10" s="104">
        <f>H10*I10</f>
      </c>
      <c r="K10" s="114">
        <v>0.03</v>
      </c>
      <c r="L10" s="28"/>
      <c r="M10" s="103">
        <v>51000</v>
      </c>
      <c r="N10" s="28">
        <f>L10*M10*97%</f>
      </c>
      <c r="O10" s="104">
        <v>60</v>
      </c>
      <c r="P10" s="105">
        <v>65000</v>
      </c>
      <c r="Q10" s="104">
        <f>O10*P10</f>
      </c>
      <c r="R10" s="114">
        <v>0.03</v>
      </c>
      <c r="S10" s="28">
        <v>150</v>
      </c>
      <c r="T10" s="103">
        <v>51000</v>
      </c>
      <c r="U10" s="28">
        <f>S10*T10*97%</f>
      </c>
      <c r="V10" s="104">
        <v>110</v>
      </c>
      <c r="W10" s="105">
        <v>65000</v>
      </c>
      <c r="X10" s="104">
        <f>V10*W10</f>
      </c>
      <c r="Y10" s="28">
        <v>50</v>
      </c>
      <c r="Z10" s="103">
        <v>51000</v>
      </c>
      <c r="AA10" s="28">
        <f>Y10*Z10</f>
      </c>
      <c r="AB10" s="104">
        <v>87</v>
      </c>
      <c r="AC10" s="105">
        <v>65000</v>
      </c>
      <c r="AD10" s="104">
        <f>AB10*AC10</f>
      </c>
      <c r="AE10" s="28">
        <v>130</v>
      </c>
      <c r="AF10" s="103">
        <v>53600</v>
      </c>
      <c r="AG10" s="28">
        <f>AE10*AF10</f>
      </c>
      <c r="AH10" s="104">
        <v>43</v>
      </c>
      <c r="AI10" s="105">
        <v>65000</v>
      </c>
      <c r="AJ10" s="104">
        <f>AH10*AI10</f>
      </c>
      <c r="AK10" s="28">
        <v>20</v>
      </c>
      <c r="AL10" s="103">
        <v>53600</v>
      </c>
      <c r="AM10" s="28">
        <f>AK10*AL10</f>
      </c>
      <c r="AN10" s="104">
        <f>90+70</f>
      </c>
      <c r="AO10" s="109" t="s">
        <v>77</v>
      </c>
      <c r="AP10" s="104">
        <f>5850000+4760000</f>
      </c>
      <c r="AQ10" s="106">
        <v>20</v>
      </c>
      <c r="AR10" s="107">
        <v>53600</v>
      </c>
      <c r="AS10" s="106">
        <f>AQ10*AR10</f>
      </c>
      <c r="AT10" s="106">
        <v>100</v>
      </c>
      <c r="AU10" s="107">
        <v>53600</v>
      </c>
      <c r="AV10" s="106">
        <f>AT10*AU10</f>
      </c>
      <c r="AW10" s="106">
        <v>30</v>
      </c>
      <c r="AX10" s="107">
        <v>53600</v>
      </c>
      <c r="AY10" s="106">
        <f>AW10*AX10</f>
      </c>
      <c r="AZ10" s="106">
        <v>100</v>
      </c>
      <c r="BA10" s="107">
        <v>65000</v>
      </c>
      <c r="BB10" s="106">
        <f>AZ10*BA10</f>
      </c>
      <c r="BC10" s="106">
        <v>140</v>
      </c>
      <c r="BD10" s="107">
        <v>65000</v>
      </c>
      <c r="BE10" s="106">
        <f>BC10*BD10</f>
      </c>
      <c r="BF10" s="106">
        <v>100</v>
      </c>
      <c r="BG10" s="107">
        <v>65000</v>
      </c>
      <c r="BH10" s="106">
        <f>BF10*BG10</f>
      </c>
      <c r="BI10" s="5"/>
    </row>
    <row x14ac:dyDescent="0.25" r="11" customHeight="1" ht="34.5">
      <c r="A11" s="25">
        <v>6</v>
      </c>
      <c r="B11" s="26" t="s">
        <v>23</v>
      </c>
      <c r="C11" s="27" t="s">
        <v>24</v>
      </c>
      <c r="D11" s="114">
        <v>0.03</v>
      </c>
      <c r="E11" s="28">
        <v>180</v>
      </c>
      <c r="F11" s="103">
        <v>52000</v>
      </c>
      <c r="G11" s="28">
        <f>E11*F11*97%</f>
      </c>
      <c r="H11" s="104">
        <v>70</v>
      </c>
      <c r="I11" s="105">
        <v>67000</v>
      </c>
      <c r="J11" s="104">
        <f>H11*I11</f>
      </c>
      <c r="K11" s="114">
        <v>0.03</v>
      </c>
      <c r="L11" s="28"/>
      <c r="M11" s="103">
        <v>52000</v>
      </c>
      <c r="N11" s="28">
        <f>L11*M11*97%</f>
      </c>
      <c r="O11" s="104">
        <v>199</v>
      </c>
      <c r="P11" s="105">
        <v>67000</v>
      </c>
      <c r="Q11" s="104">
        <f>O11*P11</f>
      </c>
      <c r="R11" s="114">
        <v>0.03</v>
      </c>
      <c r="S11" s="28">
        <v>200</v>
      </c>
      <c r="T11" s="103">
        <v>52000</v>
      </c>
      <c r="U11" s="28">
        <f>S11*T11*97%</f>
      </c>
      <c r="V11" s="104">
        <v>161</v>
      </c>
      <c r="W11" s="105">
        <v>67000</v>
      </c>
      <c r="X11" s="104">
        <f>V11*W11</f>
      </c>
      <c r="Y11" s="28">
        <v>120</v>
      </c>
      <c r="Z11" s="103">
        <v>52000</v>
      </c>
      <c r="AA11" s="28">
        <f>Y11*Z11</f>
      </c>
      <c r="AB11" s="104"/>
      <c r="AC11" s="105">
        <v>67000</v>
      </c>
      <c r="AD11" s="104">
        <f>AB11*AC11</f>
      </c>
      <c r="AE11" s="28"/>
      <c r="AF11" s="103">
        <v>54600</v>
      </c>
      <c r="AG11" s="28">
        <f>AE11*AF11</f>
      </c>
      <c r="AH11" s="104">
        <v>339</v>
      </c>
      <c r="AI11" s="105">
        <v>67000</v>
      </c>
      <c r="AJ11" s="104">
        <f>AH11*AI11</f>
      </c>
      <c r="AK11" s="28">
        <v>220</v>
      </c>
      <c r="AL11" s="103">
        <v>54600</v>
      </c>
      <c r="AM11" s="28">
        <f>AK11*AL11</f>
      </c>
      <c r="AN11" s="104">
        <f>142+40</f>
      </c>
      <c r="AO11" s="109" t="s">
        <v>95</v>
      </c>
      <c r="AP11" s="104">
        <f>9514000+2840000</f>
      </c>
      <c r="AQ11" s="106">
        <v>20</v>
      </c>
      <c r="AR11" s="107">
        <v>54600</v>
      </c>
      <c r="AS11" s="106">
        <f>AQ11*AR11</f>
      </c>
      <c r="AT11" s="106">
        <v>40</v>
      </c>
      <c r="AU11" s="107">
        <v>54600</v>
      </c>
      <c r="AV11" s="106">
        <f>AT11*AU11</f>
      </c>
      <c r="AW11" s="106">
        <v>70</v>
      </c>
      <c r="AX11" s="107">
        <v>64000</v>
      </c>
      <c r="AY11" s="106">
        <f>AW11*AX11</f>
      </c>
      <c r="AZ11" s="106">
        <v>130</v>
      </c>
      <c r="BA11" s="107">
        <v>67000</v>
      </c>
      <c r="BB11" s="106">
        <f>AZ11*BA11</f>
      </c>
      <c r="BC11" s="106">
        <v>74</v>
      </c>
      <c r="BD11" s="107">
        <v>67000</v>
      </c>
      <c r="BE11" s="106">
        <f>BC11*BD11</f>
      </c>
      <c r="BF11" s="106">
        <v>216</v>
      </c>
      <c r="BG11" s="107">
        <v>67000</v>
      </c>
      <c r="BH11" s="106">
        <f>BF11*BG11</f>
      </c>
      <c r="BI11" s="5"/>
    </row>
    <row x14ac:dyDescent="0.25" r="12" customHeight="1" ht="34.5">
      <c r="A12" s="28">
        <v>7</v>
      </c>
      <c r="B12" s="30" t="s">
        <v>25</v>
      </c>
      <c r="C12" s="31" t="s">
        <v>26</v>
      </c>
      <c r="D12" s="114">
        <v>0.03</v>
      </c>
      <c r="E12" s="28">
        <v>187</v>
      </c>
      <c r="F12" s="103">
        <v>54000</v>
      </c>
      <c r="G12" s="28">
        <f>E12*F12*97%</f>
      </c>
      <c r="H12" s="104">
        <v>160</v>
      </c>
      <c r="I12" s="105">
        <v>75000</v>
      </c>
      <c r="J12" s="104">
        <f>H12*I12</f>
      </c>
      <c r="K12" s="114">
        <v>0.03</v>
      </c>
      <c r="L12" s="28">
        <v>13</v>
      </c>
      <c r="M12" s="103">
        <v>54000</v>
      </c>
      <c r="N12" s="28">
        <f>L12*M12*97%</f>
      </c>
      <c r="O12" s="104">
        <v>60</v>
      </c>
      <c r="P12" s="105">
        <v>75000</v>
      </c>
      <c r="Q12" s="104">
        <f>O12*P12</f>
      </c>
      <c r="R12" s="114">
        <v>0.03</v>
      </c>
      <c r="S12" s="28">
        <v>100</v>
      </c>
      <c r="T12" s="103">
        <v>54000</v>
      </c>
      <c r="U12" s="28">
        <f>S12*T12*97%</f>
      </c>
      <c r="V12" s="104">
        <v>100</v>
      </c>
      <c r="W12" s="105">
        <v>75000</v>
      </c>
      <c r="X12" s="104">
        <f>V12*W12</f>
      </c>
      <c r="Y12" s="28"/>
      <c r="Z12" s="103">
        <v>54000</v>
      </c>
      <c r="AA12" s="28">
        <f>Y12*Z12</f>
      </c>
      <c r="AB12" s="104">
        <v>80</v>
      </c>
      <c r="AC12" s="105">
        <v>75000</v>
      </c>
      <c r="AD12" s="104">
        <f>AB12*AC12</f>
      </c>
      <c r="AE12" s="28">
        <v>80</v>
      </c>
      <c r="AF12" s="103">
        <v>56700</v>
      </c>
      <c r="AG12" s="28">
        <f>AE12*AF12</f>
      </c>
      <c r="AH12" s="104"/>
      <c r="AI12" s="105">
        <v>75000</v>
      </c>
      <c r="AJ12" s="104">
        <f>AH12*AI12</f>
      </c>
      <c r="AK12" s="28">
        <v>20</v>
      </c>
      <c r="AL12" s="103">
        <v>56700</v>
      </c>
      <c r="AM12" s="28">
        <f>AK12*AL12</f>
      </c>
      <c r="AN12" s="104">
        <v>300</v>
      </c>
      <c r="AO12" s="105">
        <v>75000</v>
      </c>
      <c r="AP12" s="104">
        <f>AN12*AO12</f>
      </c>
      <c r="AQ12" s="106">
        <v>30</v>
      </c>
      <c r="AR12" s="107">
        <v>56700</v>
      </c>
      <c r="AS12" s="106">
        <f>AQ12*AR12</f>
      </c>
      <c r="AT12" s="106">
        <v>75</v>
      </c>
      <c r="AU12" s="107">
        <v>56700</v>
      </c>
      <c r="AV12" s="106">
        <f>AT12*AU12</f>
      </c>
      <c r="AW12" s="106">
        <v>45</v>
      </c>
      <c r="AX12" s="107">
        <v>56700</v>
      </c>
      <c r="AY12" s="106">
        <f>AW12*AX12</f>
      </c>
      <c r="AZ12" s="106"/>
      <c r="BA12" s="107">
        <v>75000</v>
      </c>
      <c r="BB12" s="106">
        <f>AZ12*BA12</f>
      </c>
      <c r="BC12" s="106">
        <v>200</v>
      </c>
      <c r="BD12" s="107">
        <v>75000</v>
      </c>
      <c r="BE12" s="106">
        <f>BC12*BD12</f>
      </c>
      <c r="BF12" s="106">
        <v>100</v>
      </c>
      <c r="BG12" s="107">
        <v>75000</v>
      </c>
      <c r="BH12" s="106">
        <f>BF12*BG12</f>
      </c>
      <c r="BI12" s="5"/>
    </row>
    <row x14ac:dyDescent="0.25" r="13" customHeight="1" ht="34.5">
      <c r="A13" s="25">
        <v>8</v>
      </c>
      <c r="B13" s="26" t="s">
        <v>27</v>
      </c>
      <c r="C13" s="27" t="s">
        <v>28</v>
      </c>
      <c r="D13" s="114">
        <v>0.03</v>
      </c>
      <c r="E13" s="28">
        <v>500</v>
      </c>
      <c r="F13" s="103">
        <v>42000</v>
      </c>
      <c r="G13" s="28">
        <f>E13*F13*97%</f>
      </c>
      <c r="H13" s="104">
        <v>314</v>
      </c>
      <c r="I13" s="105">
        <v>57500</v>
      </c>
      <c r="J13" s="104">
        <f>H13*I13</f>
      </c>
      <c r="K13" s="114">
        <v>0.03</v>
      </c>
      <c r="L13" s="28">
        <v>50</v>
      </c>
      <c r="M13" s="103">
        <v>42000</v>
      </c>
      <c r="N13" s="28">
        <f>L13*M13*97%</f>
      </c>
      <c r="O13" s="104">
        <v>285</v>
      </c>
      <c r="P13" s="105">
        <v>57500</v>
      </c>
      <c r="Q13" s="104">
        <f>O13*P13</f>
      </c>
      <c r="R13" s="114">
        <v>0.03</v>
      </c>
      <c r="S13" s="28">
        <v>50</v>
      </c>
      <c r="T13" s="103">
        <v>42000</v>
      </c>
      <c r="U13" s="28">
        <f>S13*T13*97%</f>
      </c>
      <c r="V13" s="104">
        <v>401</v>
      </c>
      <c r="W13" s="105">
        <v>57500</v>
      </c>
      <c r="X13" s="104">
        <f>V13*W13</f>
      </c>
      <c r="Y13" s="28">
        <v>130</v>
      </c>
      <c r="Z13" s="103">
        <v>42000</v>
      </c>
      <c r="AA13" s="28">
        <f>Y13*Z13</f>
      </c>
      <c r="AB13" s="104">
        <v>437</v>
      </c>
      <c r="AC13" s="105">
        <v>57500</v>
      </c>
      <c r="AD13" s="104">
        <f>AB13*AC13</f>
      </c>
      <c r="AE13" s="28">
        <v>515</v>
      </c>
      <c r="AF13" s="103">
        <v>44100</v>
      </c>
      <c r="AG13" s="28">
        <f>AE13*AF13</f>
      </c>
      <c r="AH13" s="104">
        <v>374</v>
      </c>
      <c r="AI13" s="105">
        <v>57500</v>
      </c>
      <c r="AJ13" s="104">
        <f>AH13*AI13</f>
      </c>
      <c r="AK13" s="28">
        <v>155</v>
      </c>
      <c r="AL13" s="103">
        <v>44100</v>
      </c>
      <c r="AM13" s="28">
        <f>AK13*AL13</f>
      </c>
      <c r="AN13" s="104">
        <f>435+65</f>
      </c>
      <c r="AO13" s="109" t="s">
        <v>79</v>
      </c>
      <c r="AP13" s="104">
        <f>25012500+3932500</f>
      </c>
      <c r="AQ13" s="106">
        <v>115</v>
      </c>
      <c r="AR13" s="107">
        <v>44100</v>
      </c>
      <c r="AS13" s="106">
        <f>AQ13*AR13</f>
      </c>
      <c r="AT13" s="106">
        <v>285</v>
      </c>
      <c r="AU13" s="107">
        <v>44100</v>
      </c>
      <c r="AV13" s="106">
        <f>AT13*AU13</f>
      </c>
      <c r="AW13" s="106">
        <f>40+70</f>
      </c>
      <c r="AX13" s="108" t="s">
        <v>80</v>
      </c>
      <c r="AY13" s="106">
        <f>1960000+3605000</f>
      </c>
      <c r="AZ13" s="106">
        <v>125</v>
      </c>
      <c r="BA13" s="107">
        <v>57500</v>
      </c>
      <c r="BB13" s="106">
        <f>AZ13*BA13</f>
      </c>
      <c r="BC13" s="106">
        <v>260</v>
      </c>
      <c r="BD13" s="107">
        <v>57500</v>
      </c>
      <c r="BE13" s="106">
        <f>BC13*BD13</f>
      </c>
      <c r="BF13" s="106">
        <v>290</v>
      </c>
      <c r="BG13" s="107">
        <v>57500</v>
      </c>
      <c r="BH13" s="106">
        <f>BF13*BG13</f>
      </c>
      <c r="BI13" s="5"/>
    </row>
    <row x14ac:dyDescent="0.25" r="14" customHeight="1" ht="34.5">
      <c r="A14" s="28">
        <v>9</v>
      </c>
      <c r="B14" s="30" t="s">
        <v>29</v>
      </c>
      <c r="C14" s="31" t="s">
        <v>30</v>
      </c>
      <c r="D14" s="114"/>
      <c r="E14" s="28"/>
      <c r="F14" s="103"/>
      <c r="G14" s="28"/>
      <c r="H14" s="104"/>
      <c r="I14" s="105"/>
      <c r="J14" s="104"/>
      <c r="K14" s="114"/>
      <c r="L14" s="28"/>
      <c r="M14" s="103"/>
      <c r="N14" s="28"/>
      <c r="O14" s="104"/>
      <c r="P14" s="105"/>
      <c r="Q14" s="104"/>
      <c r="R14" s="114"/>
      <c r="S14" s="28"/>
      <c r="T14" s="103"/>
      <c r="U14" s="28"/>
      <c r="V14" s="104"/>
      <c r="W14" s="105"/>
      <c r="X14" s="104"/>
      <c r="Y14" s="28"/>
      <c r="Z14" s="103"/>
      <c r="AA14" s="28"/>
      <c r="AB14" s="104"/>
      <c r="AC14" s="105"/>
      <c r="AD14" s="104"/>
      <c r="AE14" s="28"/>
      <c r="AF14" s="103"/>
      <c r="AG14" s="28"/>
      <c r="AH14" s="104"/>
      <c r="AI14" s="105"/>
      <c r="AJ14" s="104"/>
      <c r="AK14" s="28"/>
      <c r="AL14" s="103"/>
      <c r="AM14" s="28"/>
      <c r="AN14" s="104"/>
      <c r="AO14" s="105"/>
      <c r="AP14" s="104"/>
      <c r="AQ14" s="106"/>
      <c r="AR14" s="107"/>
      <c r="AS14" s="106"/>
      <c r="AT14" s="106"/>
      <c r="AU14" s="107"/>
      <c r="AV14" s="106"/>
      <c r="AW14" s="106"/>
      <c r="AX14" s="108"/>
      <c r="AY14" s="106"/>
      <c r="AZ14" s="106"/>
      <c r="BA14" s="107"/>
      <c r="BB14" s="106"/>
      <c r="BC14" s="106"/>
      <c r="BD14" s="107"/>
      <c r="BE14" s="106"/>
      <c r="BF14" s="106"/>
      <c r="BG14" s="107"/>
      <c r="BH14" s="106"/>
      <c r="BI14" s="5"/>
    </row>
    <row x14ac:dyDescent="0.25" r="15" customHeight="1" ht="34.5">
      <c r="A15" s="25">
        <v>10</v>
      </c>
      <c r="B15" s="26" t="s">
        <v>31</v>
      </c>
      <c r="C15" s="27" t="s">
        <v>32</v>
      </c>
      <c r="D15" s="114">
        <v>0.03</v>
      </c>
      <c r="E15" s="28">
        <v>128</v>
      </c>
      <c r="F15" s="103">
        <v>58000</v>
      </c>
      <c r="G15" s="28">
        <f>E15*F15*97%</f>
      </c>
      <c r="H15" s="104">
        <v>200</v>
      </c>
      <c r="I15" s="105">
        <v>81000</v>
      </c>
      <c r="J15" s="104">
        <f>H15*I15</f>
      </c>
      <c r="K15" s="114">
        <v>0.03</v>
      </c>
      <c r="L15" s="28">
        <v>55</v>
      </c>
      <c r="M15" s="103">
        <v>58000</v>
      </c>
      <c r="N15" s="28">
        <f>L15*M15*97%</f>
      </c>
      <c r="O15" s="104">
        <v>80</v>
      </c>
      <c r="P15" s="105">
        <v>81000</v>
      </c>
      <c r="Q15" s="104">
        <f>O15*P15</f>
      </c>
      <c r="R15" s="114">
        <v>0.03</v>
      </c>
      <c r="S15" s="28">
        <v>120</v>
      </c>
      <c r="T15" s="103">
        <v>58000</v>
      </c>
      <c r="U15" s="28">
        <f>S15*T15*97%</f>
      </c>
      <c r="V15" s="104">
        <v>60</v>
      </c>
      <c r="W15" s="105">
        <v>81000</v>
      </c>
      <c r="X15" s="104">
        <f>V15*W15</f>
      </c>
      <c r="Y15" s="28">
        <v>40</v>
      </c>
      <c r="Z15" s="103">
        <v>58000</v>
      </c>
      <c r="AA15" s="28">
        <f>Y15*Z15</f>
      </c>
      <c r="AB15" s="104">
        <v>72</v>
      </c>
      <c r="AC15" s="105">
        <v>81000</v>
      </c>
      <c r="AD15" s="104">
        <f>AB15*AC15</f>
      </c>
      <c r="AE15" s="28">
        <v>100</v>
      </c>
      <c r="AF15" s="103">
        <v>60900</v>
      </c>
      <c r="AG15" s="28">
        <f>AE15*AF15</f>
      </c>
      <c r="AH15" s="104">
        <v>168</v>
      </c>
      <c r="AI15" s="105">
        <v>81000</v>
      </c>
      <c r="AJ15" s="104">
        <f>AH15*AI15</f>
      </c>
      <c r="AK15" s="28">
        <v>135</v>
      </c>
      <c r="AL15" s="103">
        <v>60900</v>
      </c>
      <c r="AM15" s="28">
        <f>AK15*AL15</f>
      </c>
      <c r="AN15" s="104">
        <f>120+10</f>
      </c>
      <c r="AO15" s="109" t="s">
        <v>111</v>
      </c>
      <c r="AP15" s="104">
        <f>9720000+850000</f>
      </c>
      <c r="AQ15" s="106">
        <v>65</v>
      </c>
      <c r="AR15" s="107">
        <v>60900</v>
      </c>
      <c r="AS15" s="106">
        <f>AQ15*AR15</f>
      </c>
      <c r="AT15" s="106">
        <v>120</v>
      </c>
      <c r="AU15" s="107">
        <v>60900</v>
      </c>
      <c r="AV15" s="106">
        <f>AT15*AU15</f>
      </c>
      <c r="AW15" s="106">
        <f>30+30</f>
      </c>
      <c r="AX15" s="108" t="s">
        <v>112</v>
      </c>
      <c r="AY15" s="106">
        <f>1827000+2115000</f>
      </c>
      <c r="AZ15" s="106">
        <v>80</v>
      </c>
      <c r="BA15" s="107">
        <v>81000</v>
      </c>
      <c r="BB15" s="106">
        <f>AZ15*BA15</f>
      </c>
      <c r="BC15" s="106">
        <v>100</v>
      </c>
      <c r="BD15" s="107">
        <v>81000</v>
      </c>
      <c r="BE15" s="106">
        <f>BC15*BD15</f>
      </c>
      <c r="BF15" s="106">
        <v>120</v>
      </c>
      <c r="BG15" s="107">
        <v>81000</v>
      </c>
      <c r="BH15" s="106">
        <f>BF15*BG15</f>
      </c>
      <c r="BI15" s="5"/>
    </row>
    <row x14ac:dyDescent="0.25" r="16" customHeight="1" ht="34.5">
      <c r="A16" s="28">
        <v>11</v>
      </c>
      <c r="B16" s="30" t="s">
        <v>33</v>
      </c>
      <c r="C16" s="31" t="s">
        <v>34</v>
      </c>
      <c r="D16" s="114">
        <v>0.03</v>
      </c>
      <c r="E16" s="28">
        <v>45</v>
      </c>
      <c r="F16" s="103">
        <v>43000</v>
      </c>
      <c r="G16" s="28">
        <f>E16*F16*97%</f>
      </c>
      <c r="H16" s="104">
        <v>50</v>
      </c>
      <c r="I16" s="105">
        <v>60000</v>
      </c>
      <c r="J16" s="104">
        <f>H16*I16</f>
      </c>
      <c r="K16" s="114">
        <v>0.03</v>
      </c>
      <c r="L16" s="28"/>
      <c r="M16" s="103">
        <v>43000</v>
      </c>
      <c r="N16" s="28">
        <f>L16*M16*97%</f>
      </c>
      <c r="O16" s="104"/>
      <c r="P16" s="105">
        <v>60000</v>
      </c>
      <c r="Q16" s="104">
        <f>O16*P16</f>
      </c>
      <c r="R16" s="114">
        <v>0.03</v>
      </c>
      <c r="S16" s="28"/>
      <c r="T16" s="103">
        <v>43000</v>
      </c>
      <c r="U16" s="28">
        <f>S16*T16*97%</f>
      </c>
      <c r="V16" s="104"/>
      <c r="W16" s="105">
        <v>60000</v>
      </c>
      <c r="X16" s="104">
        <f>V16*W16</f>
      </c>
      <c r="Y16" s="28">
        <v>20</v>
      </c>
      <c r="Z16" s="103">
        <v>43000</v>
      </c>
      <c r="AA16" s="28">
        <f>Y16*Z16</f>
      </c>
      <c r="AB16" s="104"/>
      <c r="AC16" s="105">
        <v>60000</v>
      </c>
      <c r="AD16" s="104">
        <f>AB16*AC16</f>
      </c>
      <c r="AE16" s="28">
        <v>80</v>
      </c>
      <c r="AF16" s="103">
        <v>45200</v>
      </c>
      <c r="AG16" s="28">
        <f>AE16*AF16</f>
      </c>
      <c r="AH16" s="104">
        <v>67</v>
      </c>
      <c r="AI16" s="105">
        <v>60000</v>
      </c>
      <c r="AJ16" s="104">
        <f>AH16*AI16</f>
      </c>
      <c r="AK16" s="28"/>
      <c r="AL16" s="103">
        <v>45200</v>
      </c>
      <c r="AM16" s="28">
        <f>AK16*AL16</f>
      </c>
      <c r="AN16" s="104"/>
      <c r="AO16" s="105">
        <v>60000</v>
      </c>
      <c r="AP16" s="104">
        <f>AN16*AO16</f>
      </c>
      <c r="AQ16" s="106"/>
      <c r="AR16" s="107">
        <v>45200</v>
      </c>
      <c r="AS16" s="106">
        <f>AQ16*AR16</f>
      </c>
      <c r="AT16" s="106"/>
      <c r="AU16" s="107">
        <v>45200</v>
      </c>
      <c r="AV16" s="106">
        <f>AT16*AU16</f>
      </c>
      <c r="AW16" s="106">
        <v>40</v>
      </c>
      <c r="AX16" s="107">
        <v>52500</v>
      </c>
      <c r="AY16" s="106">
        <f>AW16*AX16</f>
      </c>
      <c r="AZ16" s="106">
        <v>39</v>
      </c>
      <c r="BA16" s="107">
        <v>60000</v>
      </c>
      <c r="BB16" s="106">
        <f>AZ16*BA16</f>
      </c>
      <c r="BC16" s="106">
        <v>52</v>
      </c>
      <c r="BD16" s="107">
        <v>60000</v>
      </c>
      <c r="BE16" s="106">
        <f>BC16*BD16</f>
      </c>
      <c r="BF16" s="106">
        <v>80</v>
      </c>
      <c r="BG16" s="107">
        <v>60000</v>
      </c>
      <c r="BH16" s="106">
        <f>BF16*BG16</f>
      </c>
      <c r="BI16" s="5"/>
    </row>
    <row x14ac:dyDescent="0.25" r="17" customHeight="1" ht="34.5">
      <c r="A17" s="25">
        <v>12</v>
      </c>
      <c r="B17" s="26" t="s">
        <v>35</v>
      </c>
      <c r="C17" s="27" t="s">
        <v>36</v>
      </c>
      <c r="D17" s="114">
        <v>0.03</v>
      </c>
      <c r="E17" s="28">
        <v>254</v>
      </c>
      <c r="F17" s="103">
        <v>63000</v>
      </c>
      <c r="G17" s="28">
        <f>E17*F17*97%</f>
      </c>
      <c r="H17" s="104">
        <v>280</v>
      </c>
      <c r="I17" s="105">
        <v>83000</v>
      </c>
      <c r="J17" s="104">
        <f>H17*I17</f>
      </c>
      <c r="K17" s="114">
        <v>0.03</v>
      </c>
      <c r="L17" s="28"/>
      <c r="M17" s="103">
        <v>63000</v>
      </c>
      <c r="N17" s="28">
        <f>L17*M17*97%</f>
      </c>
      <c r="O17" s="104">
        <v>261</v>
      </c>
      <c r="P17" s="105">
        <v>83000</v>
      </c>
      <c r="Q17" s="104">
        <f>O17*P17</f>
      </c>
      <c r="R17" s="114">
        <v>0.03</v>
      </c>
      <c r="S17" s="28">
        <v>100</v>
      </c>
      <c r="T17" s="103">
        <v>63000</v>
      </c>
      <c r="U17" s="28">
        <f>S17*T17*97%</f>
      </c>
      <c r="V17" s="104">
        <v>240</v>
      </c>
      <c r="W17" s="105">
        <v>83000</v>
      </c>
      <c r="X17" s="104">
        <f>V17*W17</f>
      </c>
      <c r="Y17" s="28">
        <f>205-25+20</f>
      </c>
      <c r="Z17" s="103">
        <v>63000</v>
      </c>
      <c r="AA17" s="28">
        <f>Y17*Z17</f>
      </c>
      <c r="AB17" s="104">
        <v>266</v>
      </c>
      <c r="AC17" s="105">
        <v>83000</v>
      </c>
      <c r="AD17" s="104">
        <f>AB17*AC17</f>
      </c>
      <c r="AE17" s="28">
        <v>295</v>
      </c>
      <c r="AF17" s="103">
        <v>66200</v>
      </c>
      <c r="AG17" s="28">
        <f>AE17*AF17</f>
      </c>
      <c r="AH17" s="104">
        <v>317</v>
      </c>
      <c r="AI17" s="105">
        <v>83000</v>
      </c>
      <c r="AJ17" s="104">
        <f>AH17*AI17</f>
      </c>
      <c r="AK17" s="28">
        <v>165</v>
      </c>
      <c r="AL17" s="103">
        <v>66200</v>
      </c>
      <c r="AM17" s="28">
        <f>AK17*AL17</f>
      </c>
      <c r="AN17" s="104">
        <f>351+50</f>
      </c>
      <c r="AO17" s="109" t="s">
        <v>82</v>
      </c>
      <c r="AP17" s="104">
        <f>29133000+4350000</f>
      </c>
      <c r="AQ17" s="106">
        <v>180</v>
      </c>
      <c r="AR17" s="107">
        <v>66200</v>
      </c>
      <c r="AS17" s="106">
        <f>AQ17*AR17</f>
      </c>
      <c r="AT17" s="106">
        <v>60</v>
      </c>
      <c r="AU17" s="107">
        <v>66200</v>
      </c>
      <c r="AV17" s="106">
        <f>AT17*AU17</f>
      </c>
      <c r="AW17" s="106">
        <v>175</v>
      </c>
      <c r="AX17" s="107">
        <v>77000</v>
      </c>
      <c r="AY17" s="106">
        <f>AW17*AX17</f>
      </c>
      <c r="AZ17" s="106">
        <v>325</v>
      </c>
      <c r="BA17" s="107">
        <v>83000</v>
      </c>
      <c r="BB17" s="106">
        <f>AZ17*BA17</f>
      </c>
      <c r="BC17" s="106">
        <v>220</v>
      </c>
      <c r="BD17" s="107">
        <v>83000</v>
      </c>
      <c r="BE17" s="106">
        <f>BC17*BD17</f>
      </c>
      <c r="BF17" s="106">
        <v>219</v>
      </c>
      <c r="BG17" s="107">
        <v>83000</v>
      </c>
      <c r="BH17" s="106">
        <f>BF17*BG17</f>
      </c>
      <c r="BI17" s="5"/>
    </row>
    <row x14ac:dyDescent="0.25" r="18" customHeight="1" ht="34.5">
      <c r="A18" s="25">
        <v>13</v>
      </c>
      <c r="B18" s="26" t="s">
        <v>37</v>
      </c>
      <c r="C18" s="27" t="s">
        <v>38</v>
      </c>
      <c r="D18" s="114">
        <v>0.03</v>
      </c>
      <c r="E18" s="28">
        <v>100</v>
      </c>
      <c r="F18" s="103">
        <v>51000</v>
      </c>
      <c r="G18" s="28">
        <f>E18*F18*97%</f>
      </c>
      <c r="H18" s="104"/>
      <c r="I18" s="105">
        <v>65000</v>
      </c>
      <c r="J18" s="104">
        <f>H18*I18</f>
      </c>
      <c r="K18" s="114">
        <v>0.03</v>
      </c>
      <c r="L18" s="28"/>
      <c r="M18" s="103">
        <v>51000</v>
      </c>
      <c r="N18" s="28">
        <f>L18*M18*97%</f>
      </c>
      <c r="O18" s="104"/>
      <c r="P18" s="105">
        <v>65000</v>
      </c>
      <c r="Q18" s="104">
        <f>O18*P18</f>
      </c>
      <c r="R18" s="114">
        <v>0.03</v>
      </c>
      <c r="S18" s="28"/>
      <c r="T18" s="103">
        <v>51000</v>
      </c>
      <c r="U18" s="28">
        <f>S18*T18*97%</f>
      </c>
      <c r="V18" s="104">
        <v>20</v>
      </c>
      <c r="W18" s="105">
        <v>65000</v>
      </c>
      <c r="X18" s="104">
        <f>V18*W18</f>
      </c>
      <c r="Y18" s="28"/>
      <c r="Z18" s="103">
        <v>51000</v>
      </c>
      <c r="AA18" s="28">
        <f>Y18*Z18</f>
      </c>
      <c r="AB18" s="104">
        <v>30</v>
      </c>
      <c r="AC18" s="105">
        <v>65000</v>
      </c>
      <c r="AD18" s="104">
        <f>AB18*AC18</f>
      </c>
      <c r="AE18" s="28"/>
      <c r="AF18" s="103">
        <v>53600</v>
      </c>
      <c r="AG18" s="28">
        <f>AE18*AF18</f>
      </c>
      <c r="AH18" s="104">
        <v>50</v>
      </c>
      <c r="AI18" s="105">
        <v>65000</v>
      </c>
      <c r="AJ18" s="104">
        <f>AH18*AI18</f>
      </c>
      <c r="AK18" s="28"/>
      <c r="AL18" s="103">
        <v>53600</v>
      </c>
      <c r="AM18" s="28">
        <f>AK18*AL18</f>
      </c>
      <c r="AN18" s="104"/>
      <c r="AO18" s="105">
        <v>65000</v>
      </c>
      <c r="AP18" s="104">
        <f>AN18*AO18</f>
      </c>
      <c r="AQ18" s="106"/>
      <c r="AR18" s="107">
        <v>53600</v>
      </c>
      <c r="AS18" s="106">
        <f>AQ18*AR18</f>
      </c>
      <c r="AT18" s="106"/>
      <c r="AU18" s="107">
        <v>53600</v>
      </c>
      <c r="AV18" s="106">
        <f>AT18*AU18</f>
      </c>
      <c r="AW18" s="106"/>
      <c r="AX18" s="107">
        <v>53600</v>
      </c>
      <c r="AY18" s="106">
        <f>AW18*AX18</f>
      </c>
      <c r="AZ18" s="106"/>
      <c r="BA18" s="107">
        <v>65000</v>
      </c>
      <c r="BB18" s="106">
        <f>AZ18*BA18</f>
      </c>
      <c r="BC18" s="106"/>
      <c r="BD18" s="107">
        <v>65000</v>
      </c>
      <c r="BE18" s="106">
        <f>BC18*BD18</f>
      </c>
      <c r="BF18" s="106"/>
      <c r="BG18" s="107">
        <v>65000</v>
      </c>
      <c r="BH18" s="106">
        <f>BF18*BG18</f>
      </c>
      <c r="BI18" s="5"/>
    </row>
    <row x14ac:dyDescent="0.25" r="19" customHeight="1" ht="34.5">
      <c r="A19" s="25">
        <v>14</v>
      </c>
      <c r="B19" s="26" t="s">
        <v>39</v>
      </c>
      <c r="C19" s="27" t="s">
        <v>40</v>
      </c>
      <c r="D19" s="114">
        <v>0.03</v>
      </c>
      <c r="E19" s="28">
        <v>277</v>
      </c>
      <c r="F19" s="103">
        <v>60500</v>
      </c>
      <c r="G19" s="28">
        <f>E19*F19*97%</f>
      </c>
      <c r="H19" s="104">
        <v>230</v>
      </c>
      <c r="I19" s="105">
        <v>79500</v>
      </c>
      <c r="J19" s="104">
        <f>H19*I19</f>
      </c>
      <c r="K19" s="114">
        <v>0.03</v>
      </c>
      <c r="L19" s="28">
        <v>23</v>
      </c>
      <c r="M19" s="103">
        <v>60500</v>
      </c>
      <c r="N19" s="28">
        <f>L19*M19*97%</f>
      </c>
      <c r="O19" s="104">
        <v>134</v>
      </c>
      <c r="P19" s="105">
        <v>79500</v>
      </c>
      <c r="Q19" s="104">
        <f>O19*P19</f>
      </c>
      <c r="R19" s="114">
        <v>0.03</v>
      </c>
      <c r="S19" s="28">
        <v>160</v>
      </c>
      <c r="T19" s="103">
        <v>60500</v>
      </c>
      <c r="U19" s="28">
        <f>S19*T19*97%</f>
      </c>
      <c r="V19" s="104">
        <v>266</v>
      </c>
      <c r="W19" s="105">
        <v>79500</v>
      </c>
      <c r="X19" s="104">
        <f>V19*W19</f>
      </c>
      <c r="Y19" s="28">
        <v>140</v>
      </c>
      <c r="Z19" s="103">
        <v>60500</v>
      </c>
      <c r="AA19" s="28">
        <f>Y19*Z19</f>
      </c>
      <c r="AB19" s="104">
        <v>300</v>
      </c>
      <c r="AC19" s="105">
        <v>79500</v>
      </c>
      <c r="AD19" s="104">
        <f>AB19*AC19</f>
      </c>
      <c r="AE19" s="28">
        <v>100</v>
      </c>
      <c r="AF19" s="103">
        <v>63600</v>
      </c>
      <c r="AG19" s="28">
        <f>AE19*AF19</f>
      </c>
      <c r="AH19" s="104">
        <v>340</v>
      </c>
      <c r="AI19" s="105">
        <v>79500</v>
      </c>
      <c r="AJ19" s="104">
        <f>AH19*AI19</f>
      </c>
      <c r="AK19" s="28">
        <v>200</v>
      </c>
      <c r="AL19" s="103">
        <v>63600</v>
      </c>
      <c r="AM19" s="28">
        <f>AK19*AL19</f>
      </c>
      <c r="AN19" s="104">
        <f>285+45</f>
      </c>
      <c r="AO19" s="109" t="s">
        <v>83</v>
      </c>
      <c r="AP19" s="104">
        <f>22657500+3735000</f>
      </c>
      <c r="AQ19" s="106"/>
      <c r="AR19" s="107">
        <v>63600</v>
      </c>
      <c r="AS19" s="106">
        <f>AQ19*AR19</f>
      </c>
      <c r="AT19" s="106">
        <v>100</v>
      </c>
      <c r="AU19" s="107">
        <v>63600</v>
      </c>
      <c r="AV19" s="106">
        <f>AT19*AU19</f>
      </c>
      <c r="AW19" s="106">
        <f>100+40</f>
      </c>
      <c r="AX19" s="108" t="s">
        <v>84</v>
      </c>
      <c r="AY19" s="106">
        <f>7000000+2940000</f>
      </c>
      <c r="AZ19" s="106">
        <v>120</v>
      </c>
      <c r="BA19" s="107">
        <v>79500</v>
      </c>
      <c r="BB19" s="106">
        <f>AZ19*BA19</f>
      </c>
      <c r="BC19" s="106">
        <v>230</v>
      </c>
      <c r="BD19" s="107">
        <v>79500</v>
      </c>
      <c r="BE19" s="106">
        <f>BC19*BD19</f>
      </c>
      <c r="BF19" s="106">
        <v>170</v>
      </c>
      <c r="BG19" s="107">
        <v>79500</v>
      </c>
      <c r="BH19" s="106">
        <f>BF19*BG19</f>
      </c>
      <c r="BI19" s="5"/>
    </row>
    <row x14ac:dyDescent="0.25" r="20" customHeight="1" ht="34.5">
      <c r="A20" s="28">
        <v>15</v>
      </c>
      <c r="B20" s="30" t="s">
        <v>41</v>
      </c>
      <c r="C20" s="31" t="s">
        <v>42</v>
      </c>
      <c r="D20" s="114">
        <v>0.03</v>
      </c>
      <c r="E20" s="28">
        <v>140</v>
      </c>
      <c r="F20" s="103">
        <v>82500</v>
      </c>
      <c r="G20" s="28">
        <f>E20*F20*97%</f>
      </c>
      <c r="H20" s="104">
        <v>80</v>
      </c>
      <c r="I20" s="105">
        <v>115000</v>
      </c>
      <c r="J20" s="104">
        <f>H20*I20</f>
      </c>
      <c r="K20" s="114">
        <v>0.03</v>
      </c>
      <c r="L20" s="28"/>
      <c r="M20" s="103">
        <v>82500</v>
      </c>
      <c r="N20" s="28">
        <f>L20*M20*97%</f>
      </c>
      <c r="O20" s="104"/>
      <c r="P20" s="105">
        <v>115000</v>
      </c>
      <c r="Q20" s="104">
        <f>O20*P20</f>
      </c>
      <c r="R20" s="114">
        <v>0.03</v>
      </c>
      <c r="S20" s="28"/>
      <c r="T20" s="103">
        <v>82500</v>
      </c>
      <c r="U20" s="28">
        <f>S20*T20*97%</f>
      </c>
      <c r="V20" s="104">
        <v>50</v>
      </c>
      <c r="W20" s="105">
        <v>115000</v>
      </c>
      <c r="X20" s="104">
        <f>V20*W20</f>
      </c>
      <c r="Y20" s="28"/>
      <c r="Z20" s="103">
        <v>82500</v>
      </c>
      <c r="AA20" s="28">
        <f>Y20*Z20</f>
      </c>
      <c r="AB20" s="104"/>
      <c r="AC20" s="105">
        <v>115000</v>
      </c>
      <c r="AD20" s="104">
        <f>AB20*AC20</f>
      </c>
      <c r="AE20" s="28">
        <v>20</v>
      </c>
      <c r="AF20" s="103">
        <v>86700</v>
      </c>
      <c r="AG20" s="28">
        <f>AE20*AF20</f>
      </c>
      <c r="AH20" s="104">
        <v>110</v>
      </c>
      <c r="AI20" s="105">
        <v>115000</v>
      </c>
      <c r="AJ20" s="104">
        <f>AH20*AI20</f>
      </c>
      <c r="AK20" s="28"/>
      <c r="AL20" s="103">
        <v>86700</v>
      </c>
      <c r="AM20" s="28">
        <f>AK20*AL20</f>
      </c>
      <c r="AN20" s="104">
        <v>50</v>
      </c>
      <c r="AO20" s="105">
        <v>115000</v>
      </c>
      <c r="AP20" s="104">
        <f>AN20*AO20</f>
      </c>
      <c r="AQ20" s="106"/>
      <c r="AR20" s="107">
        <v>86700</v>
      </c>
      <c r="AS20" s="106">
        <f>AQ20*AR20</f>
      </c>
      <c r="AT20" s="106">
        <v>50</v>
      </c>
      <c r="AU20" s="107">
        <v>86700</v>
      </c>
      <c r="AV20" s="106">
        <f>AT20*AU20</f>
      </c>
      <c r="AW20" s="106">
        <f>30+40</f>
      </c>
      <c r="AX20" s="108" t="s">
        <v>113</v>
      </c>
      <c r="AY20" s="106">
        <f>2601000+4040000</f>
      </c>
      <c r="AZ20" s="106">
        <v>23</v>
      </c>
      <c r="BA20" s="107">
        <v>115000</v>
      </c>
      <c r="BB20" s="106">
        <f>AZ20*BA20</f>
      </c>
      <c r="BC20" s="106">
        <v>100</v>
      </c>
      <c r="BD20" s="107">
        <v>115000</v>
      </c>
      <c r="BE20" s="106">
        <f>BC20*BD20</f>
      </c>
      <c r="BF20" s="106">
        <v>20</v>
      </c>
      <c r="BG20" s="107">
        <v>115000</v>
      </c>
      <c r="BH20" s="106">
        <f>BF20*BG20</f>
      </c>
      <c r="BI20" s="5"/>
    </row>
    <row x14ac:dyDescent="0.25" r="21" customHeight="1" ht="34.5">
      <c r="A21" s="28">
        <v>16</v>
      </c>
      <c r="B21" s="30" t="s">
        <v>43</v>
      </c>
      <c r="C21" s="31" t="s">
        <v>44</v>
      </c>
      <c r="D21" s="114"/>
      <c r="E21" s="28"/>
      <c r="F21" s="103"/>
      <c r="G21" s="28"/>
      <c r="H21" s="104"/>
      <c r="I21" s="105">
        <v>113500</v>
      </c>
      <c r="J21" s="104">
        <f>H21*I21</f>
      </c>
      <c r="K21" s="114"/>
      <c r="L21" s="28"/>
      <c r="M21" s="103">
        <v>88000</v>
      </c>
      <c r="N21" s="28"/>
      <c r="O21" s="104"/>
      <c r="P21" s="105">
        <v>113500</v>
      </c>
      <c r="Q21" s="104">
        <f>O21*P21</f>
      </c>
      <c r="R21" s="114">
        <v>0.03</v>
      </c>
      <c r="S21" s="28">
        <v>100</v>
      </c>
      <c r="T21" s="103">
        <v>88000</v>
      </c>
      <c r="U21" s="28">
        <f>S21*T21*97%</f>
      </c>
      <c r="V21" s="104"/>
      <c r="W21" s="105">
        <v>113500</v>
      </c>
      <c r="X21" s="104">
        <f>V21*W21</f>
      </c>
      <c r="Y21" s="28"/>
      <c r="Z21" s="103">
        <v>88000</v>
      </c>
      <c r="AA21" s="28">
        <f>Y21*Z21</f>
      </c>
      <c r="AB21" s="104">
        <v>60</v>
      </c>
      <c r="AC21" s="105">
        <v>113500</v>
      </c>
      <c r="AD21" s="104">
        <f>AB21*AC21</f>
      </c>
      <c r="AE21" s="28"/>
      <c r="AF21" s="103">
        <v>92400</v>
      </c>
      <c r="AG21" s="28">
        <f>AE21*AF21</f>
      </c>
      <c r="AH21" s="104">
        <v>40</v>
      </c>
      <c r="AI21" s="105">
        <v>113500</v>
      </c>
      <c r="AJ21" s="104">
        <f>AH21*AI21</f>
      </c>
      <c r="AK21" s="28"/>
      <c r="AL21" s="103">
        <v>92400</v>
      </c>
      <c r="AM21" s="28">
        <f>AK21*AL21</f>
      </c>
      <c r="AN21" s="104"/>
      <c r="AO21" s="105">
        <v>113500</v>
      </c>
      <c r="AP21" s="104">
        <f>AN21*AO21</f>
      </c>
      <c r="AQ21" s="106"/>
      <c r="AR21" s="107">
        <v>92400</v>
      </c>
      <c r="AS21" s="106">
        <f>AQ21*AR21</f>
      </c>
      <c r="AT21" s="106"/>
      <c r="AU21" s="107">
        <v>92400</v>
      </c>
      <c r="AV21" s="106">
        <f>AT21*AU21</f>
      </c>
      <c r="AW21" s="106"/>
      <c r="AX21" s="107">
        <v>102000</v>
      </c>
      <c r="AY21" s="106">
        <f>AW21*AX21</f>
      </c>
      <c r="AZ21" s="106"/>
      <c r="BA21" s="107">
        <v>113500</v>
      </c>
      <c r="BB21" s="106">
        <f>AZ21*BA21</f>
      </c>
      <c r="BC21" s="106"/>
      <c r="BD21" s="107">
        <v>113500</v>
      </c>
      <c r="BE21" s="106">
        <f>BC21*BD21</f>
      </c>
      <c r="BF21" s="106"/>
      <c r="BG21" s="107">
        <v>113500</v>
      </c>
      <c r="BH21" s="106">
        <f>BF21*BG21</f>
      </c>
      <c r="BI21" s="5"/>
    </row>
    <row x14ac:dyDescent="0.25" r="22" customHeight="1" ht="34.5">
      <c r="A22" s="28">
        <v>17</v>
      </c>
      <c r="B22" s="30" t="s">
        <v>45</v>
      </c>
      <c r="C22" s="31" t="s">
        <v>46</v>
      </c>
      <c r="D22" s="114">
        <v>0.03</v>
      </c>
      <c r="E22" s="28">
        <v>55</v>
      </c>
      <c r="F22" s="103">
        <v>90000</v>
      </c>
      <c r="G22" s="28">
        <f>E22*F22*97%</f>
      </c>
      <c r="H22" s="104">
        <v>70</v>
      </c>
      <c r="I22" s="105">
        <v>121000</v>
      </c>
      <c r="J22" s="104">
        <f>H22*I22</f>
      </c>
      <c r="K22" s="114">
        <v>0.03</v>
      </c>
      <c r="L22" s="28">
        <v>56</v>
      </c>
      <c r="M22" s="103">
        <v>90000</v>
      </c>
      <c r="N22" s="28">
        <f>L22*M22*97%</f>
      </c>
      <c r="O22" s="104">
        <v>20</v>
      </c>
      <c r="P22" s="105">
        <v>121000</v>
      </c>
      <c r="Q22" s="104">
        <f>O22*P22</f>
      </c>
      <c r="R22" s="114">
        <v>0.03</v>
      </c>
      <c r="S22" s="28"/>
      <c r="T22" s="103">
        <v>90000</v>
      </c>
      <c r="U22" s="28">
        <f>S22*T22*97%</f>
      </c>
      <c r="V22" s="104">
        <v>20</v>
      </c>
      <c r="W22" s="105">
        <v>121000</v>
      </c>
      <c r="X22" s="104">
        <f>V22*W22</f>
      </c>
      <c r="Y22" s="28"/>
      <c r="Z22" s="103">
        <v>90000</v>
      </c>
      <c r="AA22" s="28">
        <f>Y22*Z22</f>
      </c>
      <c r="AB22" s="104">
        <v>68</v>
      </c>
      <c r="AC22" s="105">
        <v>121000</v>
      </c>
      <c r="AD22" s="104">
        <f>AB22*AC22</f>
      </c>
      <c r="AE22" s="28">
        <v>45</v>
      </c>
      <c r="AF22" s="103">
        <v>94500</v>
      </c>
      <c r="AG22" s="28">
        <f>AE22*AF22</f>
      </c>
      <c r="AH22" s="104">
        <v>73</v>
      </c>
      <c r="AI22" s="105">
        <v>121000</v>
      </c>
      <c r="AJ22" s="104">
        <f>AH22*AI22</f>
      </c>
      <c r="AK22" s="28">
        <v>20</v>
      </c>
      <c r="AL22" s="103">
        <v>94500</v>
      </c>
      <c r="AM22" s="28">
        <f>AK22*AL22</f>
      </c>
      <c r="AN22" s="104">
        <v>89</v>
      </c>
      <c r="AO22" s="105">
        <v>121000</v>
      </c>
      <c r="AP22" s="104">
        <f>AN22*AO22</f>
      </c>
      <c r="AQ22" s="106"/>
      <c r="AR22" s="107">
        <v>94500</v>
      </c>
      <c r="AS22" s="106">
        <f>AQ22*AR22</f>
      </c>
      <c r="AT22" s="106">
        <v>20</v>
      </c>
      <c r="AU22" s="107">
        <v>94500</v>
      </c>
      <c r="AV22" s="106">
        <f>AT22*AU22</f>
      </c>
      <c r="AW22" s="106">
        <f>15+20</f>
      </c>
      <c r="AX22" s="108" t="s">
        <v>114</v>
      </c>
      <c r="AY22" s="106">
        <f>1417500+2200000</f>
      </c>
      <c r="AZ22" s="106">
        <v>48</v>
      </c>
      <c r="BA22" s="107">
        <v>121000</v>
      </c>
      <c r="BB22" s="106">
        <f>AZ22*BA22</f>
      </c>
      <c r="BC22" s="106">
        <v>52</v>
      </c>
      <c r="BD22" s="107">
        <v>121000</v>
      </c>
      <c r="BE22" s="106">
        <f>BC22*BD22</f>
      </c>
      <c r="BF22" s="106">
        <v>40</v>
      </c>
      <c r="BG22" s="107">
        <v>121000</v>
      </c>
      <c r="BH22" s="106">
        <f>BF22*BG22</f>
      </c>
      <c r="BI22" s="5"/>
    </row>
    <row x14ac:dyDescent="0.25" r="23" customHeight="1" ht="34.5">
      <c r="A23" s="28">
        <v>18</v>
      </c>
      <c r="B23" s="30" t="s">
        <v>47</v>
      </c>
      <c r="C23" s="31" t="s">
        <v>48</v>
      </c>
      <c r="D23" s="114"/>
      <c r="E23" s="28"/>
      <c r="F23" s="103"/>
      <c r="G23" s="28"/>
      <c r="H23" s="104">
        <v>23</v>
      </c>
      <c r="I23" s="105">
        <v>51000</v>
      </c>
      <c r="J23" s="104">
        <f>H23*I23</f>
      </c>
      <c r="K23" s="114"/>
      <c r="L23" s="28"/>
      <c r="M23" s="103">
        <v>39000</v>
      </c>
      <c r="N23" s="28"/>
      <c r="O23" s="104"/>
      <c r="P23" s="105">
        <v>51000</v>
      </c>
      <c r="Q23" s="104">
        <f>O23*P23</f>
      </c>
      <c r="R23" s="114">
        <v>0.03</v>
      </c>
      <c r="S23" s="28">
        <v>35</v>
      </c>
      <c r="T23" s="103">
        <v>39000</v>
      </c>
      <c r="U23" s="28">
        <f>S23*T23*97%</f>
      </c>
      <c r="V23" s="104"/>
      <c r="W23" s="105">
        <v>51000</v>
      </c>
      <c r="X23" s="104">
        <f>V23*W23</f>
      </c>
      <c r="Y23" s="28"/>
      <c r="Z23" s="103">
        <v>39000</v>
      </c>
      <c r="AA23" s="28">
        <f>Y23*Z23</f>
      </c>
      <c r="AB23" s="104"/>
      <c r="AC23" s="105">
        <v>51000</v>
      </c>
      <c r="AD23" s="104">
        <f>AB23*AC23</f>
      </c>
      <c r="AE23" s="175">
        <v>100</v>
      </c>
      <c r="AF23" s="111">
        <v>41000</v>
      </c>
      <c r="AG23" s="175">
        <f>AE23*AF23</f>
      </c>
      <c r="AH23" s="104">
        <v>50</v>
      </c>
      <c r="AI23" s="105">
        <v>51000</v>
      </c>
      <c r="AJ23" s="104">
        <f>AH23*AI23</f>
      </c>
      <c r="AK23" s="28"/>
      <c r="AL23" s="176"/>
      <c r="AM23" s="28">
        <f>AK23*AL23</f>
      </c>
      <c r="AN23" s="104"/>
      <c r="AO23" s="105">
        <v>51000</v>
      </c>
      <c r="AP23" s="104">
        <f>AN23*AO23</f>
      </c>
      <c r="AQ23" s="106"/>
      <c r="AR23" s="107">
        <v>41000</v>
      </c>
      <c r="AS23" s="106">
        <f>AQ23*AR23</f>
      </c>
      <c r="AT23" s="106"/>
      <c r="AU23" s="107">
        <v>41000</v>
      </c>
      <c r="AV23" s="106">
        <f>AT23*AU23</f>
      </c>
      <c r="AW23" s="106">
        <v>20</v>
      </c>
      <c r="AX23" s="107">
        <v>46000</v>
      </c>
      <c r="AY23" s="106">
        <f>AW23*AX23</f>
      </c>
      <c r="AZ23" s="106">
        <v>20</v>
      </c>
      <c r="BA23" s="107">
        <v>51000</v>
      </c>
      <c r="BB23" s="106">
        <f>AZ23*BA23</f>
      </c>
      <c r="BC23" s="106">
        <v>37</v>
      </c>
      <c r="BD23" s="107">
        <v>51000</v>
      </c>
      <c r="BE23" s="106">
        <f>BC23*BD23</f>
      </c>
      <c r="BF23" s="106">
        <v>40</v>
      </c>
      <c r="BG23" s="107">
        <v>51000</v>
      </c>
      <c r="BH23" s="106">
        <f>BF23*BG23</f>
      </c>
      <c r="BI23" s="5"/>
    </row>
    <row x14ac:dyDescent="0.25" r="24" customHeight="1" ht="34.5">
      <c r="A24" s="25">
        <v>19</v>
      </c>
      <c r="B24" s="26" t="s">
        <v>49</v>
      </c>
      <c r="C24" s="27" t="s">
        <v>50</v>
      </c>
      <c r="D24" s="114">
        <v>0.03</v>
      </c>
      <c r="E24" s="28"/>
      <c r="F24" s="103">
        <v>90000</v>
      </c>
      <c r="G24" s="28">
        <f>E24*F24*97%</f>
      </c>
      <c r="H24" s="104"/>
      <c r="I24" s="105">
        <v>120000</v>
      </c>
      <c r="J24" s="104">
        <f>H24*I24</f>
      </c>
      <c r="K24" s="114">
        <v>0.03</v>
      </c>
      <c r="L24" s="28"/>
      <c r="M24" s="103">
        <v>90000</v>
      </c>
      <c r="N24" s="28">
        <f>L24*M24*97%</f>
      </c>
      <c r="O24" s="104"/>
      <c r="P24" s="105">
        <v>120000</v>
      </c>
      <c r="Q24" s="104">
        <f>O24*P24</f>
      </c>
      <c r="R24" s="114">
        <v>0.03</v>
      </c>
      <c r="S24" s="28"/>
      <c r="T24" s="103">
        <v>90000</v>
      </c>
      <c r="U24" s="28">
        <f>S24*T24*97%</f>
      </c>
      <c r="V24" s="104">
        <v>40</v>
      </c>
      <c r="W24" s="105">
        <v>120000</v>
      </c>
      <c r="X24" s="104">
        <f>V24*W24</f>
      </c>
      <c r="Y24" s="28"/>
      <c r="Z24" s="103">
        <v>90000</v>
      </c>
      <c r="AA24" s="28">
        <f>Y24*Z24</f>
      </c>
      <c r="AB24" s="104">
        <v>10</v>
      </c>
      <c r="AC24" s="105">
        <v>120000</v>
      </c>
      <c r="AD24" s="104">
        <f>AB24*AC24</f>
      </c>
      <c r="AE24" s="28"/>
      <c r="AF24" s="103">
        <v>94500</v>
      </c>
      <c r="AG24" s="28">
        <f>AE24*AF24</f>
      </c>
      <c r="AH24" s="104">
        <v>14</v>
      </c>
      <c r="AI24" s="144">
        <v>120000</v>
      </c>
      <c r="AJ24" s="104">
        <f>AH24*AI24</f>
      </c>
      <c r="AK24" s="28"/>
      <c r="AL24" s="103">
        <v>94500</v>
      </c>
      <c r="AM24" s="28">
        <f>AK24*AL24</f>
      </c>
      <c r="AN24" s="104">
        <v>36</v>
      </c>
      <c r="AO24" s="105">
        <v>120000</v>
      </c>
      <c r="AP24" s="104">
        <f>AN24*AO24</f>
      </c>
      <c r="AQ24" s="106"/>
      <c r="AR24" s="107">
        <v>94500</v>
      </c>
      <c r="AS24" s="106">
        <f>AQ24*AR24</f>
      </c>
      <c r="AT24" s="106"/>
      <c r="AU24" s="107">
        <v>94500</v>
      </c>
      <c r="AV24" s="106">
        <f>AT24*AU24</f>
      </c>
      <c r="AW24" s="106"/>
      <c r="AX24" s="107">
        <v>104000</v>
      </c>
      <c r="AY24" s="106">
        <f>AW24*AX24</f>
      </c>
      <c r="AZ24" s="106"/>
      <c r="BA24" s="107">
        <v>120000</v>
      </c>
      <c r="BB24" s="106">
        <f>AZ24*BA24</f>
      </c>
      <c r="BC24" s="106"/>
      <c r="BD24" s="107">
        <v>120000</v>
      </c>
      <c r="BE24" s="106">
        <f>BC24*BD24</f>
      </c>
      <c r="BF24" s="106"/>
      <c r="BG24" s="107">
        <v>120000</v>
      </c>
      <c r="BH24" s="106">
        <f>BF24*BG24</f>
      </c>
      <c r="BI24" s="5"/>
    </row>
    <row x14ac:dyDescent="0.25" r="25" customHeight="1" ht="34.5">
      <c r="A25" s="25">
        <v>20</v>
      </c>
      <c r="B25" s="26" t="s">
        <v>51</v>
      </c>
      <c r="C25" s="27" t="s">
        <v>52</v>
      </c>
      <c r="D25" s="114">
        <v>0.03</v>
      </c>
      <c r="E25" s="28"/>
      <c r="F25" s="103">
        <v>90000</v>
      </c>
      <c r="G25" s="28">
        <f>E25*F25*97%</f>
      </c>
      <c r="H25" s="104"/>
      <c r="I25" s="105">
        <v>120000</v>
      </c>
      <c r="J25" s="104">
        <f>H25*I25</f>
      </c>
      <c r="K25" s="114">
        <v>0.03</v>
      </c>
      <c r="L25" s="28"/>
      <c r="M25" s="103">
        <v>90000</v>
      </c>
      <c r="N25" s="28">
        <f>L25*M25*97%</f>
      </c>
      <c r="O25" s="104"/>
      <c r="P25" s="105">
        <v>120000</v>
      </c>
      <c r="Q25" s="104">
        <f>O25*P25</f>
      </c>
      <c r="R25" s="114">
        <v>0.03</v>
      </c>
      <c r="S25" s="28"/>
      <c r="T25" s="103">
        <v>90000</v>
      </c>
      <c r="U25" s="28">
        <f>S25*T25*97%</f>
      </c>
      <c r="V25" s="104">
        <v>50</v>
      </c>
      <c r="W25" s="105">
        <v>120000</v>
      </c>
      <c r="X25" s="104">
        <f>V25*W25</f>
      </c>
      <c r="Y25" s="28"/>
      <c r="Z25" s="103">
        <v>90000</v>
      </c>
      <c r="AA25" s="28">
        <f>Y25*Z25</f>
      </c>
      <c r="AB25" s="104">
        <v>34</v>
      </c>
      <c r="AC25" s="105">
        <v>120000</v>
      </c>
      <c r="AD25" s="104">
        <f>AB25*AC25</f>
      </c>
      <c r="AE25" s="28"/>
      <c r="AF25" s="103">
        <v>94500</v>
      </c>
      <c r="AG25" s="28">
        <f>AE25*AF25</f>
      </c>
      <c r="AH25" s="104">
        <v>13</v>
      </c>
      <c r="AI25" s="105">
        <v>120000</v>
      </c>
      <c r="AJ25" s="104">
        <f>AH25*AI25</f>
      </c>
      <c r="AK25" s="28"/>
      <c r="AL25" s="103">
        <v>94500</v>
      </c>
      <c r="AM25" s="28">
        <f>AK25*AL25</f>
      </c>
      <c r="AN25" s="104">
        <v>53</v>
      </c>
      <c r="AO25" s="105">
        <v>120000</v>
      </c>
      <c r="AP25" s="104">
        <f>AN25*AO25</f>
      </c>
      <c r="AQ25" s="106"/>
      <c r="AR25" s="107">
        <v>94500</v>
      </c>
      <c r="AS25" s="106">
        <f>AQ25*AR25</f>
      </c>
      <c r="AT25" s="106"/>
      <c r="AU25" s="107">
        <v>94500</v>
      </c>
      <c r="AV25" s="106">
        <f>AT25*AU25</f>
      </c>
      <c r="AW25" s="106"/>
      <c r="AX25" s="107">
        <v>104000</v>
      </c>
      <c r="AY25" s="106">
        <f>AW25*AX25</f>
      </c>
      <c r="AZ25" s="106"/>
      <c r="BA25" s="107">
        <v>120000</v>
      </c>
      <c r="BB25" s="106">
        <f>AZ25*BA25</f>
      </c>
      <c r="BC25" s="106"/>
      <c r="BD25" s="107">
        <v>120000</v>
      </c>
      <c r="BE25" s="106">
        <f>BC25*BD25</f>
      </c>
      <c r="BF25" s="106"/>
      <c r="BG25" s="107">
        <v>120000</v>
      </c>
      <c r="BH25" s="106">
        <f>BF25*BG25</f>
      </c>
      <c r="BI25" s="5"/>
    </row>
    <row x14ac:dyDescent="0.25" r="26" customHeight="1" ht="34.5">
      <c r="A26" s="28">
        <v>21</v>
      </c>
      <c r="B26" s="30" t="s">
        <v>53</v>
      </c>
      <c r="C26" s="31" t="s">
        <v>54</v>
      </c>
      <c r="D26" s="114"/>
      <c r="E26" s="28"/>
      <c r="F26" s="103"/>
      <c r="G26" s="28"/>
      <c r="H26" s="104"/>
      <c r="I26" s="105"/>
      <c r="J26" s="104"/>
      <c r="K26" s="114"/>
      <c r="L26" s="28"/>
      <c r="M26" s="103"/>
      <c r="N26" s="28"/>
      <c r="O26" s="104"/>
      <c r="P26" s="105">
        <v>35000</v>
      </c>
      <c r="Q26" s="104">
        <f>O26*P26</f>
      </c>
      <c r="R26" s="114"/>
      <c r="S26" s="28"/>
      <c r="T26" s="103"/>
      <c r="U26" s="28"/>
      <c r="V26" s="104"/>
      <c r="W26" s="105">
        <v>35000</v>
      </c>
      <c r="X26" s="104">
        <f>V26*W26</f>
      </c>
      <c r="Y26" s="28"/>
      <c r="Z26" s="103"/>
      <c r="AA26" s="28"/>
      <c r="AB26" s="104"/>
      <c r="AC26" s="105">
        <v>35000</v>
      </c>
      <c r="AD26" s="104">
        <f>AB26*AC26</f>
      </c>
      <c r="AE26" s="28"/>
      <c r="AF26" s="103"/>
      <c r="AG26" s="28"/>
      <c r="AH26" s="104"/>
      <c r="AI26" s="105">
        <v>35000</v>
      </c>
      <c r="AJ26" s="104">
        <f>AH26*AI26</f>
      </c>
      <c r="AK26" s="28"/>
      <c r="AL26" s="103"/>
      <c r="AM26" s="28"/>
      <c r="AN26" s="104"/>
      <c r="AO26" s="105">
        <v>35000</v>
      </c>
      <c r="AP26" s="104">
        <f>AN26*AO26</f>
      </c>
      <c r="AQ26" s="106"/>
      <c r="AR26" s="107"/>
      <c r="AS26" s="106"/>
      <c r="AT26" s="106"/>
      <c r="AU26" s="107"/>
      <c r="AV26" s="106"/>
      <c r="AW26" s="106"/>
      <c r="AX26" s="107"/>
      <c r="AY26" s="106"/>
      <c r="AZ26" s="106"/>
      <c r="BA26" s="107"/>
      <c r="BB26" s="106"/>
      <c r="BC26" s="106"/>
      <c r="BD26" s="107"/>
      <c r="BE26" s="106"/>
      <c r="BF26" s="106"/>
      <c r="BG26" s="107"/>
      <c r="BH26" s="106"/>
      <c r="BI26" s="5"/>
    </row>
    <row x14ac:dyDescent="0.25" r="27" customHeight="1" ht="34.5">
      <c r="A27" s="25">
        <v>22</v>
      </c>
      <c r="B27" s="26" t="s">
        <v>55</v>
      </c>
      <c r="C27" s="27" t="s">
        <v>56</v>
      </c>
      <c r="D27" s="114">
        <v>0.03</v>
      </c>
      <c r="E27" s="28"/>
      <c r="F27" s="103">
        <v>70000</v>
      </c>
      <c r="G27" s="28">
        <f>E27*F27*97%</f>
      </c>
      <c r="H27" s="104"/>
      <c r="I27" s="105">
        <v>89000</v>
      </c>
      <c r="J27" s="104">
        <f>H27*I27</f>
      </c>
      <c r="K27" s="114">
        <v>0.03</v>
      </c>
      <c r="L27" s="28"/>
      <c r="M27" s="103">
        <v>70000</v>
      </c>
      <c r="N27" s="28">
        <f>L27*M27*97%</f>
      </c>
      <c r="O27" s="104">
        <v>50</v>
      </c>
      <c r="P27" s="105">
        <v>89000</v>
      </c>
      <c r="Q27" s="104">
        <f>O27*P27</f>
      </c>
      <c r="R27" s="114">
        <v>0.03</v>
      </c>
      <c r="S27" s="28"/>
      <c r="T27" s="103">
        <v>70000</v>
      </c>
      <c r="U27" s="28">
        <f>S27*T27*97%</f>
      </c>
      <c r="V27" s="104"/>
      <c r="W27" s="105">
        <v>89000</v>
      </c>
      <c r="X27" s="104">
        <f>V27*W27</f>
      </c>
      <c r="Y27" s="28"/>
      <c r="Z27" s="103">
        <v>70000</v>
      </c>
      <c r="AA27" s="28">
        <f>Y27*Z27</f>
      </c>
      <c r="AB27" s="104">
        <v>19</v>
      </c>
      <c r="AC27" s="105">
        <v>89000</v>
      </c>
      <c r="AD27" s="104">
        <f>AB27*AC27</f>
      </c>
      <c r="AE27" s="28"/>
      <c r="AF27" s="103">
        <v>73500</v>
      </c>
      <c r="AG27" s="28">
        <f>AE27*AF27</f>
      </c>
      <c r="AH27" s="104">
        <v>9</v>
      </c>
      <c r="AI27" s="105">
        <v>89000</v>
      </c>
      <c r="AJ27" s="104">
        <f>AH27*AI27</f>
      </c>
      <c r="AK27" s="28"/>
      <c r="AL27" s="103">
        <v>73500</v>
      </c>
      <c r="AM27" s="28">
        <f>AK27*AL27</f>
      </c>
      <c r="AN27" s="104">
        <v>31</v>
      </c>
      <c r="AO27" s="105">
        <v>89000</v>
      </c>
      <c r="AP27" s="104">
        <f>AN27*AO27</f>
      </c>
      <c r="AQ27" s="106"/>
      <c r="AR27" s="107">
        <v>73500</v>
      </c>
      <c r="AS27" s="106">
        <f>AQ27*AR27</f>
      </c>
      <c r="AT27" s="106"/>
      <c r="AU27" s="107">
        <v>73500</v>
      </c>
      <c r="AV27" s="106">
        <f>AT27*AU27</f>
      </c>
      <c r="AW27" s="106">
        <f>20+20</f>
      </c>
      <c r="AX27" s="108" t="s">
        <v>111</v>
      </c>
      <c r="AY27" s="106">
        <f>1620000+1700000</f>
      </c>
      <c r="AZ27" s="106">
        <v>21</v>
      </c>
      <c r="BA27" s="107">
        <v>89000</v>
      </c>
      <c r="BB27" s="106">
        <f>AZ27*BA27</f>
      </c>
      <c r="BC27" s="106"/>
      <c r="BD27" s="107">
        <v>89000</v>
      </c>
      <c r="BE27" s="106">
        <f>BC27*BD27</f>
      </c>
      <c r="BF27" s="106"/>
      <c r="BG27" s="107">
        <v>89000</v>
      </c>
      <c r="BH27" s="106">
        <f>BF27*BG27</f>
      </c>
      <c r="BI27" s="5"/>
    </row>
    <row x14ac:dyDescent="0.25" r="28" customHeight="1" ht="34.5">
      <c r="A28" s="32">
        <v>23</v>
      </c>
      <c r="B28" s="30" t="s">
        <v>57</v>
      </c>
      <c r="C28" s="31" t="s">
        <v>58</v>
      </c>
      <c r="D28" s="114"/>
      <c r="E28" s="28"/>
      <c r="F28" s="103"/>
      <c r="G28" s="28"/>
      <c r="H28" s="167"/>
      <c r="I28" s="103"/>
      <c r="J28" s="167"/>
      <c r="K28" s="114"/>
      <c r="L28" s="28"/>
      <c r="M28" s="103"/>
      <c r="N28" s="28"/>
      <c r="O28" s="167"/>
      <c r="P28" s="103">
        <v>90000</v>
      </c>
      <c r="Q28" s="167">
        <f>O28*P28</f>
      </c>
      <c r="R28" s="114"/>
      <c r="S28" s="28"/>
      <c r="T28" s="103"/>
      <c r="U28" s="28"/>
      <c r="V28" s="167"/>
      <c r="W28" s="103">
        <v>90000</v>
      </c>
      <c r="X28" s="167">
        <f>V28*W28</f>
      </c>
      <c r="Y28" s="28"/>
      <c r="Z28" s="103"/>
      <c r="AA28" s="28"/>
      <c r="AB28" s="167"/>
      <c r="AC28" s="103">
        <v>90000</v>
      </c>
      <c r="AD28" s="167">
        <f>AB28*AC28</f>
      </c>
      <c r="AE28" s="28"/>
      <c r="AF28" s="103"/>
      <c r="AG28" s="28"/>
      <c r="AH28" s="167"/>
      <c r="AI28" s="103">
        <v>90000</v>
      </c>
      <c r="AJ28" s="167">
        <f>AH28*AI28</f>
      </c>
      <c r="AK28" s="28"/>
      <c r="AL28" s="103"/>
      <c r="AM28" s="28"/>
      <c r="AN28" s="167"/>
      <c r="AO28" s="103">
        <v>90000</v>
      </c>
      <c r="AP28" s="167">
        <f>AN28*AO28</f>
      </c>
      <c r="AQ28" s="106"/>
      <c r="AR28" s="107"/>
      <c r="AS28" s="106"/>
      <c r="AT28" s="106"/>
      <c r="AU28" s="107"/>
      <c r="AV28" s="106"/>
      <c r="AW28" s="106"/>
      <c r="AX28" s="108"/>
      <c r="AY28" s="106"/>
      <c r="AZ28" s="106"/>
      <c r="BA28" s="107"/>
      <c r="BB28" s="106"/>
      <c r="BC28" s="106"/>
      <c r="BD28" s="107"/>
      <c r="BE28" s="106"/>
      <c r="BF28" s="106"/>
      <c r="BG28" s="107"/>
      <c r="BH28" s="106"/>
      <c r="BI28" s="5"/>
    </row>
    <row x14ac:dyDescent="0.25" r="29" customHeight="1" ht="34.5">
      <c r="A29" s="28">
        <v>24</v>
      </c>
      <c r="B29" s="30" t="s">
        <v>59</v>
      </c>
      <c r="C29" s="33" t="s">
        <v>60</v>
      </c>
      <c r="D29" s="114">
        <v>0.03</v>
      </c>
      <c r="E29" s="28"/>
      <c r="F29" s="103"/>
      <c r="G29" s="28"/>
      <c r="H29" s="104">
        <v>70</v>
      </c>
      <c r="I29" s="105">
        <v>94000</v>
      </c>
      <c r="J29" s="104">
        <f>H29*I29</f>
      </c>
      <c r="K29" s="114">
        <v>0.03</v>
      </c>
      <c r="L29" s="28">
        <v>100</v>
      </c>
      <c r="M29" s="103">
        <v>72000</v>
      </c>
      <c r="N29" s="28">
        <f>L29*M29*97%</f>
      </c>
      <c r="O29" s="104">
        <v>30</v>
      </c>
      <c r="P29" s="105">
        <v>94000</v>
      </c>
      <c r="Q29" s="104">
        <f>O29*P29</f>
      </c>
      <c r="R29" s="114">
        <v>0.03</v>
      </c>
      <c r="S29" s="28"/>
      <c r="T29" s="103">
        <v>72000</v>
      </c>
      <c r="U29" s="28">
        <f>S29*T29*97%</f>
      </c>
      <c r="V29" s="104">
        <v>30</v>
      </c>
      <c r="W29" s="105">
        <v>94000</v>
      </c>
      <c r="X29" s="104">
        <f>V29*W29</f>
      </c>
      <c r="Y29" s="28"/>
      <c r="Z29" s="103">
        <v>72000</v>
      </c>
      <c r="AA29" s="28">
        <f>Y29*Z29</f>
      </c>
      <c r="AB29" s="104">
        <v>70</v>
      </c>
      <c r="AC29" s="105">
        <v>94000</v>
      </c>
      <c r="AD29" s="104">
        <f>AB29*AC29</f>
      </c>
      <c r="AE29" s="28">
        <v>40</v>
      </c>
      <c r="AF29" s="103">
        <v>75600</v>
      </c>
      <c r="AG29" s="28">
        <f>AE29*AF29</f>
      </c>
      <c r="AH29" s="104">
        <v>60</v>
      </c>
      <c r="AI29" s="105">
        <v>94000</v>
      </c>
      <c r="AJ29" s="104">
        <f>AH29*AI29</f>
      </c>
      <c r="AK29" s="28">
        <v>30</v>
      </c>
      <c r="AL29" s="103">
        <v>75600</v>
      </c>
      <c r="AM29" s="28">
        <f>AK29*AL29</f>
      </c>
      <c r="AN29" s="104">
        <v>100</v>
      </c>
      <c r="AO29" s="105">
        <v>94000</v>
      </c>
      <c r="AP29" s="104">
        <f>AN29*AO29</f>
      </c>
      <c r="AQ29" s="106">
        <v>20</v>
      </c>
      <c r="AR29" s="107">
        <v>75600</v>
      </c>
      <c r="AS29" s="106">
        <f>AQ29*AR29</f>
      </c>
      <c r="AT29" s="106">
        <v>36</v>
      </c>
      <c r="AU29" s="107">
        <v>75600</v>
      </c>
      <c r="AV29" s="106">
        <f>AT29*AU29</f>
      </c>
      <c r="AW29" s="106">
        <v>44</v>
      </c>
      <c r="AX29" s="107">
        <v>75600</v>
      </c>
      <c r="AY29" s="106">
        <f>AW29*AX29</f>
      </c>
      <c r="AZ29" s="106">
        <v>30</v>
      </c>
      <c r="BA29" s="107">
        <v>94000</v>
      </c>
      <c r="BB29" s="106">
        <f>AZ29*BA29</f>
      </c>
      <c r="BC29" s="106">
        <v>92</v>
      </c>
      <c r="BD29" s="107">
        <v>94000</v>
      </c>
      <c r="BE29" s="106">
        <f>BC29*BD29</f>
      </c>
      <c r="BF29" s="106">
        <v>50</v>
      </c>
      <c r="BG29" s="107">
        <v>94000</v>
      </c>
      <c r="BH29" s="106">
        <f>BF29*BG29</f>
      </c>
      <c r="BI29" s="5"/>
    </row>
    <row x14ac:dyDescent="0.25" r="30" customHeight="1" ht="34.5">
      <c r="A30" s="28">
        <v>25</v>
      </c>
      <c r="B30" s="30" t="s">
        <v>61</v>
      </c>
      <c r="C30" s="33" t="s">
        <v>62</v>
      </c>
      <c r="D30" s="114"/>
      <c r="E30" s="28"/>
      <c r="F30" s="103"/>
      <c r="G30" s="28"/>
      <c r="H30" s="104">
        <v>50</v>
      </c>
      <c r="I30" s="105">
        <v>46000</v>
      </c>
      <c r="J30" s="104">
        <f>H30*I30</f>
      </c>
      <c r="K30" s="114"/>
      <c r="L30" s="28"/>
      <c r="M30" s="103"/>
      <c r="N30" s="28"/>
      <c r="O30" s="104">
        <v>60</v>
      </c>
      <c r="P30" s="105">
        <v>46000</v>
      </c>
      <c r="Q30" s="104">
        <f>O30*P30</f>
      </c>
      <c r="R30" s="114"/>
      <c r="S30" s="28"/>
      <c r="T30" s="103"/>
      <c r="U30" s="28"/>
      <c r="V30" s="104"/>
      <c r="W30" s="105">
        <v>46000</v>
      </c>
      <c r="X30" s="104">
        <f>V30*W30</f>
      </c>
      <c r="Y30" s="28"/>
      <c r="Z30" s="103"/>
      <c r="AA30" s="28"/>
      <c r="AB30" s="104">
        <v>40</v>
      </c>
      <c r="AC30" s="105">
        <v>46000</v>
      </c>
      <c r="AD30" s="104">
        <f>AB30*AC30</f>
      </c>
      <c r="AE30" s="28"/>
      <c r="AF30" s="103"/>
      <c r="AG30" s="28"/>
      <c r="AH30" s="104">
        <v>50</v>
      </c>
      <c r="AI30" s="105">
        <v>46000</v>
      </c>
      <c r="AJ30" s="104">
        <f>AH30*AI30</f>
      </c>
      <c r="AK30" s="28"/>
      <c r="AL30" s="103"/>
      <c r="AM30" s="28"/>
      <c r="AN30" s="104">
        <v>50</v>
      </c>
      <c r="AO30" s="105">
        <v>46000</v>
      </c>
      <c r="AP30" s="104">
        <f>AN30*AO30</f>
      </c>
      <c r="AQ30" s="106"/>
      <c r="AR30" s="107"/>
      <c r="AS30" s="106"/>
      <c r="AT30" s="106"/>
      <c r="AU30" s="107"/>
      <c r="AV30" s="106"/>
      <c r="AW30" s="106"/>
      <c r="AX30" s="107"/>
      <c r="AY30" s="106"/>
      <c r="AZ30" s="106"/>
      <c r="BA30" s="107"/>
      <c r="BB30" s="106"/>
      <c r="BC30" s="106"/>
      <c r="BD30" s="107"/>
      <c r="BE30" s="106"/>
      <c r="BF30" s="106">
        <v>50</v>
      </c>
      <c r="BG30" s="107">
        <v>46000</v>
      </c>
      <c r="BH30" s="106">
        <f>BF30*BG30</f>
      </c>
      <c r="BI30" s="5"/>
    </row>
    <row x14ac:dyDescent="0.25" r="31" customHeight="1" ht="34.5">
      <c r="A31" s="18" t="s">
        <v>63</v>
      </c>
      <c r="B31" s="34"/>
      <c r="C31" s="22"/>
      <c r="D31" s="136"/>
      <c r="E31" s="18">
        <f>SUM(E6:E30)</f>
      </c>
      <c r="F31" s="97"/>
      <c r="G31" s="18">
        <f>SUM(G6:G30)</f>
      </c>
      <c r="H31" s="94">
        <f>SUM(H6:H30)</f>
      </c>
      <c r="I31" s="94"/>
      <c r="J31" s="94">
        <f>SUM(J6:J30)</f>
      </c>
      <c r="K31" s="136"/>
      <c r="L31" s="18">
        <f>SUM(L6:L30)</f>
      </c>
      <c r="M31" s="97"/>
      <c r="N31" s="18">
        <f>SUM(N6:N30)</f>
      </c>
      <c r="O31" s="94">
        <f>SUM(O6:O30)</f>
      </c>
      <c r="P31" s="94"/>
      <c r="Q31" s="94">
        <f>SUM(Q6:Q30)</f>
      </c>
      <c r="R31" s="136"/>
      <c r="S31" s="18">
        <f>SUM(S6:S30)</f>
      </c>
      <c r="T31" s="97"/>
      <c r="U31" s="18">
        <f>SUM(U6:U30)</f>
      </c>
      <c r="V31" s="94">
        <f>SUM(V6:V30)</f>
      </c>
      <c r="W31" s="94"/>
      <c r="X31" s="94">
        <f>SUM(X6:X30)</f>
      </c>
      <c r="Y31" s="18">
        <f>SUM(Y6:Y30)</f>
      </c>
      <c r="Z31" s="97"/>
      <c r="AA31" s="18">
        <f>SUM(AA6:AA30)</f>
      </c>
      <c r="AB31" s="94">
        <f>SUM(AB6:AB30)</f>
      </c>
      <c r="AC31" s="94"/>
      <c r="AD31" s="94">
        <f>SUM(AD6:AD30)</f>
      </c>
      <c r="AE31" s="18">
        <f>SUM(AE6:AE30)</f>
      </c>
      <c r="AF31" s="97"/>
      <c r="AG31" s="18">
        <f>SUM(AG6:AG30)</f>
      </c>
      <c r="AH31" s="94">
        <f>SUM(AH6:AH30)</f>
      </c>
      <c r="AI31" s="94"/>
      <c r="AJ31" s="94">
        <f>SUM(AJ6:AJ30)</f>
      </c>
      <c r="AK31" s="18">
        <f>SUM(AK6:AK30)</f>
      </c>
      <c r="AL31" s="97"/>
      <c r="AM31" s="18">
        <f>SUM(AM6:AM30)</f>
      </c>
      <c r="AN31" s="94">
        <f>SUM(AN6:AN30)</f>
      </c>
      <c r="AO31" s="94"/>
      <c r="AP31" s="94">
        <f>SUM(AP6:AP30)</f>
      </c>
      <c r="AQ31" s="118">
        <f>SUM(AQ6:AQ29)</f>
      </c>
      <c r="AR31" s="119"/>
      <c r="AS31" s="118">
        <f>SUM(AS6:AS29)</f>
      </c>
      <c r="AT31" s="118">
        <f>SUM(AT6:AT29)</f>
      </c>
      <c r="AU31" s="119"/>
      <c r="AV31" s="118">
        <f>SUM(AV6:AV29)</f>
      </c>
      <c r="AW31" s="118">
        <f>SUM(AW6:AW29)</f>
      </c>
      <c r="AX31" s="119"/>
      <c r="AY31" s="118">
        <f>SUM(AY6:AY29)</f>
      </c>
      <c r="AZ31" s="118">
        <f>SUM(AZ6:AZ29)</f>
      </c>
      <c r="BA31" s="119"/>
      <c r="BB31" s="118">
        <f>SUM(BB6:BB29)</f>
      </c>
      <c r="BC31" s="118">
        <f>SUM(BC6:BC29)</f>
      </c>
      <c r="BD31" s="119"/>
      <c r="BE31" s="118">
        <f>SUM(BE6:BE29)</f>
      </c>
      <c r="BF31" s="118">
        <f>SUM(BF6:BF30)</f>
      </c>
      <c r="BG31" s="119"/>
      <c r="BH31" s="118">
        <f>SUM(BH6:BH30)</f>
      </c>
      <c r="BI31" s="5"/>
    </row>
    <row x14ac:dyDescent="0.25" r="32" customHeight="1" ht="34.5">
      <c r="A32" s="1"/>
      <c r="B32" s="2"/>
      <c r="C32" s="3"/>
      <c r="D32" s="73"/>
      <c r="E32" s="1"/>
      <c r="F32" s="1"/>
      <c r="G32" s="1"/>
      <c r="H32" s="1"/>
      <c r="I32" s="1"/>
      <c r="J32" s="1"/>
      <c r="K32" s="132"/>
      <c r="L32" s="1"/>
      <c r="M32" s="1"/>
      <c r="N32" s="1"/>
      <c r="O32" s="120"/>
      <c r="P32" s="120"/>
      <c r="Q32" s="120"/>
      <c r="R32" s="132"/>
      <c r="S32" s="1"/>
      <c r="T32" s="1"/>
      <c r="U32" s="1"/>
      <c r="V32" s="1"/>
      <c r="W32" s="1"/>
      <c r="X32" s="1"/>
      <c r="Y32" s="4"/>
      <c r="Z32" s="76"/>
      <c r="AA32" s="5"/>
      <c r="AB32" s="1"/>
      <c r="AC32" s="1"/>
      <c r="AD32" s="1"/>
      <c r="AE32" s="1"/>
      <c r="AF32" s="152"/>
      <c r="AG32" s="1"/>
      <c r="AH32" s="1"/>
      <c r="AI32" s="1"/>
      <c r="AJ32" s="1"/>
      <c r="AK32" s="4"/>
      <c r="AL32" s="76"/>
      <c r="AM32" s="5"/>
      <c r="AN32" s="1"/>
      <c r="AO32" s="1"/>
      <c r="AP32" s="1"/>
      <c r="AQ32" s="121"/>
      <c r="AR32" s="122"/>
      <c r="AS32" s="12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21"/>
      <c r="BG32" s="122"/>
      <c r="BH32" s="121"/>
      <c r="BI32" s="5"/>
    </row>
    <row x14ac:dyDescent="0.25" r="33" customHeight="1" ht="34.5">
      <c r="A33" s="1"/>
      <c r="B33" s="2"/>
      <c r="C33" s="3"/>
      <c r="D33" s="73"/>
      <c r="E33" s="1"/>
      <c r="F33" s="1"/>
      <c r="G33" s="1"/>
      <c r="H33" s="1"/>
      <c r="I33" s="1"/>
      <c r="J33" s="1"/>
      <c r="K33" s="132"/>
      <c r="L33" s="8"/>
      <c r="M33" s="149"/>
      <c r="N33" s="8"/>
      <c r="O33" s="1"/>
      <c r="P33" s="1"/>
      <c r="Q33" s="1"/>
      <c r="R33" s="132"/>
      <c r="S33" s="8"/>
      <c r="T33" s="149"/>
      <c r="U33" s="8"/>
      <c r="V33" s="1"/>
      <c r="W33" s="1"/>
      <c r="X33" s="1"/>
      <c r="Y33" s="4"/>
      <c r="Z33" s="76"/>
      <c r="AA33" s="5"/>
      <c r="AB33" s="1"/>
      <c r="AC33" s="1"/>
      <c r="AD33" s="1"/>
      <c r="AE33" s="4"/>
      <c r="AF33" s="76"/>
      <c r="AG33" s="5"/>
      <c r="AH33" s="1"/>
      <c r="AI33" s="1"/>
      <c r="AJ33" s="1"/>
      <c r="AK33" s="4"/>
      <c r="AL33" s="76"/>
      <c r="AM33" s="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3"/>
    </row>
    <row x14ac:dyDescent="0.25" r="34" customHeight="1" ht="34.5">
      <c r="A34" s="1"/>
      <c r="B34" s="2"/>
      <c r="C34" s="3"/>
      <c r="D34" s="73"/>
      <c r="E34" s="4"/>
      <c r="F34" s="4"/>
      <c r="G34" s="4"/>
      <c r="H34" s="1"/>
      <c r="I34" s="1"/>
      <c r="J34" s="1"/>
      <c r="K34" s="130"/>
      <c r="L34" s="4"/>
      <c r="M34" s="4"/>
      <c r="N34" s="4"/>
      <c r="O34" s="1"/>
      <c r="P34" s="1"/>
      <c r="Q34" s="1"/>
      <c r="R34" s="130"/>
      <c r="S34" s="4"/>
      <c r="T34" s="4"/>
      <c r="U34" s="4"/>
      <c r="V34" s="1"/>
      <c r="W34" s="1"/>
      <c r="X34" s="1"/>
      <c r="Y34" s="4"/>
      <c r="Z34" s="4"/>
      <c r="AA34" s="4"/>
      <c r="AB34" s="1"/>
      <c r="AC34" s="1"/>
      <c r="AD34" s="1"/>
      <c r="AE34" s="4"/>
      <c r="AF34" s="4"/>
      <c r="AG34" s="4"/>
      <c r="AH34" s="1"/>
      <c r="AI34" s="1"/>
      <c r="AJ34" s="1"/>
      <c r="AK34" s="4"/>
      <c r="AL34" s="4"/>
      <c r="AM34" s="4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3"/>
    </row>
    <row x14ac:dyDescent="0.25" r="35" customHeight="1" ht="34.5">
      <c r="A35" s="1"/>
      <c r="B35" s="12"/>
      <c r="C35" s="3"/>
      <c r="D35" s="150"/>
      <c r="E35" s="152"/>
      <c r="F35" s="152"/>
      <c r="G35" s="152"/>
      <c r="H35" s="152"/>
      <c r="I35" s="152"/>
      <c r="J35" s="152"/>
      <c r="K35" s="73"/>
      <c r="L35" s="1"/>
      <c r="M35" s="152"/>
      <c r="N35" s="1"/>
      <c r="O35" s="152"/>
      <c r="P35" s="152"/>
      <c r="Q35" s="152"/>
      <c r="R35" s="150"/>
      <c r="S35" s="4"/>
      <c r="T35" s="76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"/>
      <c r="AL35" s="76"/>
      <c r="AM35" s="4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3"/>
    </row>
    <row x14ac:dyDescent="0.25" r="36" customHeight="1" ht="34.5">
      <c r="A36" s="1"/>
      <c r="B36" s="12"/>
      <c r="C36" s="3"/>
      <c r="D36" s="150"/>
      <c r="E36" s="152"/>
      <c r="F36" s="152"/>
      <c r="G36" s="152"/>
      <c r="H36" s="152"/>
      <c r="I36" s="152"/>
      <c r="J36" s="152"/>
      <c r="K36" s="73"/>
      <c r="L36" s="1"/>
      <c r="M36" s="152"/>
      <c r="N36" s="1"/>
      <c r="O36" s="152"/>
      <c r="P36" s="152"/>
      <c r="Q36" s="152"/>
      <c r="R36" s="73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"/>
      <c r="AL36" s="76"/>
      <c r="AM36" s="5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3"/>
    </row>
  </sheetData>
  <mergeCells count="43">
    <mergeCell ref="A3:A5"/>
    <mergeCell ref="B3:B5"/>
    <mergeCell ref="C3:C5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D4:D5"/>
    <mergeCell ref="E4:G4"/>
    <mergeCell ref="H4:J4"/>
    <mergeCell ref="K4:K5"/>
    <mergeCell ref="L4:N4"/>
    <mergeCell ref="O4:Q4"/>
    <mergeCell ref="R4:R5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A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H34"/>
  <sheetViews>
    <sheetView workbookViewId="0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127" width="6.433571428571429" customWidth="1" bestFit="1"/>
    <col min="5" max="5" style="38" width="7.862142857142857" customWidth="1" bestFit="1"/>
    <col min="6" max="6" style="38" width="7.147857142857143" customWidth="1" bestFit="1"/>
    <col min="7" max="7" style="38" width="12.576428571428572" customWidth="1" bestFit="1"/>
    <col min="8" max="8" style="35" width="6.576428571428571" customWidth="1" bestFit="1"/>
    <col min="9" max="9" style="35" width="7.147857142857143" customWidth="1" bestFit="1"/>
    <col min="10" max="10" style="35" width="12.862142857142858" customWidth="1" bestFit="1"/>
    <col min="11" max="11" style="128" width="9.290714285714287" customWidth="1" bestFit="1"/>
    <col min="12" max="12" style="38" width="5.719285714285714" customWidth="1" bestFit="1"/>
    <col min="13" max="13" style="38" width="7.147857142857143" customWidth="1" bestFit="1"/>
    <col min="14" max="14" style="38" width="11.719285714285713" customWidth="1" bestFit="1"/>
    <col min="15" max="15" style="35" width="8.005" customWidth="1" bestFit="1"/>
    <col min="16" max="16" style="35" width="7.147857142857143" customWidth="1" bestFit="1"/>
    <col min="17" max="17" style="35" width="12.862142857142858" customWidth="1" bestFit="1"/>
    <col min="18" max="18" style="128" width="9.290714285714287" customWidth="1" bestFit="1"/>
    <col min="19" max="19" style="38" width="5.719285714285714" customWidth="1" bestFit="1"/>
    <col min="20" max="20" style="38" width="7.147857142857143" customWidth="1" bestFit="1"/>
    <col min="21" max="21" style="38" width="11.719285714285713" customWidth="1" bestFit="1"/>
    <col min="22" max="22" style="35" width="5.719285714285714" customWidth="1" bestFit="1"/>
    <col min="23" max="23" style="35" width="7.147857142857143" customWidth="1" bestFit="1"/>
    <col min="24" max="24" style="35" width="11.719285714285713" customWidth="1" bestFit="1"/>
    <col min="25" max="25" style="38" width="5.719285714285714" customWidth="1" bestFit="1"/>
    <col min="26" max="26" style="38" width="7.147857142857143" customWidth="1" bestFit="1"/>
    <col min="27" max="27" style="38" width="11.719285714285713" customWidth="1" bestFit="1"/>
    <col min="28" max="28" style="35" width="5.719285714285714" customWidth="1" bestFit="1"/>
    <col min="29" max="29" style="35" width="9.147857142857141" customWidth="1" bestFit="1"/>
    <col min="30" max="30" style="35" width="11.719285714285713" customWidth="1" bestFit="1"/>
    <col min="31" max="31" style="38" width="5.719285714285714" customWidth="1" bestFit="1"/>
    <col min="32" max="32" style="38" width="7.147857142857143" customWidth="1" bestFit="1"/>
    <col min="33" max="33" style="38" width="11.719285714285713" customWidth="1" bestFit="1"/>
    <col min="34" max="34" style="35" width="5.719285714285714" customWidth="1" bestFit="1"/>
    <col min="35" max="35" style="35" width="7.147857142857143" customWidth="1" bestFit="1"/>
    <col min="36" max="36" style="35" width="11.719285714285713" customWidth="1" bestFit="1"/>
    <col min="37" max="37" style="38" width="5.719285714285714" customWidth="1" bestFit="1"/>
    <col min="38" max="38" style="38" width="7.147857142857143" customWidth="1" bestFit="1"/>
    <col min="39" max="39" style="38" width="11.719285714285713" customWidth="1" bestFit="1"/>
    <col min="40" max="40" style="35" width="5.719285714285714" customWidth="1" bestFit="1"/>
    <col min="41" max="41" style="35" width="7.147857142857143" customWidth="1" bestFit="1"/>
    <col min="42" max="42" style="35" width="11.719285714285713" customWidth="1" bestFit="1"/>
    <col min="43" max="43" style="35" width="7.433571428571429" customWidth="1" bestFit="1"/>
    <col min="44" max="44" style="35" width="8.719285714285713" customWidth="1" bestFit="1"/>
    <col min="45" max="45" style="35" width="11.290714285714287" customWidth="1" bestFit="1"/>
    <col min="46" max="46" style="35" width="7.433571428571429" customWidth="1" bestFit="1"/>
    <col min="47" max="47" style="35" width="8.719285714285713" customWidth="1" bestFit="1"/>
    <col min="48" max="48" style="35" width="11.290714285714287" customWidth="1" bestFit="1"/>
    <col min="49" max="49" style="35" width="7.433571428571429" customWidth="1" bestFit="1"/>
    <col min="50" max="50" style="35" width="8.719285714285713" customWidth="1" bestFit="1"/>
    <col min="51" max="51" style="35" width="11.290714285714287" customWidth="1" bestFit="1"/>
    <col min="52" max="52" style="35" width="7.433571428571429" customWidth="1" bestFit="1"/>
    <col min="53" max="53" style="35" width="8.719285714285713" customWidth="1" bestFit="1"/>
    <col min="54" max="54" style="35" width="11.290714285714287" customWidth="1" bestFit="1"/>
    <col min="55" max="55" style="35" width="7.433571428571429" customWidth="1" bestFit="1"/>
    <col min="56" max="56" style="35" width="8.719285714285713" customWidth="1" bestFit="1"/>
    <col min="57" max="57" style="35" width="11.290714285714287" customWidth="1" bestFit="1"/>
    <col min="58" max="58" style="35" width="7.433571428571429" customWidth="1" bestFit="1"/>
    <col min="59" max="59" style="35" width="8.719285714285713" customWidth="1" bestFit="1"/>
    <col min="60" max="60" style="35" width="11.290714285714287" customWidth="1" bestFit="1"/>
  </cols>
  <sheetData>
    <row x14ac:dyDescent="0.25" r="1" customHeight="1" ht="34.5">
      <c r="A1" s="1"/>
      <c r="B1" s="2"/>
      <c r="C1" s="3"/>
      <c r="D1" s="73"/>
      <c r="E1" s="74"/>
      <c r="F1" s="74"/>
      <c r="G1" s="74"/>
      <c r="H1" s="1"/>
      <c r="I1" s="1"/>
      <c r="J1" s="1"/>
      <c r="K1" s="75"/>
      <c r="L1" s="6"/>
      <c r="M1" s="76"/>
      <c r="N1" s="7"/>
      <c r="O1" s="1"/>
      <c r="P1" s="1"/>
      <c r="Q1" s="1"/>
      <c r="R1" s="75"/>
      <c r="S1" s="6"/>
      <c r="T1" s="76"/>
      <c r="U1" s="7"/>
      <c r="V1" s="1"/>
      <c r="W1" s="1"/>
      <c r="X1" s="1"/>
      <c r="Y1" s="6"/>
      <c r="Z1" s="76"/>
      <c r="AA1" s="7"/>
      <c r="AB1" s="1"/>
      <c r="AC1" s="1"/>
      <c r="AD1" s="1"/>
      <c r="AE1" s="77"/>
      <c r="AF1" s="78"/>
      <c r="AG1" s="77"/>
      <c r="AH1" s="1"/>
      <c r="AI1" s="1"/>
      <c r="AJ1" s="1"/>
      <c r="AK1" s="6"/>
      <c r="AL1" s="76"/>
      <c r="AM1" s="7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x14ac:dyDescent="0.25" r="2" customHeight="1" ht="34.5">
      <c r="A2" s="79" t="s">
        <v>108</v>
      </c>
      <c r="B2" s="80"/>
      <c r="C2" s="81"/>
      <c r="D2" s="82"/>
      <c r="E2" s="79"/>
      <c r="F2" s="79"/>
      <c r="G2" s="79"/>
      <c r="H2" s="79"/>
      <c r="I2" s="79"/>
      <c r="J2" s="79"/>
      <c r="K2" s="83"/>
      <c r="L2" s="13"/>
      <c r="M2" s="84"/>
      <c r="N2" s="13"/>
      <c r="O2" s="13"/>
      <c r="P2" s="13"/>
      <c r="Q2" s="13"/>
      <c r="R2" s="83"/>
      <c r="S2" s="13"/>
      <c r="T2" s="84"/>
      <c r="U2" s="13"/>
      <c r="V2" s="13"/>
      <c r="W2" s="13"/>
      <c r="X2" s="13"/>
      <c r="Y2" s="13"/>
      <c r="Z2" s="84"/>
      <c r="AA2" s="13"/>
      <c r="AB2" s="13"/>
      <c r="AC2" s="13"/>
      <c r="AD2" s="13"/>
      <c r="AE2" s="13"/>
      <c r="AF2" s="84"/>
      <c r="AG2" s="13"/>
      <c r="AH2" s="13"/>
      <c r="AI2" s="13"/>
      <c r="AJ2" s="13"/>
      <c r="AK2" s="13"/>
      <c r="AL2" s="84"/>
      <c r="AM2" s="13"/>
      <c r="AN2" s="13"/>
      <c r="AO2" s="13"/>
      <c r="AP2" s="1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</row>
    <row x14ac:dyDescent="0.25" r="3" customHeight="1" ht="34.5">
      <c r="A3" s="87" t="s">
        <v>2</v>
      </c>
      <c r="B3" s="88" t="s">
        <v>3</v>
      </c>
      <c r="C3" s="89" t="s">
        <v>4</v>
      </c>
      <c r="D3" s="154">
        <v>44197</v>
      </c>
      <c r="E3" s="155"/>
      <c r="F3" s="155"/>
      <c r="G3" s="156"/>
      <c r="H3" s="90">
        <v>44562</v>
      </c>
      <c r="I3" s="90"/>
      <c r="J3" s="90"/>
      <c r="K3" s="157">
        <v>44228</v>
      </c>
      <c r="L3" s="158"/>
      <c r="M3" s="158"/>
      <c r="N3" s="159"/>
      <c r="O3" s="90">
        <v>44593</v>
      </c>
      <c r="P3" s="90"/>
      <c r="Q3" s="90"/>
      <c r="R3" s="157">
        <v>44256</v>
      </c>
      <c r="S3" s="158"/>
      <c r="T3" s="158"/>
      <c r="U3" s="159"/>
      <c r="V3" s="90">
        <v>44621</v>
      </c>
      <c r="W3" s="90"/>
      <c r="X3" s="90"/>
      <c r="Y3" s="21">
        <v>44287</v>
      </c>
      <c r="Z3" s="21"/>
      <c r="AA3" s="21"/>
      <c r="AB3" s="90">
        <v>44652</v>
      </c>
      <c r="AC3" s="90"/>
      <c r="AD3" s="90"/>
      <c r="AE3" s="21">
        <v>44317</v>
      </c>
      <c r="AF3" s="21"/>
      <c r="AG3" s="21"/>
      <c r="AH3" s="90">
        <v>44682</v>
      </c>
      <c r="AI3" s="90"/>
      <c r="AJ3" s="90"/>
      <c r="AK3" s="21">
        <v>44348</v>
      </c>
      <c r="AL3" s="21"/>
      <c r="AM3" s="21"/>
      <c r="AN3" s="90">
        <v>44713</v>
      </c>
      <c r="AO3" s="90"/>
      <c r="AP3" s="90"/>
      <c r="AQ3" s="91">
        <v>44378</v>
      </c>
      <c r="AR3" s="91"/>
      <c r="AS3" s="91"/>
      <c r="AT3" s="91">
        <v>44409</v>
      </c>
      <c r="AU3" s="91"/>
      <c r="AV3" s="91"/>
      <c r="AW3" s="91">
        <v>44440</v>
      </c>
      <c r="AX3" s="91"/>
      <c r="AY3" s="91"/>
      <c r="AZ3" s="91">
        <v>44470</v>
      </c>
      <c r="BA3" s="91"/>
      <c r="BB3" s="91"/>
      <c r="BC3" s="91">
        <v>44501</v>
      </c>
      <c r="BD3" s="91"/>
      <c r="BE3" s="91"/>
      <c r="BF3" s="91">
        <v>44531</v>
      </c>
      <c r="BG3" s="91"/>
      <c r="BH3" s="91"/>
    </row>
    <row x14ac:dyDescent="0.25" r="4" customHeight="1" ht="34.5">
      <c r="A4" s="20"/>
      <c r="B4" s="20"/>
      <c r="C4" s="92"/>
      <c r="D4" s="160" t="s">
        <v>70</v>
      </c>
      <c r="E4" s="18" t="s">
        <v>8</v>
      </c>
      <c r="F4" s="18"/>
      <c r="G4" s="18"/>
      <c r="H4" s="94" t="s">
        <v>8</v>
      </c>
      <c r="I4" s="94"/>
      <c r="J4" s="94"/>
      <c r="K4" s="161" t="s">
        <v>70</v>
      </c>
      <c r="L4" s="20" t="s">
        <v>8</v>
      </c>
      <c r="M4" s="20"/>
      <c r="N4" s="20"/>
      <c r="O4" s="94" t="s">
        <v>8</v>
      </c>
      <c r="P4" s="94"/>
      <c r="Q4" s="94"/>
      <c r="R4" s="161" t="s">
        <v>70</v>
      </c>
      <c r="S4" s="23" t="s">
        <v>8</v>
      </c>
      <c r="T4" s="162"/>
      <c r="U4" s="24"/>
      <c r="V4" s="94" t="s">
        <v>8</v>
      </c>
      <c r="W4" s="94"/>
      <c r="X4" s="94"/>
      <c r="Y4" s="23" t="s">
        <v>8</v>
      </c>
      <c r="Z4" s="162"/>
      <c r="AA4" s="24"/>
      <c r="AB4" s="94" t="s">
        <v>8</v>
      </c>
      <c r="AC4" s="94"/>
      <c r="AD4" s="94"/>
      <c r="AE4" s="23" t="s">
        <v>8</v>
      </c>
      <c r="AF4" s="162"/>
      <c r="AG4" s="24"/>
      <c r="AH4" s="94" t="s">
        <v>8</v>
      </c>
      <c r="AI4" s="94"/>
      <c r="AJ4" s="94"/>
      <c r="AK4" s="23" t="s">
        <v>8</v>
      </c>
      <c r="AL4" s="162"/>
      <c r="AM4" s="24"/>
      <c r="AN4" s="94" t="s">
        <v>8</v>
      </c>
      <c r="AO4" s="94"/>
      <c r="AP4" s="94"/>
      <c r="AQ4" s="95" t="s">
        <v>8</v>
      </c>
      <c r="AR4" s="95"/>
      <c r="AS4" s="95"/>
      <c r="AT4" s="95" t="s">
        <v>8</v>
      </c>
      <c r="AU4" s="95"/>
      <c r="AV4" s="95"/>
      <c r="AW4" s="95" t="s">
        <v>8</v>
      </c>
      <c r="AX4" s="95"/>
      <c r="AY4" s="95"/>
      <c r="AZ4" s="95" t="s">
        <v>8</v>
      </c>
      <c r="BA4" s="95"/>
      <c r="BB4" s="95"/>
      <c r="BC4" s="95" t="s">
        <v>8</v>
      </c>
      <c r="BD4" s="95"/>
      <c r="BE4" s="95"/>
      <c r="BF4" s="140" t="s">
        <v>8</v>
      </c>
      <c r="BG4" s="141"/>
      <c r="BH4" s="142"/>
    </row>
    <row x14ac:dyDescent="0.25" r="5" customHeight="1" ht="34.5">
      <c r="A5" s="20"/>
      <c r="B5" s="20"/>
      <c r="C5" s="92"/>
      <c r="D5" s="163"/>
      <c r="E5" s="18" t="s">
        <v>11</v>
      </c>
      <c r="F5" s="97" t="s">
        <v>71</v>
      </c>
      <c r="G5" s="18" t="s">
        <v>12</v>
      </c>
      <c r="H5" s="94" t="s">
        <v>11</v>
      </c>
      <c r="I5" s="98" t="s">
        <v>71</v>
      </c>
      <c r="J5" s="94" t="s">
        <v>12</v>
      </c>
      <c r="K5" s="164"/>
      <c r="L5" s="20" t="s">
        <v>11</v>
      </c>
      <c r="M5" s="97" t="s">
        <v>71</v>
      </c>
      <c r="N5" s="20" t="s">
        <v>12</v>
      </c>
      <c r="O5" s="94" t="s">
        <v>11</v>
      </c>
      <c r="P5" s="98" t="s">
        <v>71</v>
      </c>
      <c r="Q5" s="94" t="s">
        <v>12</v>
      </c>
      <c r="R5" s="164"/>
      <c r="S5" s="20" t="s">
        <v>11</v>
      </c>
      <c r="T5" s="97" t="s">
        <v>71</v>
      </c>
      <c r="U5" s="20" t="s">
        <v>12</v>
      </c>
      <c r="V5" s="94" t="s">
        <v>11</v>
      </c>
      <c r="W5" s="98" t="s">
        <v>71</v>
      </c>
      <c r="X5" s="94" t="s">
        <v>12</v>
      </c>
      <c r="Y5" s="20" t="s">
        <v>11</v>
      </c>
      <c r="Z5" s="97" t="s">
        <v>71</v>
      </c>
      <c r="AA5" s="20" t="s">
        <v>12</v>
      </c>
      <c r="AB5" s="94" t="s">
        <v>11</v>
      </c>
      <c r="AC5" s="98" t="s">
        <v>71</v>
      </c>
      <c r="AD5" s="94" t="s">
        <v>12</v>
      </c>
      <c r="AE5" s="20" t="s">
        <v>11</v>
      </c>
      <c r="AF5" s="97" t="s">
        <v>71</v>
      </c>
      <c r="AG5" s="20" t="s">
        <v>12</v>
      </c>
      <c r="AH5" s="94" t="s">
        <v>11</v>
      </c>
      <c r="AI5" s="98" t="s">
        <v>71</v>
      </c>
      <c r="AJ5" s="94" t="s">
        <v>12</v>
      </c>
      <c r="AK5" s="20" t="s">
        <v>11</v>
      </c>
      <c r="AL5" s="97" t="s">
        <v>71</v>
      </c>
      <c r="AM5" s="20" t="s">
        <v>12</v>
      </c>
      <c r="AN5" s="94" t="s">
        <v>11</v>
      </c>
      <c r="AO5" s="98" t="s">
        <v>71</v>
      </c>
      <c r="AP5" s="94" t="s">
        <v>12</v>
      </c>
      <c r="AQ5" s="95" t="s">
        <v>11</v>
      </c>
      <c r="AR5" s="97" t="s">
        <v>71</v>
      </c>
      <c r="AS5" s="95" t="s">
        <v>12</v>
      </c>
      <c r="AT5" s="95" t="s">
        <v>11</v>
      </c>
      <c r="AU5" s="97" t="s">
        <v>71</v>
      </c>
      <c r="AV5" s="95" t="s">
        <v>12</v>
      </c>
      <c r="AW5" s="95" t="s">
        <v>11</v>
      </c>
      <c r="AX5" s="97" t="s">
        <v>71</v>
      </c>
      <c r="AY5" s="95" t="s">
        <v>12</v>
      </c>
      <c r="AZ5" s="95" t="s">
        <v>11</v>
      </c>
      <c r="BA5" s="97" t="s">
        <v>71</v>
      </c>
      <c r="BB5" s="95" t="s">
        <v>12</v>
      </c>
      <c r="BC5" s="95" t="s">
        <v>11</v>
      </c>
      <c r="BD5" s="97" t="s">
        <v>71</v>
      </c>
      <c r="BE5" s="95" t="s">
        <v>12</v>
      </c>
      <c r="BF5" s="95" t="s">
        <v>11</v>
      </c>
      <c r="BG5" s="97" t="s">
        <v>71</v>
      </c>
      <c r="BH5" s="95" t="s">
        <v>12</v>
      </c>
    </row>
    <row x14ac:dyDescent="0.25" r="6" customHeight="1" ht="34.5">
      <c r="A6" s="99">
        <v>1</v>
      </c>
      <c r="B6" s="100" t="s">
        <v>13</v>
      </c>
      <c r="C6" s="101" t="s">
        <v>14</v>
      </c>
      <c r="D6" s="114">
        <v>0.03</v>
      </c>
      <c r="E6" s="28">
        <v>712</v>
      </c>
      <c r="F6" s="103">
        <v>33500</v>
      </c>
      <c r="G6" s="28">
        <f>E6*F6*97%</f>
      </c>
      <c r="H6" s="104">
        <v>380</v>
      </c>
      <c r="I6" s="105">
        <v>44000</v>
      </c>
      <c r="J6" s="104">
        <f>H6*I6</f>
      </c>
      <c r="K6" s="102">
        <v>0.03</v>
      </c>
      <c r="L6" s="29">
        <v>295</v>
      </c>
      <c r="M6" s="103">
        <v>33500</v>
      </c>
      <c r="N6" s="29">
        <f>L6*M6*97%</f>
      </c>
      <c r="O6" s="104">
        <v>200</v>
      </c>
      <c r="P6" s="105">
        <v>44000</v>
      </c>
      <c r="Q6" s="104">
        <f>O6*P6</f>
      </c>
      <c r="R6" s="102">
        <v>0.03</v>
      </c>
      <c r="S6" s="29">
        <v>418</v>
      </c>
      <c r="T6" s="103">
        <v>33500</v>
      </c>
      <c r="U6" s="29">
        <f>S6*T6*97%</f>
      </c>
      <c r="V6" s="104">
        <v>458</v>
      </c>
      <c r="W6" s="105">
        <v>44000</v>
      </c>
      <c r="X6" s="104">
        <f>V6*W6</f>
      </c>
      <c r="Y6" s="29">
        <v>450</v>
      </c>
      <c r="Z6" s="103">
        <v>33500</v>
      </c>
      <c r="AA6" s="29">
        <f>Y6*Z6</f>
      </c>
      <c r="AB6" s="104">
        <v>421</v>
      </c>
      <c r="AC6" s="105">
        <v>44000</v>
      </c>
      <c r="AD6" s="104">
        <f>AB6*AC6</f>
      </c>
      <c r="AE6" s="29">
        <v>600</v>
      </c>
      <c r="AF6" s="103">
        <v>35200</v>
      </c>
      <c r="AG6" s="29">
        <f>AE6*AF6</f>
      </c>
      <c r="AH6" s="104">
        <v>306</v>
      </c>
      <c r="AI6" s="105">
        <v>44000</v>
      </c>
      <c r="AJ6" s="104">
        <f>AH6*AI6</f>
      </c>
      <c r="AK6" s="29">
        <v>400</v>
      </c>
      <c r="AL6" s="103">
        <v>35200</v>
      </c>
      <c r="AM6" s="29">
        <f>AK6*AL6</f>
      </c>
      <c r="AN6" s="104">
        <v>222</v>
      </c>
      <c r="AO6" s="105">
        <v>44000</v>
      </c>
      <c r="AP6" s="104">
        <f>AN6*AO6</f>
      </c>
      <c r="AQ6" s="106">
        <v>200</v>
      </c>
      <c r="AR6" s="107">
        <v>35200</v>
      </c>
      <c r="AS6" s="106">
        <f>AQ6*AR6</f>
      </c>
      <c r="AT6" s="106">
        <v>200</v>
      </c>
      <c r="AU6" s="107">
        <v>35200</v>
      </c>
      <c r="AV6" s="106">
        <f>AT6*AU6</f>
      </c>
      <c r="AW6" s="106">
        <f>280+170</f>
      </c>
      <c r="AX6" s="108" t="s">
        <v>72</v>
      </c>
      <c r="AY6" s="106">
        <f>10920000+6970000</f>
      </c>
      <c r="AZ6" s="106">
        <v>446</v>
      </c>
      <c r="BA6" s="107">
        <v>44000</v>
      </c>
      <c r="BB6" s="106">
        <f>AZ6*BA6</f>
      </c>
      <c r="BC6" s="106">
        <v>489</v>
      </c>
      <c r="BD6" s="107">
        <v>44000</v>
      </c>
      <c r="BE6" s="106">
        <f>BC6*BD6</f>
      </c>
      <c r="BF6" s="106">
        <v>485</v>
      </c>
      <c r="BG6" s="107">
        <v>44000</v>
      </c>
      <c r="BH6" s="106">
        <f>BF6*BG6</f>
      </c>
    </row>
    <row x14ac:dyDescent="0.25" r="7" customHeight="1" ht="34.5">
      <c r="A7" s="99">
        <v>2</v>
      </c>
      <c r="B7" s="100" t="s">
        <v>15</v>
      </c>
      <c r="C7" s="101" t="s">
        <v>16</v>
      </c>
      <c r="D7" s="114">
        <v>0.03</v>
      </c>
      <c r="E7" s="28">
        <v>586</v>
      </c>
      <c r="F7" s="103">
        <v>37000</v>
      </c>
      <c r="G7" s="28">
        <f>E7*F7*97%</f>
      </c>
      <c r="H7" s="104">
        <v>500</v>
      </c>
      <c r="I7" s="105">
        <v>48000</v>
      </c>
      <c r="J7" s="104">
        <f>H7*I7</f>
      </c>
      <c r="K7" s="102">
        <v>0.03</v>
      </c>
      <c r="L7" s="29">
        <v>320</v>
      </c>
      <c r="M7" s="103">
        <v>37000</v>
      </c>
      <c r="N7" s="29">
        <f>L7*M7*97%</f>
      </c>
      <c r="O7" s="104">
        <v>463</v>
      </c>
      <c r="P7" s="105">
        <v>48000</v>
      </c>
      <c r="Q7" s="104">
        <f>O7*P7</f>
      </c>
      <c r="R7" s="102">
        <v>0.03</v>
      </c>
      <c r="S7" s="29">
        <v>447</v>
      </c>
      <c r="T7" s="103">
        <v>37000</v>
      </c>
      <c r="U7" s="29">
        <f>S7*T7*97%</f>
      </c>
      <c r="V7" s="104">
        <v>531</v>
      </c>
      <c r="W7" s="105">
        <v>48000</v>
      </c>
      <c r="X7" s="104">
        <f>V7*W7</f>
      </c>
      <c r="Y7" s="29">
        <v>455</v>
      </c>
      <c r="Z7" s="103">
        <v>37000</v>
      </c>
      <c r="AA7" s="29">
        <f>Y7*Z7</f>
      </c>
      <c r="AB7" s="104">
        <v>481</v>
      </c>
      <c r="AC7" s="105">
        <v>48000</v>
      </c>
      <c r="AD7" s="104">
        <f>AB7*AC7</f>
      </c>
      <c r="AE7" s="29">
        <v>595</v>
      </c>
      <c r="AF7" s="103">
        <v>38900</v>
      </c>
      <c r="AG7" s="29">
        <f>AE7*AF7</f>
      </c>
      <c r="AH7" s="104">
        <v>289</v>
      </c>
      <c r="AI7" s="105">
        <v>48000</v>
      </c>
      <c r="AJ7" s="104">
        <f>AH7*AI7</f>
      </c>
      <c r="AK7" s="29">
        <v>455</v>
      </c>
      <c r="AL7" s="103">
        <v>38900</v>
      </c>
      <c r="AM7" s="29">
        <f>AK7*AL7</f>
      </c>
      <c r="AN7" s="104">
        <v>295</v>
      </c>
      <c r="AO7" s="105">
        <v>48000</v>
      </c>
      <c r="AP7" s="104">
        <f>AN7*AO7</f>
      </c>
      <c r="AQ7" s="106">
        <v>345</v>
      </c>
      <c r="AR7" s="107">
        <v>38900</v>
      </c>
      <c r="AS7" s="106">
        <f>AQ7*AR7</f>
      </c>
      <c r="AT7" s="106">
        <v>200</v>
      </c>
      <c r="AU7" s="107">
        <v>38900</v>
      </c>
      <c r="AV7" s="106">
        <f>AT7*AU7</f>
      </c>
      <c r="AW7" s="106">
        <f>280+130</f>
      </c>
      <c r="AX7" s="108" t="s">
        <v>74</v>
      </c>
      <c r="AY7" s="106">
        <f>12040000+5915000</f>
      </c>
      <c r="AZ7" s="106">
        <v>557</v>
      </c>
      <c r="BA7" s="107">
        <v>48000</v>
      </c>
      <c r="BB7" s="106">
        <f>AZ7*BA7</f>
      </c>
      <c r="BC7" s="106">
        <v>503</v>
      </c>
      <c r="BD7" s="107">
        <v>48000</v>
      </c>
      <c r="BE7" s="106">
        <f>BC7*BD7</f>
      </c>
      <c r="BF7" s="106">
        <v>410</v>
      </c>
      <c r="BG7" s="107">
        <v>48000</v>
      </c>
      <c r="BH7" s="106">
        <f>BF7*BG7</f>
      </c>
    </row>
    <row x14ac:dyDescent="0.25" r="8" customHeight="1" ht="34.5">
      <c r="A8" s="99">
        <v>3</v>
      </c>
      <c r="B8" s="100" t="s">
        <v>17</v>
      </c>
      <c r="C8" s="101" t="s">
        <v>18</v>
      </c>
      <c r="D8" s="114">
        <v>0.03</v>
      </c>
      <c r="E8" s="28"/>
      <c r="F8" s="103">
        <v>38000</v>
      </c>
      <c r="G8" s="28">
        <f>E8*F8*97%</f>
      </c>
      <c r="H8" s="104"/>
      <c r="I8" s="105">
        <v>49000</v>
      </c>
      <c r="J8" s="104">
        <f>H8*I8</f>
      </c>
      <c r="K8" s="102">
        <v>0.03</v>
      </c>
      <c r="L8" s="29"/>
      <c r="M8" s="103">
        <v>38000</v>
      </c>
      <c r="N8" s="29">
        <f>L8*M8*97%</f>
      </c>
      <c r="O8" s="104"/>
      <c r="P8" s="105">
        <v>49000</v>
      </c>
      <c r="Q8" s="104">
        <f>O8*P8</f>
      </c>
      <c r="R8" s="102">
        <v>0.03</v>
      </c>
      <c r="S8" s="29"/>
      <c r="T8" s="103">
        <v>38000</v>
      </c>
      <c r="U8" s="29">
        <f>S8*T8*97%</f>
      </c>
      <c r="V8" s="104"/>
      <c r="W8" s="105">
        <v>49000</v>
      </c>
      <c r="X8" s="104">
        <f>V8*W8</f>
      </c>
      <c r="Y8" s="29">
        <v>50</v>
      </c>
      <c r="Z8" s="103">
        <v>38000</v>
      </c>
      <c r="AA8" s="29">
        <f>Y8*Z8</f>
      </c>
      <c r="AB8" s="104">
        <v>180</v>
      </c>
      <c r="AC8" s="105">
        <v>49000</v>
      </c>
      <c r="AD8" s="104">
        <f>AB8*AC8</f>
      </c>
      <c r="AE8" s="29">
        <v>150</v>
      </c>
      <c r="AF8" s="103">
        <v>39900</v>
      </c>
      <c r="AG8" s="29">
        <f>AE8*AF8</f>
      </c>
      <c r="AH8" s="104">
        <v>80</v>
      </c>
      <c r="AI8" s="105">
        <v>49000</v>
      </c>
      <c r="AJ8" s="104">
        <f>AH8*AI8</f>
      </c>
      <c r="AK8" s="29"/>
      <c r="AL8" s="103">
        <v>39900</v>
      </c>
      <c r="AM8" s="29">
        <f>AK8*AL8</f>
      </c>
      <c r="AN8" s="104">
        <v>40</v>
      </c>
      <c r="AO8" s="105">
        <v>49000</v>
      </c>
      <c r="AP8" s="104">
        <f>AN8*AO8</f>
      </c>
      <c r="AQ8" s="106">
        <v>50</v>
      </c>
      <c r="AR8" s="107">
        <v>39900</v>
      </c>
      <c r="AS8" s="106">
        <f>AQ8*AR8</f>
      </c>
      <c r="AT8" s="106">
        <v>50</v>
      </c>
      <c r="AU8" s="107">
        <v>39900</v>
      </c>
      <c r="AV8" s="106">
        <f>AT8*AU8</f>
      </c>
      <c r="AW8" s="106">
        <v>10</v>
      </c>
      <c r="AX8" s="107">
        <v>46500</v>
      </c>
      <c r="AY8" s="106">
        <f>AW8*AX8</f>
      </c>
      <c r="AZ8" s="106">
        <v>40</v>
      </c>
      <c r="BA8" s="107">
        <v>49000</v>
      </c>
      <c r="BB8" s="106">
        <f>AZ8*BA8</f>
      </c>
      <c r="BC8" s="106">
        <v>30</v>
      </c>
      <c r="BD8" s="107">
        <v>49000</v>
      </c>
      <c r="BE8" s="106">
        <f>BC8*BD8</f>
      </c>
      <c r="BF8" s="106">
        <v>1170</v>
      </c>
      <c r="BG8" s="107">
        <v>49000</v>
      </c>
      <c r="BH8" s="106">
        <f>BF8*BG8</f>
      </c>
    </row>
    <row x14ac:dyDescent="0.25" r="9" customHeight="1" ht="34.5">
      <c r="A9" s="99">
        <v>4</v>
      </c>
      <c r="B9" s="100" t="s">
        <v>19</v>
      </c>
      <c r="C9" s="101" t="s">
        <v>20</v>
      </c>
      <c r="D9" s="114">
        <v>0.03</v>
      </c>
      <c r="E9" s="28">
        <v>400</v>
      </c>
      <c r="F9" s="103">
        <v>40000</v>
      </c>
      <c r="G9" s="28">
        <f>E9*F9*97%</f>
      </c>
      <c r="H9" s="104">
        <v>430</v>
      </c>
      <c r="I9" s="105">
        <v>54500</v>
      </c>
      <c r="J9" s="104">
        <f>H9*I9</f>
      </c>
      <c r="K9" s="102">
        <v>0.03</v>
      </c>
      <c r="L9" s="29">
        <v>260</v>
      </c>
      <c r="M9" s="103">
        <v>40000</v>
      </c>
      <c r="N9" s="29">
        <f>L9*M9*97%</f>
      </c>
      <c r="O9" s="104">
        <v>390</v>
      </c>
      <c r="P9" s="105">
        <v>54500</v>
      </c>
      <c r="Q9" s="104">
        <f>O9*P9</f>
      </c>
      <c r="R9" s="102">
        <v>0.03</v>
      </c>
      <c r="S9" s="29">
        <v>357</v>
      </c>
      <c r="T9" s="103">
        <v>40000</v>
      </c>
      <c r="U9" s="29">
        <f>S9*T9*97%</f>
      </c>
      <c r="V9" s="104">
        <v>410</v>
      </c>
      <c r="W9" s="105">
        <v>54500</v>
      </c>
      <c r="X9" s="104">
        <f>V9*W9</f>
      </c>
      <c r="Y9" s="29">
        <f>260+30</f>
      </c>
      <c r="Z9" s="103">
        <v>40000</v>
      </c>
      <c r="AA9" s="29">
        <f>Y9*Z9</f>
      </c>
      <c r="AB9" s="104">
        <v>420</v>
      </c>
      <c r="AC9" s="105">
        <v>54500</v>
      </c>
      <c r="AD9" s="104">
        <f>AB9*AC9</f>
      </c>
      <c r="AE9" s="29">
        <v>650</v>
      </c>
      <c r="AF9" s="103">
        <v>42000</v>
      </c>
      <c r="AG9" s="29">
        <f>AE9*AF9</f>
      </c>
      <c r="AH9" s="104">
        <v>420</v>
      </c>
      <c r="AI9" s="105">
        <v>54500</v>
      </c>
      <c r="AJ9" s="104">
        <f>AH9*AI9</f>
      </c>
      <c r="AK9" s="29">
        <v>410</v>
      </c>
      <c r="AL9" s="103">
        <v>42000</v>
      </c>
      <c r="AM9" s="29">
        <f>AK9*AL9</f>
      </c>
      <c r="AN9" s="104">
        <f>400+50</f>
      </c>
      <c r="AO9" s="109" t="s">
        <v>75</v>
      </c>
      <c r="AP9" s="104">
        <f>21800000+2850000</f>
      </c>
      <c r="AQ9" s="106">
        <v>180</v>
      </c>
      <c r="AR9" s="107">
        <v>42000</v>
      </c>
      <c r="AS9" s="106">
        <f>AQ9*AR9</f>
      </c>
      <c r="AT9" s="106">
        <v>245</v>
      </c>
      <c r="AU9" s="107">
        <v>42000</v>
      </c>
      <c r="AV9" s="106">
        <f>AT9*AU9</f>
      </c>
      <c r="AW9" s="106">
        <f>300+140</f>
      </c>
      <c r="AX9" s="108" t="s">
        <v>76</v>
      </c>
      <c r="AY9" s="106">
        <f>14100000+6930000</f>
      </c>
      <c r="AZ9" s="106">
        <v>280</v>
      </c>
      <c r="BA9" s="107">
        <v>54500</v>
      </c>
      <c r="BB9" s="106">
        <f>AZ9*BA9</f>
      </c>
      <c r="BC9" s="106">
        <v>420</v>
      </c>
      <c r="BD9" s="107">
        <v>54500</v>
      </c>
      <c r="BE9" s="106">
        <f>BC9*BD9</f>
      </c>
      <c r="BF9" s="106">
        <v>330</v>
      </c>
      <c r="BG9" s="107">
        <v>54500</v>
      </c>
      <c r="BH9" s="106">
        <f>BF9*BG9</f>
      </c>
    </row>
    <row x14ac:dyDescent="0.25" r="10" customHeight="1" ht="34.5">
      <c r="A10" s="99">
        <v>5</v>
      </c>
      <c r="B10" s="100" t="s">
        <v>21</v>
      </c>
      <c r="C10" s="101" t="s">
        <v>22</v>
      </c>
      <c r="D10" s="114">
        <v>0.03</v>
      </c>
      <c r="E10" s="28">
        <v>185</v>
      </c>
      <c r="F10" s="103">
        <v>51000</v>
      </c>
      <c r="G10" s="28">
        <f>E10*F10*97%</f>
      </c>
      <c r="H10" s="104">
        <v>151</v>
      </c>
      <c r="I10" s="105">
        <v>65000</v>
      </c>
      <c r="J10" s="104">
        <f>H10*I10</f>
      </c>
      <c r="K10" s="102">
        <v>0.03</v>
      </c>
      <c r="L10" s="29">
        <v>30</v>
      </c>
      <c r="M10" s="103">
        <v>51000</v>
      </c>
      <c r="N10" s="29">
        <f>L10*M10*97%</f>
      </c>
      <c r="O10" s="104">
        <v>70</v>
      </c>
      <c r="P10" s="105">
        <v>65000</v>
      </c>
      <c r="Q10" s="104">
        <f>O10*P10</f>
      </c>
      <c r="R10" s="102">
        <v>0.03</v>
      </c>
      <c r="S10" s="29">
        <v>136</v>
      </c>
      <c r="T10" s="103">
        <v>51000</v>
      </c>
      <c r="U10" s="29">
        <f>S10*T10*97%</f>
      </c>
      <c r="V10" s="104">
        <v>89</v>
      </c>
      <c r="W10" s="105">
        <v>65000</v>
      </c>
      <c r="X10" s="104">
        <f>V10*W10</f>
      </c>
      <c r="Y10" s="29">
        <v>80</v>
      </c>
      <c r="Z10" s="103">
        <v>51000</v>
      </c>
      <c r="AA10" s="29">
        <f>Y10*Z10</f>
      </c>
      <c r="AB10" s="104">
        <v>91</v>
      </c>
      <c r="AC10" s="105">
        <v>65000</v>
      </c>
      <c r="AD10" s="104">
        <f>AB10*AC10</f>
      </c>
      <c r="AE10" s="29">
        <v>150</v>
      </c>
      <c r="AF10" s="103">
        <v>53600</v>
      </c>
      <c r="AG10" s="29">
        <f>AE10*AF10</f>
      </c>
      <c r="AH10" s="104">
        <v>120</v>
      </c>
      <c r="AI10" s="105">
        <v>65000</v>
      </c>
      <c r="AJ10" s="104">
        <f>AH10*AI10</f>
      </c>
      <c r="AK10" s="29">
        <v>120</v>
      </c>
      <c r="AL10" s="103">
        <v>53600</v>
      </c>
      <c r="AM10" s="29">
        <f>AK10*AL10</f>
      </c>
      <c r="AN10" s="104">
        <v>75</v>
      </c>
      <c r="AO10" s="105">
        <v>65000</v>
      </c>
      <c r="AP10" s="104">
        <f>AN10*AO10</f>
      </c>
      <c r="AQ10" s="106">
        <v>50</v>
      </c>
      <c r="AR10" s="107">
        <v>53600</v>
      </c>
      <c r="AS10" s="106">
        <f>AQ10*AR10</f>
      </c>
      <c r="AT10" s="106">
        <v>50</v>
      </c>
      <c r="AU10" s="107">
        <v>53600</v>
      </c>
      <c r="AV10" s="106">
        <f>AT10*AU10</f>
      </c>
      <c r="AW10" s="106">
        <f>50+20</f>
      </c>
      <c r="AX10" s="108" t="s">
        <v>94</v>
      </c>
      <c r="AY10" s="106">
        <f>2950000+1240000</f>
      </c>
      <c r="AZ10" s="106">
        <v>56</v>
      </c>
      <c r="BA10" s="107">
        <v>65000</v>
      </c>
      <c r="BB10" s="106">
        <f>AZ10*BA10</f>
      </c>
      <c r="BC10" s="106">
        <v>80</v>
      </c>
      <c r="BD10" s="107">
        <v>65000</v>
      </c>
      <c r="BE10" s="106">
        <f>BC10*BD10</f>
      </c>
      <c r="BF10" s="106">
        <v>119</v>
      </c>
      <c r="BG10" s="107">
        <v>65000</v>
      </c>
      <c r="BH10" s="106">
        <f>BF10*BG10</f>
      </c>
    </row>
    <row x14ac:dyDescent="0.25" r="11" customHeight="1" ht="34.5">
      <c r="A11" s="99">
        <v>6</v>
      </c>
      <c r="B11" s="100" t="s">
        <v>23</v>
      </c>
      <c r="C11" s="101" t="s">
        <v>24</v>
      </c>
      <c r="D11" s="114">
        <v>0.03</v>
      </c>
      <c r="E11" s="28">
        <v>126</v>
      </c>
      <c r="F11" s="103">
        <v>52000</v>
      </c>
      <c r="G11" s="28">
        <f>E11*F11*97%</f>
      </c>
      <c r="H11" s="104">
        <v>104</v>
      </c>
      <c r="I11" s="105">
        <v>67000</v>
      </c>
      <c r="J11" s="104">
        <f>H11*I11</f>
      </c>
      <c r="K11" s="102">
        <v>0.03</v>
      </c>
      <c r="L11" s="29">
        <v>104</v>
      </c>
      <c r="M11" s="103">
        <v>52000</v>
      </c>
      <c r="N11" s="29">
        <f>L11*M11*97%</f>
      </c>
      <c r="O11" s="104">
        <v>196</v>
      </c>
      <c r="P11" s="105">
        <v>67000</v>
      </c>
      <c r="Q11" s="104">
        <f>O11*P11</f>
      </c>
      <c r="R11" s="102">
        <v>0.03</v>
      </c>
      <c r="S11" s="29">
        <v>259</v>
      </c>
      <c r="T11" s="103">
        <v>52000</v>
      </c>
      <c r="U11" s="29">
        <f>S11*T11*97%</f>
      </c>
      <c r="V11" s="104">
        <v>200</v>
      </c>
      <c r="W11" s="105">
        <v>67000</v>
      </c>
      <c r="X11" s="104">
        <f>V11*W11</f>
      </c>
      <c r="Y11" s="29">
        <v>100</v>
      </c>
      <c r="Z11" s="103">
        <v>52000</v>
      </c>
      <c r="AA11" s="29">
        <f>Y11*Z11</f>
      </c>
      <c r="AB11" s="104">
        <v>70</v>
      </c>
      <c r="AC11" s="105">
        <v>67000</v>
      </c>
      <c r="AD11" s="104">
        <f>AB11*AC11</f>
      </c>
      <c r="AE11" s="29"/>
      <c r="AF11" s="103">
        <v>54600</v>
      </c>
      <c r="AG11" s="29">
        <f>AE11*AF11</f>
      </c>
      <c r="AH11" s="104">
        <v>120</v>
      </c>
      <c r="AI11" s="105">
        <v>67000</v>
      </c>
      <c r="AJ11" s="104">
        <f>AH11*AI11</f>
      </c>
      <c r="AK11" s="29">
        <v>280</v>
      </c>
      <c r="AL11" s="103">
        <v>54600</v>
      </c>
      <c r="AM11" s="29">
        <f>AK11*AL11</f>
      </c>
      <c r="AN11" s="104">
        <f>100+30</f>
      </c>
      <c r="AO11" s="109" t="s">
        <v>95</v>
      </c>
      <c r="AP11" s="104">
        <f>6700000+2130000</f>
      </c>
      <c r="AQ11" s="106">
        <v>70</v>
      </c>
      <c r="AR11" s="107">
        <v>54600</v>
      </c>
      <c r="AS11" s="106">
        <f>AQ11*AR11</f>
      </c>
      <c r="AT11" s="106">
        <v>50</v>
      </c>
      <c r="AU11" s="107">
        <v>54600</v>
      </c>
      <c r="AV11" s="106">
        <f>AT11*AU11</f>
      </c>
      <c r="AW11" s="106">
        <f>50+30</f>
      </c>
      <c r="AX11" s="108" t="s">
        <v>96</v>
      </c>
      <c r="AY11" s="106">
        <f>3050000+1920000</f>
      </c>
      <c r="AZ11" s="106">
        <v>80</v>
      </c>
      <c r="BA11" s="107">
        <v>67000</v>
      </c>
      <c r="BB11" s="106">
        <f>AZ11*BA11</f>
      </c>
      <c r="BC11" s="106">
        <v>46</v>
      </c>
      <c r="BD11" s="107">
        <v>67000</v>
      </c>
      <c r="BE11" s="106">
        <f>BC11*BD11</f>
      </c>
      <c r="BF11" s="106">
        <v>150</v>
      </c>
      <c r="BG11" s="107">
        <v>67000</v>
      </c>
      <c r="BH11" s="106">
        <f>BF11*BG11</f>
      </c>
    </row>
    <row x14ac:dyDescent="0.25" r="12" customHeight="1" ht="34.5">
      <c r="A12" s="99">
        <v>7</v>
      </c>
      <c r="B12" s="100" t="s">
        <v>25</v>
      </c>
      <c r="C12" s="113" t="s">
        <v>26</v>
      </c>
      <c r="D12" s="114">
        <v>0.03</v>
      </c>
      <c r="E12" s="28">
        <v>105</v>
      </c>
      <c r="F12" s="103">
        <v>54000</v>
      </c>
      <c r="G12" s="28">
        <f>E12*F12*97%</f>
      </c>
      <c r="H12" s="104">
        <v>160</v>
      </c>
      <c r="I12" s="105">
        <v>75000</v>
      </c>
      <c r="J12" s="104">
        <f>H12*I12</f>
      </c>
      <c r="K12" s="102">
        <v>0.03</v>
      </c>
      <c r="L12" s="29">
        <v>50</v>
      </c>
      <c r="M12" s="103">
        <v>54000</v>
      </c>
      <c r="N12" s="29">
        <f>L12*M12*97%</f>
      </c>
      <c r="O12" s="104">
        <v>100</v>
      </c>
      <c r="P12" s="105">
        <v>75000</v>
      </c>
      <c r="Q12" s="104">
        <f>O12*P12</f>
      </c>
      <c r="R12" s="102">
        <v>0.03</v>
      </c>
      <c r="S12" s="29">
        <v>110</v>
      </c>
      <c r="T12" s="103">
        <v>54000</v>
      </c>
      <c r="U12" s="29">
        <f>S12*T12*97%</f>
      </c>
      <c r="V12" s="104">
        <v>170</v>
      </c>
      <c r="W12" s="105">
        <v>75000</v>
      </c>
      <c r="X12" s="104">
        <f>V12*W12</f>
      </c>
      <c r="Y12" s="29">
        <v>170</v>
      </c>
      <c r="Z12" s="103">
        <v>54000</v>
      </c>
      <c r="AA12" s="29">
        <f>Y12*Z12</f>
      </c>
      <c r="AB12" s="104">
        <v>90</v>
      </c>
      <c r="AC12" s="105">
        <v>75000</v>
      </c>
      <c r="AD12" s="104">
        <f>AB12*AC12</f>
      </c>
      <c r="AE12" s="29">
        <v>190</v>
      </c>
      <c r="AF12" s="103">
        <v>56700</v>
      </c>
      <c r="AG12" s="29">
        <f>AE12*AF12</f>
      </c>
      <c r="AH12" s="104">
        <v>119</v>
      </c>
      <c r="AI12" s="105">
        <v>75000</v>
      </c>
      <c r="AJ12" s="104">
        <f>AH12*AI12</f>
      </c>
      <c r="AK12" s="29">
        <v>120</v>
      </c>
      <c r="AL12" s="103">
        <v>56700</v>
      </c>
      <c r="AM12" s="29">
        <f>AK12*AL12</f>
      </c>
      <c r="AN12" s="104">
        <v>100</v>
      </c>
      <c r="AO12" s="105">
        <v>75000</v>
      </c>
      <c r="AP12" s="104">
        <f>AN12*AO12</f>
      </c>
      <c r="AQ12" s="106">
        <v>20</v>
      </c>
      <c r="AR12" s="107">
        <v>56700</v>
      </c>
      <c r="AS12" s="106">
        <f>AQ12*AR12</f>
      </c>
      <c r="AT12" s="106">
        <v>50</v>
      </c>
      <c r="AU12" s="107">
        <v>56700</v>
      </c>
      <c r="AV12" s="106">
        <f>AT12*AU12</f>
      </c>
      <c r="AW12" s="106">
        <v>40</v>
      </c>
      <c r="AX12" s="107">
        <v>63000</v>
      </c>
      <c r="AY12" s="106">
        <f>AW12*AX12</f>
      </c>
      <c r="AZ12" s="106">
        <v>95</v>
      </c>
      <c r="BA12" s="107">
        <v>75000</v>
      </c>
      <c r="BB12" s="106">
        <f>AZ12*BA12</f>
      </c>
      <c r="BC12" s="106">
        <v>120</v>
      </c>
      <c r="BD12" s="107">
        <v>75000</v>
      </c>
      <c r="BE12" s="106">
        <f>BC12*BD12</f>
      </c>
      <c r="BF12" s="106">
        <v>130</v>
      </c>
      <c r="BG12" s="107">
        <v>75000</v>
      </c>
      <c r="BH12" s="106">
        <f>BF12*BG12</f>
      </c>
    </row>
    <row x14ac:dyDescent="0.25" r="13" customHeight="1" ht="34.5">
      <c r="A13" s="99">
        <v>8</v>
      </c>
      <c r="B13" s="100" t="s">
        <v>27</v>
      </c>
      <c r="C13" s="101" t="s">
        <v>28</v>
      </c>
      <c r="D13" s="114">
        <v>0.03</v>
      </c>
      <c r="E13" s="28">
        <v>645</v>
      </c>
      <c r="F13" s="103">
        <v>42000</v>
      </c>
      <c r="G13" s="28">
        <f>E13*F13*97%</f>
      </c>
      <c r="H13" s="104">
        <v>509</v>
      </c>
      <c r="I13" s="105">
        <v>57500</v>
      </c>
      <c r="J13" s="104">
        <f>H13*I13</f>
      </c>
      <c r="K13" s="102">
        <v>0.03</v>
      </c>
      <c r="L13" s="29">
        <v>235</v>
      </c>
      <c r="M13" s="103">
        <v>42000</v>
      </c>
      <c r="N13" s="29">
        <f>L13*M13*97%</f>
      </c>
      <c r="O13" s="104">
        <v>391</v>
      </c>
      <c r="P13" s="105">
        <v>57500</v>
      </c>
      <c r="Q13" s="104">
        <f>O13*P13</f>
      </c>
      <c r="R13" s="102">
        <v>0.03</v>
      </c>
      <c r="S13" s="29">
        <v>516</v>
      </c>
      <c r="T13" s="103">
        <v>42000</v>
      </c>
      <c r="U13" s="29">
        <f>S13*T13*97%</f>
      </c>
      <c r="V13" s="104">
        <v>427</v>
      </c>
      <c r="W13" s="105">
        <v>57500</v>
      </c>
      <c r="X13" s="104">
        <f>V13*W13</f>
      </c>
      <c r="Y13" s="29">
        <v>445</v>
      </c>
      <c r="Z13" s="103">
        <v>42000</v>
      </c>
      <c r="AA13" s="29">
        <f>Y13*Z13</f>
      </c>
      <c r="AB13" s="104">
        <v>453</v>
      </c>
      <c r="AC13" s="105">
        <v>57500</v>
      </c>
      <c r="AD13" s="104">
        <f>AB13*AC13</f>
      </c>
      <c r="AE13" s="29">
        <v>605</v>
      </c>
      <c r="AF13" s="103">
        <v>44100</v>
      </c>
      <c r="AG13" s="29">
        <f>AE13*AF13</f>
      </c>
      <c r="AH13" s="104">
        <v>382</v>
      </c>
      <c r="AI13" s="105">
        <v>57500</v>
      </c>
      <c r="AJ13" s="104">
        <f>AH13*AI13</f>
      </c>
      <c r="AK13" s="29">
        <v>300</v>
      </c>
      <c r="AL13" s="103">
        <v>44100</v>
      </c>
      <c r="AM13" s="29">
        <f>AK13*AL13</f>
      </c>
      <c r="AN13" s="104">
        <f>435+47</f>
      </c>
      <c r="AO13" s="109" t="s">
        <v>79</v>
      </c>
      <c r="AP13" s="104">
        <f>25012500+2843500</f>
      </c>
      <c r="AQ13" s="106">
        <v>350</v>
      </c>
      <c r="AR13" s="107">
        <v>44100</v>
      </c>
      <c r="AS13" s="106">
        <f>AQ13*AR13</f>
      </c>
      <c r="AT13" s="106">
        <v>320</v>
      </c>
      <c r="AU13" s="107">
        <v>44100</v>
      </c>
      <c r="AV13" s="106">
        <f>AT13*AU13</f>
      </c>
      <c r="AW13" s="106">
        <f>250+150</f>
      </c>
      <c r="AX13" s="108" t="s">
        <v>80</v>
      </c>
      <c r="AY13" s="106">
        <f>12250000+7725000</f>
      </c>
      <c r="AZ13" s="106">
        <v>445</v>
      </c>
      <c r="BA13" s="107">
        <v>57500</v>
      </c>
      <c r="BB13" s="106">
        <f>AZ13*BA13</f>
      </c>
      <c r="BC13" s="106">
        <v>370</v>
      </c>
      <c r="BD13" s="107">
        <v>57500</v>
      </c>
      <c r="BE13" s="106">
        <f>BC13*BD13</f>
      </c>
      <c r="BF13" s="106">
        <v>380</v>
      </c>
      <c r="BG13" s="107">
        <v>57500</v>
      </c>
      <c r="BH13" s="106">
        <f>BF13*BG13</f>
      </c>
    </row>
    <row x14ac:dyDescent="0.25" r="14" customHeight="1" ht="34.5">
      <c r="A14" s="99">
        <v>9</v>
      </c>
      <c r="B14" s="100" t="s">
        <v>29</v>
      </c>
      <c r="C14" s="101" t="s">
        <v>30</v>
      </c>
      <c r="D14" s="114"/>
      <c r="E14" s="28"/>
      <c r="F14" s="103"/>
      <c r="G14" s="28">
        <f>E14*F14*97%</f>
      </c>
      <c r="H14" s="104"/>
      <c r="I14" s="105"/>
      <c r="J14" s="104"/>
      <c r="K14" s="102"/>
      <c r="L14" s="29"/>
      <c r="M14" s="103"/>
      <c r="N14" s="29">
        <f>L14*M14*97%</f>
      </c>
      <c r="O14" s="104"/>
      <c r="P14" s="105"/>
      <c r="Q14" s="104"/>
      <c r="R14" s="102"/>
      <c r="S14" s="29"/>
      <c r="T14" s="103"/>
      <c r="U14" s="29">
        <f>S14*T14*97%</f>
      </c>
      <c r="V14" s="104"/>
      <c r="W14" s="105"/>
      <c r="X14" s="104"/>
      <c r="Y14" s="29"/>
      <c r="Z14" s="103"/>
      <c r="AA14" s="29">
        <f>Y14*Z14</f>
      </c>
      <c r="AB14" s="104"/>
      <c r="AC14" s="105"/>
      <c r="AD14" s="104"/>
      <c r="AE14" s="29"/>
      <c r="AF14" s="103"/>
      <c r="AG14" s="29">
        <f>AE14*AF14</f>
      </c>
      <c r="AH14" s="104"/>
      <c r="AI14" s="105"/>
      <c r="AJ14" s="104"/>
      <c r="AK14" s="29"/>
      <c r="AL14" s="103"/>
      <c r="AM14" s="29">
        <f>AK14*AL14</f>
      </c>
      <c r="AN14" s="104"/>
      <c r="AO14" s="105"/>
      <c r="AP14" s="104"/>
      <c r="AQ14" s="106"/>
      <c r="AR14" s="107"/>
      <c r="AS14" s="106"/>
      <c r="AT14" s="106"/>
      <c r="AU14" s="107"/>
      <c r="AV14" s="106"/>
      <c r="AW14" s="106"/>
      <c r="AX14" s="108"/>
      <c r="AY14" s="106"/>
      <c r="AZ14" s="106"/>
      <c r="BA14" s="107"/>
      <c r="BB14" s="106"/>
      <c r="BC14" s="106"/>
      <c r="BD14" s="107"/>
      <c r="BE14" s="106"/>
      <c r="BF14" s="106"/>
      <c r="BG14" s="107"/>
      <c r="BH14" s="106"/>
    </row>
    <row x14ac:dyDescent="0.25" r="15" customHeight="1" ht="34.5">
      <c r="A15" s="99">
        <v>10</v>
      </c>
      <c r="B15" s="100" t="s">
        <v>31</v>
      </c>
      <c r="C15" s="101" t="s">
        <v>32</v>
      </c>
      <c r="D15" s="114">
        <v>0.03</v>
      </c>
      <c r="E15" s="28">
        <v>150</v>
      </c>
      <c r="F15" s="103">
        <v>58000</v>
      </c>
      <c r="G15" s="28">
        <f>E15*F15*97%</f>
      </c>
      <c r="H15" s="104">
        <v>230</v>
      </c>
      <c r="I15" s="105">
        <v>81000</v>
      </c>
      <c r="J15" s="104">
        <f>H15*I15</f>
      </c>
      <c r="K15" s="102">
        <v>0.03</v>
      </c>
      <c r="L15" s="29">
        <v>90</v>
      </c>
      <c r="M15" s="103">
        <v>58000</v>
      </c>
      <c r="N15" s="29">
        <f>L15*M15*97%</f>
      </c>
      <c r="O15" s="104">
        <v>140</v>
      </c>
      <c r="P15" s="105">
        <v>81000</v>
      </c>
      <c r="Q15" s="104">
        <f>O15*P15</f>
      </c>
      <c r="R15" s="102">
        <v>0.03</v>
      </c>
      <c r="S15" s="165">
        <v>209</v>
      </c>
      <c r="T15" s="103">
        <v>58000</v>
      </c>
      <c r="U15" s="29">
        <f>S15*T15*97%</f>
      </c>
      <c r="V15" s="104">
        <v>150</v>
      </c>
      <c r="W15" s="105">
        <v>81000</v>
      </c>
      <c r="X15" s="104">
        <f>V15*W15</f>
      </c>
      <c r="Y15" s="29">
        <v>60</v>
      </c>
      <c r="Z15" s="103">
        <v>58000</v>
      </c>
      <c r="AA15" s="29">
        <f>Y15*Z15</f>
      </c>
      <c r="AB15" s="104">
        <v>109</v>
      </c>
      <c r="AC15" s="105">
        <v>81000</v>
      </c>
      <c r="AD15" s="104">
        <f>AB15*AC15</f>
      </c>
      <c r="AE15" s="29">
        <v>210</v>
      </c>
      <c r="AF15" s="103">
        <v>60900</v>
      </c>
      <c r="AG15" s="29">
        <f>AE15*AF15</f>
      </c>
      <c r="AH15" s="104">
        <v>101</v>
      </c>
      <c r="AI15" s="105">
        <v>81000</v>
      </c>
      <c r="AJ15" s="104">
        <f>AH15*AI15</f>
      </c>
      <c r="AK15" s="29">
        <v>70</v>
      </c>
      <c r="AL15" s="103">
        <v>60900</v>
      </c>
      <c r="AM15" s="29">
        <f>AK15*AL15</f>
      </c>
      <c r="AN15" s="104">
        <v>20</v>
      </c>
      <c r="AO15" s="105">
        <v>81000</v>
      </c>
      <c r="AP15" s="104">
        <f>AN15*AO15</f>
      </c>
      <c r="AQ15" s="106">
        <v>60</v>
      </c>
      <c r="AR15" s="107">
        <v>60900</v>
      </c>
      <c r="AS15" s="106">
        <f>AQ15*AR15</f>
      </c>
      <c r="AT15" s="106">
        <v>50</v>
      </c>
      <c r="AU15" s="107">
        <v>60900</v>
      </c>
      <c r="AV15" s="106">
        <f>AT15*AU15</f>
      </c>
      <c r="AW15" s="106">
        <f>80+20</f>
      </c>
      <c r="AX15" s="108" t="s">
        <v>99</v>
      </c>
      <c r="AY15" s="106">
        <f>5360000+1410000</f>
      </c>
      <c r="AZ15" s="106">
        <v>95</v>
      </c>
      <c r="BA15" s="107">
        <v>81000</v>
      </c>
      <c r="BB15" s="106">
        <f>AZ15*BA15</f>
      </c>
      <c r="BC15" s="106">
        <v>115</v>
      </c>
      <c r="BD15" s="107">
        <v>81000</v>
      </c>
      <c r="BE15" s="106">
        <f>BC15*BD15</f>
      </c>
      <c r="BF15" s="106">
        <v>110</v>
      </c>
      <c r="BG15" s="107">
        <v>81000</v>
      </c>
      <c r="BH15" s="106">
        <f>BF15*BG15</f>
      </c>
    </row>
    <row x14ac:dyDescent="0.25" r="16" customHeight="1" ht="34.5">
      <c r="A16" s="99">
        <v>11</v>
      </c>
      <c r="B16" s="100" t="s">
        <v>33</v>
      </c>
      <c r="C16" s="101" t="s">
        <v>34</v>
      </c>
      <c r="D16" s="114">
        <v>0.03</v>
      </c>
      <c r="E16" s="28"/>
      <c r="F16" s="103">
        <v>43000</v>
      </c>
      <c r="G16" s="28">
        <f>E16*F16*97%</f>
      </c>
      <c r="H16" s="104">
        <v>60</v>
      </c>
      <c r="I16" s="105">
        <v>60000</v>
      </c>
      <c r="J16" s="104">
        <f>H16*I16</f>
      </c>
      <c r="K16" s="102">
        <v>0.03</v>
      </c>
      <c r="L16" s="29"/>
      <c r="M16" s="103">
        <v>43000</v>
      </c>
      <c r="N16" s="29">
        <f>L16*M16*97%</f>
      </c>
      <c r="O16" s="104"/>
      <c r="P16" s="105">
        <v>60000</v>
      </c>
      <c r="Q16" s="104">
        <f>O16*P16</f>
      </c>
      <c r="R16" s="102">
        <v>0.03</v>
      </c>
      <c r="S16" s="29">
        <v>4</v>
      </c>
      <c r="T16" s="103">
        <v>43000</v>
      </c>
      <c r="U16" s="29">
        <f>S16*T16*97%</f>
      </c>
      <c r="V16" s="104">
        <v>100</v>
      </c>
      <c r="W16" s="105">
        <v>60000</v>
      </c>
      <c r="X16" s="104">
        <f>V16*W16</f>
      </c>
      <c r="Y16" s="29"/>
      <c r="Z16" s="103">
        <v>43000</v>
      </c>
      <c r="AA16" s="29">
        <f>Y16*Z16</f>
      </c>
      <c r="AB16" s="104">
        <v>40</v>
      </c>
      <c r="AC16" s="105">
        <v>60000</v>
      </c>
      <c r="AD16" s="104">
        <f>AB16*AC16</f>
      </c>
      <c r="AE16" s="29">
        <v>380</v>
      </c>
      <c r="AF16" s="103">
        <v>45200</v>
      </c>
      <c r="AG16" s="29">
        <f>AE16*AF16</f>
      </c>
      <c r="AH16" s="104">
        <v>40</v>
      </c>
      <c r="AI16" s="105">
        <v>60000</v>
      </c>
      <c r="AJ16" s="104">
        <f>AH16*AI16</f>
      </c>
      <c r="AK16" s="29">
        <v>50</v>
      </c>
      <c r="AL16" s="103">
        <v>45200</v>
      </c>
      <c r="AM16" s="29">
        <f>AK16*AL16</f>
      </c>
      <c r="AN16" s="104"/>
      <c r="AO16" s="105">
        <v>60000</v>
      </c>
      <c r="AP16" s="104">
        <f>AN16*AO16</f>
      </c>
      <c r="AQ16" s="106">
        <v>20</v>
      </c>
      <c r="AR16" s="107">
        <v>45200</v>
      </c>
      <c r="AS16" s="106">
        <f>AQ16*AR16</f>
      </c>
      <c r="AT16" s="106"/>
      <c r="AU16" s="107">
        <v>45200</v>
      </c>
      <c r="AV16" s="106">
        <f>AT16*AU16</f>
      </c>
      <c r="AW16" s="106">
        <v>20</v>
      </c>
      <c r="AX16" s="107">
        <v>52500</v>
      </c>
      <c r="AY16" s="106">
        <f>AW16*AX16</f>
      </c>
      <c r="AZ16" s="106">
        <v>40</v>
      </c>
      <c r="BA16" s="107">
        <v>60000</v>
      </c>
      <c r="BB16" s="106">
        <f>AZ16*BA16</f>
      </c>
      <c r="BC16" s="106">
        <v>40</v>
      </c>
      <c r="BD16" s="107">
        <v>60000</v>
      </c>
      <c r="BE16" s="106">
        <f>BC16*BD16</f>
      </c>
      <c r="BF16" s="106">
        <v>50</v>
      </c>
      <c r="BG16" s="107">
        <v>60000</v>
      </c>
      <c r="BH16" s="106">
        <f>BF16*BG16</f>
      </c>
    </row>
    <row x14ac:dyDescent="0.25" r="17" customHeight="1" ht="34.5">
      <c r="A17" s="99">
        <v>12</v>
      </c>
      <c r="B17" s="100" t="s">
        <v>35</v>
      </c>
      <c r="C17" s="101" t="s">
        <v>36</v>
      </c>
      <c r="D17" s="114">
        <v>0.03</v>
      </c>
      <c r="E17" s="28">
        <v>300</v>
      </c>
      <c r="F17" s="103">
        <v>63000</v>
      </c>
      <c r="G17" s="28">
        <f>E17*F17*97%</f>
      </c>
      <c r="H17" s="104">
        <v>440</v>
      </c>
      <c r="I17" s="105">
        <v>83000</v>
      </c>
      <c r="J17" s="104">
        <f>H17*I17</f>
      </c>
      <c r="K17" s="102">
        <v>0.03</v>
      </c>
      <c r="L17" s="29">
        <v>200</v>
      </c>
      <c r="M17" s="103">
        <v>63000</v>
      </c>
      <c r="N17" s="29">
        <f>L17*M17*97%</f>
      </c>
      <c r="O17" s="104">
        <v>240</v>
      </c>
      <c r="P17" s="105">
        <v>83000</v>
      </c>
      <c r="Q17" s="104">
        <f>O17*P17</f>
      </c>
      <c r="R17" s="102">
        <v>0.03</v>
      </c>
      <c r="S17" s="29">
        <v>317</v>
      </c>
      <c r="T17" s="103">
        <v>63000</v>
      </c>
      <c r="U17" s="29">
        <f>S17*T17*97%</f>
      </c>
      <c r="V17" s="104">
        <v>429</v>
      </c>
      <c r="W17" s="105">
        <v>83000</v>
      </c>
      <c r="X17" s="104">
        <f>V17*W17</f>
      </c>
      <c r="Y17" s="29">
        <f>404+25</f>
      </c>
      <c r="Z17" s="103">
        <v>63000</v>
      </c>
      <c r="AA17" s="29">
        <f>Y17*Z17</f>
      </c>
      <c r="AB17" s="104">
        <v>395</v>
      </c>
      <c r="AC17" s="105">
        <v>83000</v>
      </c>
      <c r="AD17" s="104">
        <f>AB17*AC17</f>
      </c>
      <c r="AE17" s="29">
        <v>215</v>
      </c>
      <c r="AF17" s="103">
        <v>66200</v>
      </c>
      <c r="AG17" s="29">
        <f>AE17*AF17</f>
      </c>
      <c r="AH17" s="104">
        <v>413</v>
      </c>
      <c r="AI17" s="105">
        <v>83000</v>
      </c>
      <c r="AJ17" s="104">
        <f>AH17*AI17</f>
      </c>
      <c r="AK17" s="29">
        <v>193</v>
      </c>
      <c r="AL17" s="103">
        <v>66200</v>
      </c>
      <c r="AM17" s="29">
        <f>AK17*AL17</f>
      </c>
      <c r="AN17" s="104">
        <f>380+30</f>
      </c>
      <c r="AO17" s="109" t="s">
        <v>82</v>
      </c>
      <c r="AP17" s="104">
        <f>31540000+2610000</f>
      </c>
      <c r="AQ17" s="106">
        <v>363</v>
      </c>
      <c r="AR17" s="107">
        <v>66200</v>
      </c>
      <c r="AS17" s="106">
        <f>AQ17*AR17</f>
      </c>
      <c r="AT17" s="106">
        <v>180</v>
      </c>
      <c r="AU17" s="107">
        <v>66200</v>
      </c>
      <c r="AV17" s="106">
        <f>AT17*AU17</f>
      </c>
      <c r="AW17" s="106">
        <v>175</v>
      </c>
      <c r="AX17" s="107">
        <v>77000</v>
      </c>
      <c r="AY17" s="106">
        <f>AW17*AX17</f>
      </c>
      <c r="AZ17" s="106">
        <v>540</v>
      </c>
      <c r="BA17" s="107">
        <v>83000</v>
      </c>
      <c r="BB17" s="106">
        <f>AZ17*BA17</f>
      </c>
      <c r="BC17" s="106">
        <v>348</v>
      </c>
      <c r="BD17" s="107">
        <v>83000</v>
      </c>
      <c r="BE17" s="106">
        <f>BC17*BD17</f>
      </c>
      <c r="BF17" s="106">
        <v>330</v>
      </c>
      <c r="BG17" s="107">
        <v>83000</v>
      </c>
      <c r="BH17" s="106">
        <f>BF17*BG17</f>
      </c>
    </row>
    <row x14ac:dyDescent="0.25" r="18" customHeight="1" ht="34.5">
      <c r="A18" s="99">
        <v>13</v>
      </c>
      <c r="B18" s="100" t="s">
        <v>37</v>
      </c>
      <c r="C18" s="101" t="s">
        <v>38</v>
      </c>
      <c r="D18" s="114">
        <v>0.03</v>
      </c>
      <c r="E18" s="28"/>
      <c r="F18" s="103">
        <v>51000</v>
      </c>
      <c r="G18" s="28">
        <f>E18*F18*97%</f>
      </c>
      <c r="H18" s="104"/>
      <c r="I18" s="105">
        <v>65000</v>
      </c>
      <c r="J18" s="104">
        <f>H18*I18</f>
      </c>
      <c r="K18" s="102">
        <v>0.03</v>
      </c>
      <c r="L18" s="29"/>
      <c r="M18" s="103">
        <v>51000</v>
      </c>
      <c r="N18" s="29">
        <f>L18*M18*97%</f>
      </c>
      <c r="O18" s="104"/>
      <c r="P18" s="105">
        <v>65000</v>
      </c>
      <c r="Q18" s="104">
        <f>O18*P18</f>
      </c>
      <c r="R18" s="102">
        <v>0.03</v>
      </c>
      <c r="S18" s="29"/>
      <c r="T18" s="103">
        <v>51000</v>
      </c>
      <c r="U18" s="29">
        <f>S18*T18*97%</f>
      </c>
      <c r="V18" s="104">
        <v>20</v>
      </c>
      <c r="W18" s="105">
        <v>65000</v>
      </c>
      <c r="X18" s="104">
        <f>V18*W18</f>
      </c>
      <c r="Y18" s="29"/>
      <c r="Z18" s="103">
        <v>51000</v>
      </c>
      <c r="AA18" s="29">
        <f>Y18*Z18</f>
      </c>
      <c r="AB18" s="104">
        <v>20</v>
      </c>
      <c r="AC18" s="105">
        <v>65000</v>
      </c>
      <c r="AD18" s="104">
        <f>AB18*AC18</f>
      </c>
      <c r="AE18" s="29"/>
      <c r="AF18" s="103">
        <v>53600</v>
      </c>
      <c r="AG18" s="29">
        <f>AE18*AF18</f>
      </c>
      <c r="AH18" s="104">
        <v>20</v>
      </c>
      <c r="AI18" s="105">
        <v>65000</v>
      </c>
      <c r="AJ18" s="104">
        <f>AH18*AI18</f>
      </c>
      <c r="AK18" s="29"/>
      <c r="AL18" s="103">
        <v>53600</v>
      </c>
      <c r="AM18" s="29">
        <f>AK18*AL18</f>
      </c>
      <c r="AN18" s="104"/>
      <c r="AO18" s="105">
        <v>65000</v>
      </c>
      <c r="AP18" s="104">
        <f>AN18*AO18</f>
      </c>
      <c r="AQ18" s="106"/>
      <c r="AR18" s="107">
        <v>53600</v>
      </c>
      <c r="AS18" s="106">
        <f>AQ18*AR18</f>
      </c>
      <c r="AT18" s="106">
        <v>30</v>
      </c>
      <c r="AU18" s="107">
        <v>53600</v>
      </c>
      <c r="AV18" s="106">
        <f>AT18*AU18</f>
      </c>
      <c r="AW18" s="106"/>
      <c r="AX18" s="107">
        <v>53600</v>
      </c>
      <c r="AY18" s="106">
        <f>AW18*AX18</f>
      </c>
      <c r="AZ18" s="106">
        <v>100</v>
      </c>
      <c r="BA18" s="107">
        <v>65000</v>
      </c>
      <c r="BB18" s="106">
        <f>AZ18*BA18</f>
      </c>
      <c r="BC18" s="106">
        <v>20</v>
      </c>
      <c r="BD18" s="107">
        <v>65000</v>
      </c>
      <c r="BE18" s="106">
        <f>BC18*BD18</f>
      </c>
      <c r="BF18" s="106">
        <v>30</v>
      </c>
      <c r="BG18" s="107">
        <v>65000</v>
      </c>
      <c r="BH18" s="106">
        <f>BF18*BG18</f>
      </c>
    </row>
    <row x14ac:dyDescent="0.25" r="19" customHeight="1" ht="34.5">
      <c r="A19" s="99">
        <v>14</v>
      </c>
      <c r="B19" s="100" t="s">
        <v>39</v>
      </c>
      <c r="C19" s="101" t="s">
        <v>40</v>
      </c>
      <c r="D19" s="114">
        <v>0.03</v>
      </c>
      <c r="E19" s="28">
        <v>262</v>
      </c>
      <c r="F19" s="103">
        <v>60500</v>
      </c>
      <c r="G19" s="28">
        <f>E19*F19*97%</f>
      </c>
      <c r="H19" s="104">
        <v>340</v>
      </c>
      <c r="I19" s="105">
        <v>79500</v>
      </c>
      <c r="J19" s="104">
        <f>H19*I19</f>
      </c>
      <c r="K19" s="102">
        <v>0.03</v>
      </c>
      <c r="L19" s="29">
        <v>150</v>
      </c>
      <c r="M19" s="103">
        <v>60500</v>
      </c>
      <c r="N19" s="29">
        <f>L19*M19*97%</f>
      </c>
      <c r="O19" s="104">
        <v>190</v>
      </c>
      <c r="P19" s="105">
        <v>79500</v>
      </c>
      <c r="Q19" s="104">
        <f>O19*P19</f>
      </c>
      <c r="R19" s="102">
        <v>0.03</v>
      </c>
      <c r="S19" s="29">
        <v>205</v>
      </c>
      <c r="T19" s="103">
        <v>60500</v>
      </c>
      <c r="U19" s="29">
        <f>S19*T19*97%</f>
      </c>
      <c r="V19" s="104">
        <v>381</v>
      </c>
      <c r="W19" s="105">
        <v>79500</v>
      </c>
      <c r="X19" s="104">
        <f>V19*W19</f>
      </c>
      <c r="Y19" s="29">
        <v>310</v>
      </c>
      <c r="Z19" s="103">
        <v>60500</v>
      </c>
      <c r="AA19" s="29">
        <f>Y19*Z19</f>
      </c>
      <c r="AB19" s="104">
        <v>350</v>
      </c>
      <c r="AC19" s="105">
        <v>79500</v>
      </c>
      <c r="AD19" s="104">
        <f>AB19*AC19</f>
      </c>
      <c r="AE19" s="29">
        <v>300</v>
      </c>
      <c r="AF19" s="103">
        <v>63600</v>
      </c>
      <c r="AG19" s="29">
        <f>AE19*AF19</f>
      </c>
      <c r="AH19" s="104">
        <v>360</v>
      </c>
      <c r="AI19" s="105">
        <v>79500</v>
      </c>
      <c r="AJ19" s="104">
        <f>AH19*AI19</f>
      </c>
      <c r="AK19" s="29">
        <v>245</v>
      </c>
      <c r="AL19" s="103">
        <v>63600</v>
      </c>
      <c r="AM19" s="29">
        <f>AK19*AL19</f>
      </c>
      <c r="AN19" s="104">
        <v>270</v>
      </c>
      <c r="AO19" s="105">
        <v>79500</v>
      </c>
      <c r="AP19" s="104">
        <f>AN19*AO19</f>
      </c>
      <c r="AQ19" s="106">
        <v>175</v>
      </c>
      <c r="AR19" s="107">
        <v>63600</v>
      </c>
      <c r="AS19" s="106">
        <f>AQ19*AR19</f>
      </c>
      <c r="AT19" s="106">
        <v>180</v>
      </c>
      <c r="AU19" s="107">
        <v>63600</v>
      </c>
      <c r="AV19" s="106">
        <f>AT19*AU19</f>
      </c>
      <c r="AW19" s="106">
        <f>140+120</f>
      </c>
      <c r="AX19" s="108" t="s">
        <v>84</v>
      </c>
      <c r="AY19" s="106">
        <f>9800000+8820000</f>
      </c>
      <c r="AZ19" s="106">
        <v>280</v>
      </c>
      <c r="BA19" s="107">
        <v>79500</v>
      </c>
      <c r="BB19" s="106">
        <f>AZ19*BA19</f>
      </c>
      <c r="BC19" s="106">
        <v>230</v>
      </c>
      <c r="BD19" s="107">
        <v>79500</v>
      </c>
      <c r="BE19" s="106">
        <f>BC19*BD19</f>
      </c>
      <c r="BF19" s="106">
        <v>340</v>
      </c>
      <c r="BG19" s="107">
        <v>79500</v>
      </c>
      <c r="BH19" s="106">
        <f>BF19*BG19</f>
      </c>
    </row>
    <row x14ac:dyDescent="0.25" r="20" customHeight="1" ht="34.5">
      <c r="A20" s="99">
        <v>15</v>
      </c>
      <c r="B20" s="100" t="s">
        <v>41</v>
      </c>
      <c r="C20" s="113" t="s">
        <v>42</v>
      </c>
      <c r="D20" s="114">
        <v>0.03</v>
      </c>
      <c r="E20" s="28">
        <v>150</v>
      </c>
      <c r="F20" s="103">
        <v>82500</v>
      </c>
      <c r="G20" s="28">
        <f>E20*F20*97%</f>
      </c>
      <c r="H20" s="104">
        <v>130</v>
      </c>
      <c r="I20" s="105">
        <v>115000</v>
      </c>
      <c r="J20" s="104">
        <f>H20*I20</f>
      </c>
      <c r="K20" s="102">
        <v>0.03</v>
      </c>
      <c r="L20" s="29">
        <v>80</v>
      </c>
      <c r="M20" s="103">
        <v>82500</v>
      </c>
      <c r="N20" s="29">
        <f>L20*M20*97%</f>
      </c>
      <c r="O20" s="104">
        <v>60</v>
      </c>
      <c r="P20" s="105">
        <v>115000</v>
      </c>
      <c r="Q20" s="104">
        <f>O20*P20</f>
      </c>
      <c r="R20" s="102">
        <v>0.03</v>
      </c>
      <c r="S20" s="29">
        <v>122</v>
      </c>
      <c r="T20" s="103">
        <v>82500</v>
      </c>
      <c r="U20" s="29">
        <f>S20*T20*97%</f>
      </c>
      <c r="V20" s="104">
        <v>130</v>
      </c>
      <c r="W20" s="105">
        <v>115000</v>
      </c>
      <c r="X20" s="104">
        <f>V20*W20</f>
      </c>
      <c r="Y20" s="29">
        <v>100</v>
      </c>
      <c r="Z20" s="103">
        <v>82500</v>
      </c>
      <c r="AA20" s="29">
        <f>Y20*Z20</f>
      </c>
      <c r="AB20" s="104">
        <v>70</v>
      </c>
      <c r="AC20" s="105">
        <v>115000</v>
      </c>
      <c r="AD20" s="104">
        <f>AB20*AC20</f>
      </c>
      <c r="AE20" s="29">
        <v>200</v>
      </c>
      <c r="AF20" s="103">
        <v>86700</v>
      </c>
      <c r="AG20" s="29">
        <f>AE20*AF20</f>
      </c>
      <c r="AH20" s="104">
        <v>40</v>
      </c>
      <c r="AI20" s="105">
        <v>115000</v>
      </c>
      <c r="AJ20" s="104">
        <f>AH20*AI20</f>
      </c>
      <c r="AK20" s="29">
        <v>150</v>
      </c>
      <c r="AL20" s="103">
        <v>86700</v>
      </c>
      <c r="AM20" s="29">
        <f>AK20*AL20</f>
      </c>
      <c r="AN20" s="104">
        <v>50</v>
      </c>
      <c r="AO20" s="105">
        <v>115000</v>
      </c>
      <c r="AP20" s="104">
        <f>AN20*AO20</f>
      </c>
      <c r="AQ20" s="106">
        <v>50</v>
      </c>
      <c r="AR20" s="107">
        <v>86700</v>
      </c>
      <c r="AS20" s="106">
        <f>AQ20*AR20</f>
      </c>
      <c r="AT20" s="106">
        <v>70</v>
      </c>
      <c r="AU20" s="107">
        <v>86700</v>
      </c>
      <c r="AV20" s="106">
        <f>AT20*AU20</f>
      </c>
      <c r="AW20" s="106">
        <f>20+30</f>
      </c>
      <c r="AX20" s="108" t="s">
        <v>102</v>
      </c>
      <c r="AY20" s="106">
        <f>1920000+3030000</f>
      </c>
      <c r="AZ20" s="106">
        <v>110</v>
      </c>
      <c r="BA20" s="107">
        <v>115000</v>
      </c>
      <c r="BB20" s="106">
        <f>AZ20*BA20</f>
      </c>
      <c r="BC20" s="106">
        <v>30</v>
      </c>
      <c r="BD20" s="107">
        <v>115000</v>
      </c>
      <c r="BE20" s="106">
        <f>BC20*BD20</f>
      </c>
      <c r="BF20" s="106">
        <v>90</v>
      </c>
      <c r="BG20" s="107">
        <v>115000</v>
      </c>
      <c r="BH20" s="106">
        <f>BF20*BG20</f>
      </c>
    </row>
    <row x14ac:dyDescent="0.25" r="21" customHeight="1" ht="34.5">
      <c r="A21" s="99">
        <v>16</v>
      </c>
      <c r="B21" s="100" t="s">
        <v>43</v>
      </c>
      <c r="C21" s="113" t="s">
        <v>44</v>
      </c>
      <c r="D21" s="114"/>
      <c r="E21" s="28"/>
      <c r="F21" s="103"/>
      <c r="G21" s="28">
        <f>E21*F21*97%</f>
      </c>
      <c r="H21" s="104">
        <v>40</v>
      </c>
      <c r="I21" s="105">
        <v>113500</v>
      </c>
      <c r="J21" s="104">
        <f>H21*I21</f>
      </c>
      <c r="K21" s="102"/>
      <c r="L21" s="29"/>
      <c r="M21" s="103"/>
      <c r="N21" s="29">
        <f>L21*M21*97%</f>
      </c>
      <c r="O21" s="104">
        <v>30</v>
      </c>
      <c r="P21" s="105">
        <v>113500</v>
      </c>
      <c r="Q21" s="104">
        <f>O21*P21</f>
      </c>
      <c r="R21" s="102">
        <v>0.03</v>
      </c>
      <c r="S21" s="29">
        <v>20</v>
      </c>
      <c r="T21" s="103">
        <v>88000</v>
      </c>
      <c r="U21" s="29">
        <f>S21*T21*97%</f>
      </c>
      <c r="V21" s="104">
        <v>50</v>
      </c>
      <c r="W21" s="105">
        <v>113500</v>
      </c>
      <c r="X21" s="104">
        <f>V21*W21</f>
      </c>
      <c r="Y21" s="29">
        <v>50</v>
      </c>
      <c r="Z21" s="103">
        <v>88000</v>
      </c>
      <c r="AA21" s="29">
        <f>Y21*Z21</f>
      </c>
      <c r="AB21" s="104">
        <v>10</v>
      </c>
      <c r="AC21" s="105">
        <v>113500</v>
      </c>
      <c r="AD21" s="104">
        <f>AB21*AC21</f>
      </c>
      <c r="AE21" s="29"/>
      <c r="AF21" s="103">
        <v>92400</v>
      </c>
      <c r="AG21" s="29">
        <f>AE21*AF21</f>
      </c>
      <c r="AH21" s="104">
        <v>40</v>
      </c>
      <c r="AI21" s="105">
        <v>113500</v>
      </c>
      <c r="AJ21" s="104">
        <f>AH21*AI21</f>
      </c>
      <c r="AK21" s="29"/>
      <c r="AL21" s="103">
        <v>92400</v>
      </c>
      <c r="AM21" s="29">
        <f>AK21*AL21</f>
      </c>
      <c r="AN21" s="104">
        <v>50</v>
      </c>
      <c r="AO21" s="105">
        <v>113500</v>
      </c>
      <c r="AP21" s="104">
        <f>AN21*AO21</f>
      </c>
      <c r="AQ21" s="106"/>
      <c r="AR21" s="107">
        <v>92400</v>
      </c>
      <c r="AS21" s="106">
        <f>AQ21*AR21</f>
      </c>
      <c r="AT21" s="106"/>
      <c r="AU21" s="107">
        <v>92400</v>
      </c>
      <c r="AV21" s="106">
        <f>AT21*AU21</f>
      </c>
      <c r="AW21" s="106">
        <v>30</v>
      </c>
      <c r="AX21" s="107">
        <v>102000</v>
      </c>
      <c r="AY21" s="106">
        <f>AW21*AX21</f>
      </c>
      <c r="AZ21" s="106">
        <v>40</v>
      </c>
      <c r="BA21" s="107">
        <v>113500</v>
      </c>
      <c r="BB21" s="106">
        <f>AZ21*BA21</f>
      </c>
      <c r="BC21" s="106">
        <v>50</v>
      </c>
      <c r="BD21" s="107">
        <v>113500</v>
      </c>
      <c r="BE21" s="106">
        <f>BC21*BD21</f>
      </c>
      <c r="BF21" s="106">
        <v>30</v>
      </c>
      <c r="BG21" s="107">
        <v>113500</v>
      </c>
      <c r="BH21" s="106">
        <f>BF21*BG21</f>
      </c>
    </row>
    <row x14ac:dyDescent="0.25" r="22" customHeight="1" ht="34.5">
      <c r="A22" s="99">
        <v>17</v>
      </c>
      <c r="B22" s="100" t="s">
        <v>45</v>
      </c>
      <c r="C22" s="113" t="s">
        <v>46</v>
      </c>
      <c r="D22" s="114">
        <v>0.03</v>
      </c>
      <c r="E22" s="28">
        <v>63</v>
      </c>
      <c r="F22" s="103">
        <v>90000</v>
      </c>
      <c r="G22" s="28">
        <f>E22*F22*97%</f>
      </c>
      <c r="H22" s="104">
        <v>60</v>
      </c>
      <c r="I22" s="105">
        <v>121000</v>
      </c>
      <c r="J22" s="104">
        <f>H22*I22</f>
      </c>
      <c r="K22" s="102">
        <v>0.03</v>
      </c>
      <c r="L22" s="29">
        <v>50</v>
      </c>
      <c r="M22" s="103">
        <v>90000</v>
      </c>
      <c r="N22" s="29">
        <f>L22*M22*97%</f>
      </c>
      <c r="O22" s="104">
        <v>90</v>
      </c>
      <c r="P22" s="105">
        <v>121000</v>
      </c>
      <c r="Q22" s="104">
        <f>O22*P22</f>
      </c>
      <c r="R22" s="102">
        <v>0.03</v>
      </c>
      <c r="S22" s="29"/>
      <c r="T22" s="103">
        <v>90000</v>
      </c>
      <c r="U22" s="29">
        <f>S22*T22*97%</f>
      </c>
      <c r="V22" s="104">
        <v>50</v>
      </c>
      <c r="W22" s="105">
        <v>121000</v>
      </c>
      <c r="X22" s="104">
        <f>V22*W22</f>
      </c>
      <c r="Y22" s="29">
        <v>50</v>
      </c>
      <c r="Z22" s="103">
        <v>90000</v>
      </c>
      <c r="AA22" s="29">
        <f>Y22*Z22</f>
      </c>
      <c r="AB22" s="104">
        <v>60</v>
      </c>
      <c r="AC22" s="105">
        <v>121000</v>
      </c>
      <c r="AD22" s="104">
        <f>AB22*AC22</f>
      </c>
      <c r="AE22" s="29"/>
      <c r="AF22" s="103">
        <v>94500</v>
      </c>
      <c r="AG22" s="29">
        <f>AE22*AF22</f>
      </c>
      <c r="AH22" s="104">
        <v>38</v>
      </c>
      <c r="AI22" s="105">
        <v>121000</v>
      </c>
      <c r="AJ22" s="104">
        <f>AH22*AI22</f>
      </c>
      <c r="AK22" s="29">
        <v>50</v>
      </c>
      <c r="AL22" s="103">
        <v>94500</v>
      </c>
      <c r="AM22" s="29">
        <f>AK22*AL22</f>
      </c>
      <c r="AN22" s="104">
        <v>62</v>
      </c>
      <c r="AO22" s="105">
        <v>121000</v>
      </c>
      <c r="AP22" s="104">
        <f>AN22*AO22</f>
      </c>
      <c r="AQ22" s="106"/>
      <c r="AR22" s="107">
        <v>94500</v>
      </c>
      <c r="AS22" s="106">
        <f>AQ22*AR22</f>
      </c>
      <c r="AT22" s="106">
        <v>50</v>
      </c>
      <c r="AU22" s="107">
        <v>94500</v>
      </c>
      <c r="AV22" s="106">
        <f>AT22*AU22</f>
      </c>
      <c r="AW22" s="106">
        <f>20+20</f>
      </c>
      <c r="AX22" s="108" t="s">
        <v>85</v>
      </c>
      <c r="AY22" s="106">
        <f>2080000+2200000</f>
      </c>
      <c r="AZ22" s="106">
        <v>70</v>
      </c>
      <c r="BA22" s="107">
        <v>121000</v>
      </c>
      <c r="BB22" s="106">
        <f>AZ22*BA22</f>
      </c>
      <c r="BC22" s="106">
        <v>110</v>
      </c>
      <c r="BD22" s="107">
        <v>121000</v>
      </c>
      <c r="BE22" s="106">
        <f>BC22*BD22</f>
      </c>
      <c r="BF22" s="106">
        <v>10</v>
      </c>
      <c r="BG22" s="107">
        <v>121000</v>
      </c>
      <c r="BH22" s="106">
        <f>BF22*BG22</f>
      </c>
    </row>
    <row x14ac:dyDescent="0.25" r="23" customHeight="1" ht="34.5">
      <c r="A23" s="99">
        <v>18</v>
      </c>
      <c r="B23" s="100" t="s">
        <v>47</v>
      </c>
      <c r="C23" s="113" t="s">
        <v>48</v>
      </c>
      <c r="D23" s="114"/>
      <c r="E23" s="28"/>
      <c r="F23" s="103"/>
      <c r="G23" s="28">
        <f>E23*F23*97%</f>
      </c>
      <c r="H23" s="104">
        <v>50</v>
      </c>
      <c r="I23" s="105">
        <v>51000</v>
      </c>
      <c r="J23" s="104">
        <f>H23*I23</f>
      </c>
      <c r="K23" s="102"/>
      <c r="L23" s="29"/>
      <c r="M23" s="103"/>
      <c r="N23" s="29">
        <f>L23*M23*97%</f>
      </c>
      <c r="O23" s="104"/>
      <c r="P23" s="105">
        <v>51000</v>
      </c>
      <c r="Q23" s="104">
        <f>O23*P23</f>
      </c>
      <c r="R23" s="102">
        <v>0.03</v>
      </c>
      <c r="S23" s="29">
        <v>59</v>
      </c>
      <c r="T23" s="103">
        <v>39000</v>
      </c>
      <c r="U23" s="29">
        <f>S23*T23*97%</f>
      </c>
      <c r="V23" s="104">
        <v>50</v>
      </c>
      <c r="W23" s="105">
        <v>51000</v>
      </c>
      <c r="X23" s="104">
        <f>V23*W23</f>
      </c>
      <c r="Y23" s="29">
        <v>30</v>
      </c>
      <c r="Z23" s="103">
        <v>39000</v>
      </c>
      <c r="AA23" s="29">
        <f>Y23*Z23</f>
      </c>
      <c r="AB23" s="104"/>
      <c r="AC23" s="105">
        <v>51000</v>
      </c>
      <c r="AD23" s="104">
        <f>AB23*AC23</f>
      </c>
      <c r="AE23" s="29">
        <v>25</v>
      </c>
      <c r="AF23" s="103">
        <v>41000</v>
      </c>
      <c r="AG23" s="29">
        <f>AE23*AF23</f>
      </c>
      <c r="AH23" s="104"/>
      <c r="AI23" s="105">
        <v>51000</v>
      </c>
      <c r="AJ23" s="104">
        <f>AH23*AI23</f>
      </c>
      <c r="AK23" s="29"/>
      <c r="AL23" s="103">
        <v>41000</v>
      </c>
      <c r="AM23" s="29">
        <f>AK23*AL23</f>
      </c>
      <c r="AN23" s="104"/>
      <c r="AO23" s="105">
        <v>51000</v>
      </c>
      <c r="AP23" s="104">
        <f>AN23*AO23</f>
      </c>
      <c r="AQ23" s="106"/>
      <c r="AR23" s="107">
        <v>41000</v>
      </c>
      <c r="AS23" s="106">
        <f>AQ23*AR23</f>
      </c>
      <c r="AT23" s="106"/>
      <c r="AU23" s="107">
        <v>41000</v>
      </c>
      <c r="AV23" s="106">
        <f>AT23*AU23</f>
      </c>
      <c r="AW23" s="106"/>
      <c r="AX23" s="107">
        <v>41000</v>
      </c>
      <c r="AY23" s="106">
        <f>AW23*AX23</f>
      </c>
      <c r="AZ23" s="106"/>
      <c r="BA23" s="107">
        <v>51000</v>
      </c>
      <c r="BB23" s="106">
        <f>AZ23*BA23</f>
      </c>
      <c r="BC23" s="106">
        <v>50</v>
      </c>
      <c r="BD23" s="107">
        <v>51000</v>
      </c>
      <c r="BE23" s="106">
        <f>BC23*BD23</f>
      </c>
      <c r="BF23" s="106">
        <v>60</v>
      </c>
      <c r="BG23" s="107">
        <v>51000</v>
      </c>
      <c r="BH23" s="106">
        <f>BF23*BG23</f>
      </c>
    </row>
    <row x14ac:dyDescent="0.25" r="24" customHeight="1" ht="34.5">
      <c r="A24" s="99">
        <v>19</v>
      </c>
      <c r="B24" s="100" t="s">
        <v>49</v>
      </c>
      <c r="C24" s="101" t="s">
        <v>50</v>
      </c>
      <c r="D24" s="114">
        <v>0.03</v>
      </c>
      <c r="E24" s="28"/>
      <c r="F24" s="103">
        <v>90000</v>
      </c>
      <c r="G24" s="28">
        <f>E24*F24*97%</f>
      </c>
      <c r="H24" s="104">
        <v>10</v>
      </c>
      <c r="I24" s="105">
        <v>120000</v>
      </c>
      <c r="J24" s="104">
        <f>H24*I24</f>
      </c>
      <c r="K24" s="102">
        <v>0.03</v>
      </c>
      <c r="L24" s="29"/>
      <c r="M24" s="103">
        <v>90000</v>
      </c>
      <c r="N24" s="29">
        <f>L24*M24*97%</f>
      </c>
      <c r="O24" s="104"/>
      <c r="P24" s="105">
        <v>120000</v>
      </c>
      <c r="Q24" s="104">
        <f>O24*P24</f>
      </c>
      <c r="R24" s="102">
        <v>0.03</v>
      </c>
      <c r="S24" s="29"/>
      <c r="T24" s="103">
        <v>90000</v>
      </c>
      <c r="U24" s="29">
        <f>S24*T24*97%</f>
      </c>
      <c r="V24" s="104"/>
      <c r="W24" s="105">
        <v>120000</v>
      </c>
      <c r="X24" s="104">
        <f>V24*W24</f>
      </c>
      <c r="Y24" s="29">
        <v>10</v>
      </c>
      <c r="Z24" s="103">
        <v>90000</v>
      </c>
      <c r="AA24" s="29">
        <f>Y24*Z24</f>
      </c>
      <c r="AB24" s="104"/>
      <c r="AC24" s="105">
        <v>120000</v>
      </c>
      <c r="AD24" s="104">
        <f>AB24*AC24</f>
      </c>
      <c r="AE24" s="29"/>
      <c r="AF24" s="103">
        <v>94500</v>
      </c>
      <c r="AG24" s="29">
        <f>AE24*AF24</f>
      </c>
      <c r="AH24" s="104">
        <v>20</v>
      </c>
      <c r="AI24" s="144">
        <v>120000</v>
      </c>
      <c r="AJ24" s="104">
        <f>AH24*AI24</f>
      </c>
      <c r="AK24" s="29">
        <v>20</v>
      </c>
      <c r="AL24" s="103">
        <v>94500</v>
      </c>
      <c r="AM24" s="29">
        <f>AK24*AL24</f>
      </c>
      <c r="AN24" s="104"/>
      <c r="AO24" s="105">
        <v>120000</v>
      </c>
      <c r="AP24" s="104">
        <f>AN24*AO24</f>
      </c>
      <c r="AQ24" s="106"/>
      <c r="AR24" s="107">
        <v>94500</v>
      </c>
      <c r="AS24" s="106">
        <f>AQ24*AR24</f>
      </c>
      <c r="AT24" s="106"/>
      <c r="AU24" s="107">
        <v>94500</v>
      </c>
      <c r="AV24" s="106">
        <f>AT24*AU24</f>
      </c>
      <c r="AW24" s="106"/>
      <c r="AX24" s="107">
        <v>104000</v>
      </c>
      <c r="AY24" s="106">
        <f>AW24*AX24</f>
      </c>
      <c r="AZ24" s="106">
        <v>20</v>
      </c>
      <c r="BA24" s="107">
        <v>120000</v>
      </c>
      <c r="BB24" s="106">
        <f>AZ24*BA24</f>
      </c>
      <c r="BC24" s="106">
        <v>20</v>
      </c>
      <c r="BD24" s="107">
        <v>120000</v>
      </c>
      <c r="BE24" s="106">
        <f>BC24*BD24</f>
      </c>
      <c r="BF24" s="106">
        <v>20</v>
      </c>
      <c r="BG24" s="107">
        <v>120000</v>
      </c>
      <c r="BH24" s="106">
        <f>BF24*BG24</f>
      </c>
    </row>
    <row x14ac:dyDescent="0.25" r="25" customHeight="1" ht="34.5">
      <c r="A25" s="99">
        <v>20</v>
      </c>
      <c r="B25" s="100" t="s">
        <v>51</v>
      </c>
      <c r="C25" s="101" t="s">
        <v>52</v>
      </c>
      <c r="D25" s="114">
        <v>0.03</v>
      </c>
      <c r="E25" s="28">
        <v>20</v>
      </c>
      <c r="F25" s="103">
        <v>90000</v>
      </c>
      <c r="G25" s="28">
        <f>E25*F25*97%</f>
      </c>
      <c r="H25" s="104">
        <v>10</v>
      </c>
      <c r="I25" s="105">
        <v>120000</v>
      </c>
      <c r="J25" s="104">
        <f>H25*I25</f>
      </c>
      <c r="K25" s="102">
        <v>0.03</v>
      </c>
      <c r="L25" s="29"/>
      <c r="M25" s="103">
        <v>90000</v>
      </c>
      <c r="N25" s="29">
        <f>L25*M25*97%</f>
      </c>
      <c r="O25" s="104"/>
      <c r="P25" s="105">
        <v>120000</v>
      </c>
      <c r="Q25" s="104">
        <f>O25*P25</f>
      </c>
      <c r="R25" s="102">
        <v>0.03</v>
      </c>
      <c r="S25" s="29"/>
      <c r="T25" s="103">
        <v>90000</v>
      </c>
      <c r="U25" s="29">
        <f>S25*T25*97%</f>
      </c>
      <c r="V25" s="104">
        <v>40</v>
      </c>
      <c r="W25" s="105">
        <v>120000</v>
      </c>
      <c r="X25" s="104">
        <f>V25*W25</f>
      </c>
      <c r="Y25" s="29"/>
      <c r="Z25" s="103">
        <v>90000</v>
      </c>
      <c r="AA25" s="29">
        <f>Y25*Z25</f>
      </c>
      <c r="AB25" s="104"/>
      <c r="AC25" s="105">
        <v>120000</v>
      </c>
      <c r="AD25" s="104">
        <f>AB25*AC25</f>
      </c>
      <c r="AE25" s="29"/>
      <c r="AF25" s="103">
        <v>94500</v>
      </c>
      <c r="AG25" s="29">
        <f>AE25*AF25</f>
      </c>
      <c r="AH25" s="104">
        <v>30</v>
      </c>
      <c r="AI25" s="105">
        <v>120000</v>
      </c>
      <c r="AJ25" s="104">
        <f>AH25*AI25</f>
      </c>
      <c r="AK25" s="29"/>
      <c r="AL25" s="103">
        <v>94500</v>
      </c>
      <c r="AM25" s="29">
        <f>AK25*AL25</f>
      </c>
      <c r="AN25" s="104"/>
      <c r="AO25" s="105">
        <v>120000</v>
      </c>
      <c r="AP25" s="104">
        <f>AN25*AO25</f>
      </c>
      <c r="AQ25" s="106"/>
      <c r="AR25" s="107">
        <v>94500</v>
      </c>
      <c r="AS25" s="106">
        <f>AQ25*AR25</f>
      </c>
      <c r="AT25" s="106">
        <v>40</v>
      </c>
      <c r="AU25" s="107">
        <v>94500</v>
      </c>
      <c r="AV25" s="106">
        <f>AT25*AU25</f>
      </c>
      <c r="AW25" s="106"/>
      <c r="AX25" s="107">
        <v>104000</v>
      </c>
      <c r="AY25" s="106">
        <f>AW25*AX25</f>
      </c>
      <c r="AZ25" s="106">
        <v>20</v>
      </c>
      <c r="BA25" s="107">
        <v>120000</v>
      </c>
      <c r="BB25" s="106">
        <f>AZ25*BA25</f>
      </c>
      <c r="BC25" s="106"/>
      <c r="BD25" s="107">
        <v>120000</v>
      </c>
      <c r="BE25" s="106">
        <f>BC25*BD25</f>
      </c>
      <c r="BF25" s="106">
        <v>30</v>
      </c>
      <c r="BG25" s="107">
        <v>120000</v>
      </c>
      <c r="BH25" s="106">
        <f>BF25*BG25</f>
      </c>
    </row>
    <row x14ac:dyDescent="0.25" r="26" customHeight="1" ht="34.5">
      <c r="A26" s="99">
        <v>21</v>
      </c>
      <c r="B26" s="100" t="s">
        <v>53</v>
      </c>
      <c r="C26" s="113" t="s">
        <v>54</v>
      </c>
      <c r="D26" s="114"/>
      <c r="E26" s="28"/>
      <c r="F26" s="103"/>
      <c r="G26" s="28">
        <f>E26*F26*97%</f>
      </c>
      <c r="H26" s="104"/>
      <c r="I26" s="105"/>
      <c r="J26" s="104"/>
      <c r="K26" s="102"/>
      <c r="L26" s="29"/>
      <c r="M26" s="103"/>
      <c r="N26" s="29">
        <f>L26*M26*97%</f>
      </c>
      <c r="O26" s="104"/>
      <c r="P26" s="105">
        <v>35000</v>
      </c>
      <c r="Q26" s="104">
        <f>O26*P26</f>
      </c>
      <c r="R26" s="102"/>
      <c r="S26" s="29"/>
      <c r="T26" s="103"/>
      <c r="U26" s="29">
        <f>S26*T26*97%</f>
      </c>
      <c r="V26" s="104"/>
      <c r="W26" s="105">
        <v>35000</v>
      </c>
      <c r="X26" s="104">
        <f>V26*W26</f>
      </c>
      <c r="Y26" s="29"/>
      <c r="Z26" s="103"/>
      <c r="AA26" s="29">
        <f>Y26*Z26</f>
      </c>
      <c r="AB26" s="104"/>
      <c r="AC26" s="105">
        <v>35000</v>
      </c>
      <c r="AD26" s="104">
        <f>AB26*AC26</f>
      </c>
      <c r="AE26" s="29"/>
      <c r="AF26" s="103"/>
      <c r="AG26" s="29">
        <f>AE26*AF26</f>
      </c>
      <c r="AH26" s="104"/>
      <c r="AI26" s="105">
        <v>35000</v>
      </c>
      <c r="AJ26" s="104">
        <f>AH26*AI26</f>
      </c>
      <c r="AK26" s="29"/>
      <c r="AL26" s="103"/>
      <c r="AM26" s="29">
        <f>AK26*AL26</f>
      </c>
      <c r="AN26" s="104"/>
      <c r="AO26" s="105">
        <v>35000</v>
      </c>
      <c r="AP26" s="104">
        <f>AN26*AO26</f>
      </c>
      <c r="AQ26" s="106"/>
      <c r="AR26" s="107"/>
      <c r="AS26" s="106"/>
      <c r="AT26" s="106"/>
      <c r="AU26" s="107"/>
      <c r="AV26" s="106"/>
      <c r="AW26" s="106"/>
      <c r="AX26" s="107"/>
      <c r="AY26" s="106"/>
      <c r="AZ26" s="106"/>
      <c r="BA26" s="107"/>
      <c r="BB26" s="106"/>
      <c r="BC26" s="106"/>
      <c r="BD26" s="107"/>
      <c r="BE26" s="106"/>
      <c r="BF26" s="106"/>
      <c r="BG26" s="107"/>
      <c r="BH26" s="106"/>
    </row>
    <row x14ac:dyDescent="0.25" r="27" customHeight="1" ht="34.5">
      <c r="A27" s="99">
        <v>22</v>
      </c>
      <c r="B27" s="100" t="s">
        <v>55</v>
      </c>
      <c r="C27" s="101" t="s">
        <v>56</v>
      </c>
      <c r="D27" s="114">
        <v>0.03</v>
      </c>
      <c r="E27" s="28">
        <v>20</v>
      </c>
      <c r="F27" s="103">
        <v>70000</v>
      </c>
      <c r="G27" s="28">
        <f>E27*F27*97%</f>
      </c>
      <c r="H27" s="104">
        <v>70</v>
      </c>
      <c r="I27" s="105">
        <v>89000</v>
      </c>
      <c r="J27" s="104">
        <f>H27*I27</f>
      </c>
      <c r="K27" s="102">
        <v>0.03</v>
      </c>
      <c r="L27" s="29"/>
      <c r="M27" s="103">
        <v>70000</v>
      </c>
      <c r="N27" s="29">
        <f>L27*M27*97%</f>
      </c>
      <c r="O27" s="104">
        <v>10</v>
      </c>
      <c r="P27" s="105">
        <v>89000</v>
      </c>
      <c r="Q27" s="104">
        <f>O27*P27</f>
      </c>
      <c r="R27" s="102">
        <v>0.03</v>
      </c>
      <c r="S27" s="29"/>
      <c r="T27" s="103">
        <v>70000</v>
      </c>
      <c r="U27" s="29">
        <f>S27*T27*97%</f>
      </c>
      <c r="V27" s="104">
        <v>20</v>
      </c>
      <c r="W27" s="105">
        <v>89000</v>
      </c>
      <c r="X27" s="104">
        <f>V27*W27</f>
      </c>
      <c r="Y27" s="29"/>
      <c r="Z27" s="103">
        <v>70000</v>
      </c>
      <c r="AA27" s="29">
        <f>Y27*Z27</f>
      </c>
      <c r="AB27" s="104">
        <v>40</v>
      </c>
      <c r="AC27" s="105">
        <v>89000</v>
      </c>
      <c r="AD27" s="104">
        <f>AB27*AC27</f>
      </c>
      <c r="AE27" s="29"/>
      <c r="AF27" s="103">
        <v>73500</v>
      </c>
      <c r="AG27" s="29">
        <f>AE27*AF27</f>
      </c>
      <c r="AH27" s="104">
        <v>20</v>
      </c>
      <c r="AI27" s="105">
        <v>89000</v>
      </c>
      <c r="AJ27" s="104">
        <f>AH27*AI27</f>
      </c>
      <c r="AK27" s="29">
        <v>30</v>
      </c>
      <c r="AL27" s="103">
        <v>73500</v>
      </c>
      <c r="AM27" s="29">
        <f>AK27*AL27</f>
      </c>
      <c r="AN27" s="104"/>
      <c r="AO27" s="105">
        <v>89000</v>
      </c>
      <c r="AP27" s="104">
        <f>AN27*AO27</f>
      </c>
      <c r="AQ27" s="106">
        <v>30</v>
      </c>
      <c r="AR27" s="107">
        <v>73500</v>
      </c>
      <c r="AS27" s="106">
        <f>AQ27*AR27</f>
      </c>
      <c r="AT27" s="106"/>
      <c r="AU27" s="107">
        <v>73500</v>
      </c>
      <c r="AV27" s="106">
        <f>AT27*AU27</f>
      </c>
      <c r="AW27" s="106"/>
      <c r="AX27" s="107">
        <v>81000</v>
      </c>
      <c r="AY27" s="106">
        <f>AW27*AX27</f>
      </c>
      <c r="AZ27" s="106">
        <v>40</v>
      </c>
      <c r="BA27" s="107">
        <v>89000</v>
      </c>
      <c r="BB27" s="106">
        <f>AZ27*BA27</f>
      </c>
      <c r="BC27" s="106">
        <v>80</v>
      </c>
      <c r="BD27" s="107">
        <v>89000</v>
      </c>
      <c r="BE27" s="106">
        <f>BC27*BD27</f>
      </c>
      <c r="BF27" s="106">
        <v>30</v>
      </c>
      <c r="BG27" s="107">
        <v>89000</v>
      </c>
      <c r="BH27" s="106">
        <f>BF27*BG27</f>
      </c>
    </row>
    <row x14ac:dyDescent="0.25" r="28" customHeight="1" ht="34.5">
      <c r="A28" s="32">
        <v>23</v>
      </c>
      <c r="B28" s="30" t="s">
        <v>57</v>
      </c>
      <c r="C28" s="31" t="s">
        <v>58</v>
      </c>
      <c r="D28" s="166"/>
      <c r="E28" s="28"/>
      <c r="F28" s="28"/>
      <c r="G28" s="28"/>
      <c r="H28" s="167"/>
      <c r="I28" s="103"/>
      <c r="J28" s="167"/>
      <c r="K28" s="166"/>
      <c r="L28" s="28"/>
      <c r="M28" s="28"/>
      <c r="N28" s="28"/>
      <c r="O28" s="167"/>
      <c r="P28" s="103">
        <v>90000</v>
      </c>
      <c r="Q28" s="167">
        <f>O28*P28</f>
      </c>
      <c r="R28" s="166"/>
      <c r="S28" s="28"/>
      <c r="T28" s="28"/>
      <c r="U28" s="103"/>
      <c r="V28" s="167"/>
      <c r="W28" s="103">
        <v>90000</v>
      </c>
      <c r="X28" s="167">
        <f>V28*W28</f>
      </c>
      <c r="Y28" s="28"/>
      <c r="Z28" s="28"/>
      <c r="AA28" s="103"/>
      <c r="AB28" s="167"/>
      <c r="AC28" s="103">
        <v>90000</v>
      </c>
      <c r="AD28" s="167">
        <f>AB28*AC28</f>
      </c>
      <c r="AE28" s="28"/>
      <c r="AF28" s="28"/>
      <c r="AG28" s="103"/>
      <c r="AH28" s="167"/>
      <c r="AI28" s="103">
        <v>90000</v>
      </c>
      <c r="AJ28" s="167">
        <f>AH28*AI28</f>
      </c>
      <c r="AK28" s="28"/>
      <c r="AL28" s="28"/>
      <c r="AM28" s="28"/>
      <c r="AN28" s="167"/>
      <c r="AO28" s="103">
        <v>90000</v>
      </c>
      <c r="AP28" s="167">
        <f>AN28*AO28</f>
      </c>
      <c r="AQ28" s="106"/>
      <c r="AR28" s="107"/>
      <c r="AS28" s="106"/>
      <c r="AT28" s="106"/>
      <c r="AU28" s="107"/>
      <c r="AV28" s="106"/>
      <c r="AW28" s="106"/>
      <c r="AX28" s="107"/>
      <c r="AY28" s="106"/>
      <c r="AZ28" s="106"/>
      <c r="BA28" s="107"/>
      <c r="BB28" s="106"/>
      <c r="BC28" s="106"/>
      <c r="BD28" s="107"/>
      <c r="BE28" s="106"/>
      <c r="BF28" s="106"/>
      <c r="BG28" s="107"/>
      <c r="BH28" s="106"/>
    </row>
    <row x14ac:dyDescent="0.25" r="29" customHeight="1" ht="34.5">
      <c r="A29" s="99">
        <v>24</v>
      </c>
      <c r="B29" s="100" t="s">
        <v>59</v>
      </c>
      <c r="C29" s="115" t="s">
        <v>60</v>
      </c>
      <c r="D29" s="168">
        <v>0.03</v>
      </c>
      <c r="E29" s="28"/>
      <c r="F29" s="103"/>
      <c r="G29" s="28">
        <f>E29*F29*97%</f>
      </c>
      <c r="H29" s="104">
        <v>113</v>
      </c>
      <c r="I29" s="105">
        <v>94000</v>
      </c>
      <c r="J29" s="104">
        <f>H29*I29</f>
      </c>
      <c r="K29" s="102">
        <v>0.03</v>
      </c>
      <c r="L29" s="29">
        <v>155</v>
      </c>
      <c r="M29" s="103">
        <v>72000</v>
      </c>
      <c r="N29" s="29">
        <f>L29*M29*97%</f>
      </c>
      <c r="O29" s="104">
        <v>107</v>
      </c>
      <c r="P29" s="105">
        <v>94000</v>
      </c>
      <c r="Q29" s="104">
        <f>O29*P29</f>
      </c>
      <c r="R29" s="102">
        <v>0.03</v>
      </c>
      <c r="S29" s="29">
        <v>90</v>
      </c>
      <c r="T29" s="103">
        <v>72000</v>
      </c>
      <c r="U29" s="29">
        <f>S29*T29*97%</f>
      </c>
      <c r="V29" s="104">
        <v>130</v>
      </c>
      <c r="W29" s="105">
        <v>94000</v>
      </c>
      <c r="X29" s="104">
        <f>V29*W29</f>
      </c>
      <c r="Y29" s="29">
        <v>59</v>
      </c>
      <c r="Z29" s="103">
        <v>72000</v>
      </c>
      <c r="AA29" s="29">
        <f>Y29*Z29</f>
      </c>
      <c r="AB29" s="104">
        <v>130</v>
      </c>
      <c r="AC29" s="105">
        <v>94000</v>
      </c>
      <c r="AD29" s="104">
        <f>AB29*AC29</f>
      </c>
      <c r="AE29" s="29"/>
      <c r="AF29" s="103">
        <v>75600</v>
      </c>
      <c r="AG29" s="29">
        <f>AE29*AF29</f>
      </c>
      <c r="AH29" s="104">
        <v>48</v>
      </c>
      <c r="AI29" s="105">
        <v>94000</v>
      </c>
      <c r="AJ29" s="104">
        <f>AH29*AI29</f>
      </c>
      <c r="AK29" s="29">
        <v>150</v>
      </c>
      <c r="AL29" s="103">
        <v>75600</v>
      </c>
      <c r="AM29" s="29">
        <f>AK29*AL29</f>
      </c>
      <c r="AN29" s="104">
        <v>50</v>
      </c>
      <c r="AO29" s="105">
        <v>94000</v>
      </c>
      <c r="AP29" s="104">
        <f>AN29*AO29</f>
      </c>
      <c r="AQ29" s="106">
        <v>30</v>
      </c>
      <c r="AR29" s="107">
        <v>75600</v>
      </c>
      <c r="AS29" s="106">
        <f>AQ29*AR29</f>
      </c>
      <c r="AT29" s="106">
        <v>80</v>
      </c>
      <c r="AU29" s="107">
        <v>75600</v>
      </c>
      <c r="AV29" s="106">
        <f>AT29*AU29</f>
      </c>
      <c r="AW29" s="106">
        <v>30</v>
      </c>
      <c r="AX29" s="107">
        <v>88500</v>
      </c>
      <c r="AY29" s="106">
        <f>AW29*AX29</f>
      </c>
      <c r="AZ29" s="106">
        <v>100</v>
      </c>
      <c r="BA29" s="107">
        <v>94000</v>
      </c>
      <c r="BB29" s="106">
        <f>AZ29*BA29</f>
      </c>
      <c r="BC29" s="106">
        <v>90</v>
      </c>
      <c r="BD29" s="107">
        <v>94000</v>
      </c>
      <c r="BE29" s="106">
        <f>BC29*BD29</f>
      </c>
      <c r="BF29" s="106">
        <v>100</v>
      </c>
      <c r="BG29" s="107">
        <v>94000</v>
      </c>
      <c r="BH29" s="106">
        <f>BF29*BG29</f>
      </c>
    </row>
    <row x14ac:dyDescent="0.25" r="30" customHeight="1" ht="34.5">
      <c r="A30" s="28">
        <v>25</v>
      </c>
      <c r="B30" s="30" t="s">
        <v>61</v>
      </c>
      <c r="C30" s="33" t="s">
        <v>62</v>
      </c>
      <c r="D30" s="114"/>
      <c r="E30" s="28"/>
      <c r="F30" s="103"/>
      <c r="G30" s="28"/>
      <c r="H30" s="104">
        <v>90</v>
      </c>
      <c r="I30" s="105">
        <v>46000</v>
      </c>
      <c r="J30" s="104">
        <f>H30*I30</f>
      </c>
      <c r="K30" s="114"/>
      <c r="L30" s="28"/>
      <c r="M30" s="103"/>
      <c r="N30" s="28"/>
      <c r="O30" s="104">
        <v>10</v>
      </c>
      <c r="P30" s="105">
        <v>46000</v>
      </c>
      <c r="Q30" s="104">
        <f>O30*P30</f>
      </c>
      <c r="R30" s="114"/>
      <c r="S30" s="28"/>
      <c r="T30" s="103"/>
      <c r="U30" s="28"/>
      <c r="V30" s="104">
        <v>50</v>
      </c>
      <c r="W30" s="105">
        <v>46000</v>
      </c>
      <c r="X30" s="104">
        <f>V30*W30</f>
      </c>
      <c r="Y30" s="28"/>
      <c r="Z30" s="103"/>
      <c r="AA30" s="28"/>
      <c r="AB30" s="104">
        <v>48</v>
      </c>
      <c r="AC30" s="105">
        <v>46000</v>
      </c>
      <c r="AD30" s="104">
        <f>AB30*AC30</f>
      </c>
      <c r="AE30" s="28"/>
      <c r="AF30" s="103"/>
      <c r="AG30" s="28"/>
      <c r="AH30" s="104">
        <v>52</v>
      </c>
      <c r="AI30" s="105">
        <v>46000</v>
      </c>
      <c r="AJ30" s="104">
        <f>AH30*AI30</f>
      </c>
      <c r="AK30" s="28"/>
      <c r="AL30" s="103"/>
      <c r="AM30" s="28"/>
      <c r="AN30" s="104"/>
      <c r="AO30" s="105">
        <v>46000</v>
      </c>
      <c r="AP30" s="104">
        <f>AN30*AO30</f>
      </c>
      <c r="AQ30" s="106"/>
      <c r="AR30" s="107"/>
      <c r="AS30" s="106"/>
      <c r="AT30" s="106"/>
      <c r="AU30" s="107"/>
      <c r="AV30" s="106"/>
      <c r="AW30" s="106"/>
      <c r="AX30" s="107"/>
      <c r="AY30" s="106"/>
      <c r="AZ30" s="106"/>
      <c r="BA30" s="107"/>
      <c r="BB30" s="106"/>
      <c r="BC30" s="106"/>
      <c r="BD30" s="107"/>
      <c r="BE30" s="106"/>
      <c r="BF30" s="106">
        <v>300</v>
      </c>
      <c r="BG30" s="107">
        <v>46000</v>
      </c>
      <c r="BH30" s="106">
        <f>BF30*BG30</f>
      </c>
    </row>
    <row x14ac:dyDescent="0.25" r="31" customHeight="1" ht="34.5">
      <c r="A31" s="169" t="s">
        <v>63</v>
      </c>
      <c r="B31" s="170"/>
      <c r="C31" s="171"/>
      <c r="D31" s="172"/>
      <c r="E31" s="28">
        <f>SUM(E6:E30)</f>
      </c>
      <c r="F31" s="103"/>
      <c r="G31" s="28">
        <f>SUM(G6:G30)</f>
      </c>
      <c r="H31" s="104">
        <f>SUM(H6:H30)</f>
      </c>
      <c r="I31" s="104"/>
      <c r="J31" s="104">
        <f>SUM(J6:J30)</f>
      </c>
      <c r="K31" s="173"/>
      <c r="L31" s="29">
        <f>SUM(L6:L30)</f>
      </c>
      <c r="M31" s="103"/>
      <c r="N31" s="29">
        <f>SUM(N6:N30)</f>
      </c>
      <c r="O31" s="104">
        <f>SUM(O6:O30)</f>
      </c>
      <c r="P31" s="104"/>
      <c r="Q31" s="104">
        <f>SUM(Q6:Q30)</f>
      </c>
      <c r="R31" s="173"/>
      <c r="S31" s="29">
        <f>SUM(S6:S30)</f>
      </c>
      <c r="T31" s="103"/>
      <c r="U31" s="29">
        <f>SUM(U6:U30)</f>
      </c>
      <c r="V31" s="104">
        <f>SUM(V6:V30)</f>
      </c>
      <c r="W31" s="104">
        <f>SUM(W6:W30)</f>
      </c>
      <c r="X31" s="104">
        <f>SUM(X6:X30)</f>
      </c>
      <c r="Y31" s="29">
        <f>SUM(Y6:Y30)</f>
      </c>
      <c r="Z31" s="103"/>
      <c r="AA31" s="29">
        <f>SUM(AA6:AA30)</f>
      </c>
      <c r="AB31" s="104">
        <f>SUM(AB6:AB30)</f>
      </c>
      <c r="AC31" s="104">
        <f>SUM(AC6:AC30)</f>
      </c>
      <c r="AD31" s="104">
        <f>SUM(AD6:AD30)</f>
      </c>
      <c r="AE31" s="29">
        <f>SUM(AE6:AE30)</f>
      </c>
      <c r="AF31" s="103"/>
      <c r="AG31" s="29">
        <f>SUM(AG6:AG30)</f>
      </c>
      <c r="AH31" s="104">
        <f>SUM(AH6:AH30)</f>
      </c>
      <c r="AI31" s="104"/>
      <c r="AJ31" s="104">
        <f>SUM(AJ6:AJ30)</f>
      </c>
      <c r="AK31" s="29">
        <f>SUM(AK6:AK30)</f>
      </c>
      <c r="AL31" s="103"/>
      <c r="AM31" s="29">
        <f>SUM(AM6:AM30)</f>
      </c>
      <c r="AN31" s="104">
        <f>SUM(AN6:AN30)</f>
      </c>
      <c r="AO31" s="104"/>
      <c r="AP31" s="104">
        <f>SUM(AP6:AP30)</f>
      </c>
      <c r="AQ31" s="118">
        <f>SUM(AQ6:AQ29)</f>
      </c>
      <c r="AR31" s="119"/>
      <c r="AS31" s="118">
        <f>SUM(AS6:AS29)</f>
      </c>
      <c r="AT31" s="118">
        <f>SUM(AT6:AT29)</f>
      </c>
      <c r="AU31" s="119"/>
      <c r="AV31" s="118">
        <f>SUM(AV6:AV29)</f>
      </c>
      <c r="AW31" s="118">
        <f>SUM(AW6:AW29)</f>
      </c>
      <c r="AX31" s="119"/>
      <c r="AY31" s="118">
        <f>SUM(AY6:AY29)</f>
      </c>
      <c r="AZ31" s="118">
        <f>SUM(AZ6:AZ29)</f>
      </c>
      <c r="BA31" s="119"/>
      <c r="BB31" s="118">
        <f>SUM(BB6:BB29)</f>
      </c>
      <c r="BC31" s="118">
        <f>SUM(BC6:BC29)</f>
      </c>
      <c r="BD31" s="119"/>
      <c r="BE31" s="118">
        <f>SUM(BE6:BE29)</f>
      </c>
      <c r="BF31" s="118">
        <f>SUM(BF6:BF30)</f>
      </c>
      <c r="BG31" s="119"/>
      <c r="BH31" s="118">
        <f>SUM(BH6:BH30)</f>
      </c>
    </row>
    <row x14ac:dyDescent="0.25" r="32" customHeight="1" ht="34.5">
      <c r="A32" s="1"/>
      <c r="B32" s="2"/>
      <c r="C32" s="3"/>
      <c r="D32" s="73"/>
      <c r="E32" s="74"/>
      <c r="F32" s="74"/>
      <c r="G32" s="74"/>
      <c r="H32" s="1"/>
      <c r="I32" s="1"/>
      <c r="J32" s="174"/>
      <c r="K32" s="82"/>
      <c r="L32" s="74"/>
      <c r="M32" s="74"/>
      <c r="N32" s="74"/>
      <c r="O32" s="120"/>
      <c r="P32" s="120"/>
      <c r="Q32" s="120"/>
      <c r="R32" s="82"/>
      <c r="S32" s="74"/>
      <c r="T32" s="74"/>
      <c r="U32" s="74"/>
      <c r="V32" s="1"/>
      <c r="W32" s="1"/>
      <c r="X32" s="1"/>
      <c r="Y32" s="6"/>
      <c r="Z32" s="76"/>
      <c r="AA32" s="7"/>
      <c r="AB32" s="1"/>
      <c r="AC32" s="1"/>
      <c r="AD32" s="1"/>
      <c r="AE32" s="74"/>
      <c r="AF32" s="74"/>
      <c r="AG32" s="74"/>
      <c r="AH32" s="1"/>
      <c r="AI32" s="1"/>
      <c r="AJ32" s="1"/>
      <c r="AK32" s="6"/>
      <c r="AL32" s="76"/>
      <c r="AM32" s="7"/>
      <c r="AN32" s="1"/>
      <c r="AO32" s="1"/>
      <c r="AP32" s="1"/>
      <c r="AQ32" s="121"/>
      <c r="AR32" s="122"/>
      <c r="AS32" s="12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21"/>
      <c r="BG32" s="122"/>
      <c r="BH32" s="121"/>
    </row>
    <row x14ac:dyDescent="0.25" r="33" customHeight="1" ht="34.5">
      <c r="A33" s="1"/>
      <c r="B33" s="2"/>
      <c r="C33" s="3"/>
      <c r="D33" s="73"/>
      <c r="E33" s="74"/>
      <c r="F33" s="74"/>
      <c r="G33" s="74"/>
      <c r="H33" s="1"/>
      <c r="I33" s="1"/>
      <c r="J33" s="1"/>
      <c r="K33" s="82"/>
      <c r="L33" s="79"/>
      <c r="M33" s="149"/>
      <c r="N33" s="79"/>
      <c r="O33" s="1"/>
      <c r="P33" s="1"/>
      <c r="Q33" s="1"/>
      <c r="R33" s="82"/>
      <c r="S33" s="79"/>
      <c r="T33" s="149"/>
      <c r="U33" s="79"/>
      <c r="V33" s="1"/>
      <c r="W33" s="1"/>
      <c r="X33" s="1"/>
      <c r="Y33" s="6"/>
      <c r="Z33" s="76"/>
      <c r="AA33" s="7"/>
      <c r="AB33" s="1"/>
      <c r="AC33" s="1"/>
      <c r="AD33" s="1"/>
      <c r="AE33" s="6"/>
      <c r="AF33" s="76"/>
      <c r="AG33" s="7"/>
      <c r="AH33" s="1"/>
      <c r="AI33" s="1"/>
      <c r="AJ33" s="1"/>
      <c r="AK33" s="6"/>
      <c r="AL33" s="76"/>
      <c r="AM33" s="7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x14ac:dyDescent="0.25" r="34" customHeight="1" ht="34.5">
      <c r="A34" s="1"/>
      <c r="B34" s="125"/>
      <c r="C34" s="3"/>
      <c r="D34" s="150"/>
      <c r="E34" s="4"/>
      <c r="F34" s="76"/>
      <c r="G34" s="4"/>
      <c r="H34" s="1"/>
      <c r="I34" s="1"/>
      <c r="J34" s="1"/>
      <c r="K34" s="6"/>
      <c r="L34" s="6"/>
      <c r="M34" s="76"/>
      <c r="N34" s="6"/>
      <c r="O34" s="1"/>
      <c r="P34" s="1"/>
      <c r="Q34" s="1"/>
      <c r="R34" s="6"/>
      <c r="S34" s="6"/>
      <c r="T34" s="76"/>
      <c r="U34" s="6"/>
      <c r="V34" s="1"/>
      <c r="W34" s="1"/>
      <c r="X34" s="1"/>
      <c r="Y34" s="6"/>
      <c r="Z34" s="76"/>
      <c r="AA34" s="6"/>
      <c r="AB34" s="1"/>
      <c r="AC34" s="1"/>
      <c r="AD34" s="1"/>
      <c r="AE34" s="6"/>
      <c r="AF34" s="76"/>
      <c r="AG34" s="6"/>
      <c r="AH34" s="1"/>
      <c r="AI34" s="1"/>
      <c r="AJ34" s="1"/>
      <c r="AK34" s="6"/>
      <c r="AL34" s="76"/>
      <c r="AM34" s="6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</sheetData>
  <mergeCells count="44">
    <mergeCell ref="A2:G2"/>
    <mergeCell ref="A3:A5"/>
    <mergeCell ref="B3:B5"/>
    <mergeCell ref="C3:C5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D4:D5"/>
    <mergeCell ref="E4:G4"/>
    <mergeCell ref="H4:J4"/>
    <mergeCell ref="K4:K5"/>
    <mergeCell ref="L4:N4"/>
    <mergeCell ref="O4:Q4"/>
    <mergeCell ref="R4:R5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A31:C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36"/>
  <sheetViews>
    <sheetView workbookViewId="0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127" width="6.433571428571429" customWidth="1" bestFit="1"/>
    <col min="5" max="5" style="35" width="6.862142857142857" customWidth="1" bestFit="1"/>
    <col min="6" max="6" style="35" width="8.576428571428572" customWidth="1" bestFit="1"/>
    <col min="7" max="7" style="35" width="12.719285714285713" customWidth="1" bestFit="1"/>
    <col min="8" max="8" style="35" width="6.576428571428571" customWidth="1" bestFit="1"/>
    <col min="9" max="9" style="35" width="7.862142857142857" customWidth="1" bestFit="1"/>
    <col min="10" max="10" style="35" width="12.719285714285713" customWidth="1" bestFit="1"/>
    <col min="11" max="11" style="127" width="9.290714285714287" customWidth="1" bestFit="1"/>
    <col min="12" max="12" style="35" width="6.862142857142857" customWidth="1" bestFit="1"/>
    <col min="13" max="13" style="35" width="8.576428571428572" customWidth="1" bestFit="1"/>
    <col min="14" max="14" style="35" width="12.719285714285713" customWidth="1" bestFit="1"/>
    <col min="15" max="15" style="35" width="9.147857142857141" customWidth="1" bestFit="1"/>
    <col min="16" max="16" style="35" width="9.147857142857141" customWidth="1" bestFit="1"/>
    <col min="17" max="17" style="35" width="12.719285714285713" customWidth="1" bestFit="1"/>
    <col min="18" max="18" style="127" width="9.290714285714287" customWidth="1" bestFit="1"/>
    <col min="19" max="19" style="35" width="6.862142857142857" customWidth="1" bestFit="1"/>
    <col min="20" max="20" style="35" width="8.576428571428572" customWidth="1" bestFit="1"/>
    <col min="21" max="21" style="35" width="12.719285714285713" customWidth="1" bestFit="1"/>
    <col min="22" max="22" style="35" width="9.147857142857141" customWidth="1" bestFit="1"/>
    <col min="23" max="23" style="35" width="9.147857142857141" customWidth="1" bestFit="1"/>
    <col min="24" max="24" style="35" width="12.719285714285713" customWidth="1" bestFit="1"/>
    <col min="25" max="25" style="35" width="6.862142857142857" customWidth="1" bestFit="1"/>
    <col min="26" max="26" style="35" width="8.576428571428572" customWidth="1" bestFit="1"/>
    <col min="27" max="27" style="35" width="12.719285714285713" customWidth="1" bestFit="1"/>
    <col min="28" max="28" style="35" width="9.147857142857141" customWidth="1" bestFit="1"/>
    <col min="29" max="29" style="35" width="9.147857142857141" customWidth="1" bestFit="1"/>
    <col min="30" max="30" style="35" width="12.719285714285713" customWidth="1" bestFit="1"/>
    <col min="31" max="31" style="35" width="6.862142857142857" customWidth="1" bestFit="1"/>
    <col min="32" max="32" style="35" width="8.576428571428572" customWidth="1" bestFit="1"/>
    <col min="33" max="33" style="35" width="12.719285714285713" customWidth="1" bestFit="1"/>
    <col min="34" max="34" style="35" width="9.147857142857141" customWidth="1" bestFit="1"/>
    <col min="35" max="35" style="35" width="9.147857142857141" customWidth="1" bestFit="1"/>
    <col min="36" max="36" style="35" width="12.719285714285713" customWidth="1" bestFit="1"/>
    <col min="37" max="37" style="35" width="6.862142857142857" customWidth="1" bestFit="1"/>
    <col min="38" max="38" style="35" width="8.576428571428572" customWidth="1" bestFit="1"/>
    <col min="39" max="39" style="35" width="12.719285714285713" customWidth="1" bestFit="1"/>
    <col min="40" max="40" style="35" width="9.290714285714287" customWidth="1" bestFit="1"/>
    <col min="41" max="41" style="35" width="9.290714285714287" customWidth="1" bestFit="1"/>
    <col min="42" max="42" style="35" width="12.719285714285713" customWidth="1" bestFit="1"/>
    <col min="43" max="43" style="35" width="7.433571428571429" customWidth="1" bestFit="1"/>
    <col min="44" max="44" style="35" width="8.719285714285713" customWidth="1" bestFit="1"/>
    <col min="45" max="45" style="35" width="11.290714285714287" customWidth="1" bestFit="1"/>
    <col min="46" max="46" style="35" width="7.433571428571429" customWidth="1" bestFit="1"/>
    <col min="47" max="47" style="35" width="8.719285714285713" customWidth="1" bestFit="1"/>
    <col min="48" max="48" style="35" width="11.290714285714287" customWidth="1" bestFit="1"/>
    <col min="49" max="49" style="35" width="7.433571428571429" customWidth="1" bestFit="1"/>
    <col min="50" max="50" style="35" width="8.719285714285713" customWidth="1" bestFit="1"/>
    <col min="51" max="51" style="35" width="11.290714285714287" customWidth="1" bestFit="1"/>
    <col min="52" max="52" style="35" width="7.433571428571429" customWidth="1" bestFit="1"/>
    <col min="53" max="53" style="35" width="8.719285714285713" customWidth="1" bestFit="1"/>
    <col min="54" max="54" style="35" width="11.290714285714287" customWidth="1" bestFit="1"/>
    <col min="55" max="55" style="35" width="7.433571428571429" customWidth="1" bestFit="1"/>
    <col min="56" max="56" style="35" width="8.719285714285713" customWidth="1" bestFit="1"/>
    <col min="57" max="57" style="35" width="11.290714285714287" customWidth="1" bestFit="1"/>
    <col min="58" max="58" style="35" width="7.433571428571429" customWidth="1" bestFit="1"/>
    <col min="59" max="59" style="35" width="8.719285714285713" customWidth="1" bestFit="1"/>
    <col min="60" max="60" style="35" width="11.290714285714287" customWidth="1" bestFit="1"/>
    <col min="61" max="61" style="37" width="13.576428571428572" customWidth="1" bestFit="1"/>
  </cols>
  <sheetData>
    <row x14ac:dyDescent="0.25" r="1" customHeight="1" ht="42">
      <c r="A1" s="1"/>
      <c r="B1" s="2"/>
      <c r="C1" s="3"/>
      <c r="D1" s="73"/>
      <c r="E1" s="1"/>
      <c r="F1" s="1"/>
      <c r="G1" s="129"/>
      <c r="H1" s="1"/>
      <c r="I1" s="1"/>
      <c r="J1" s="1"/>
      <c r="K1" s="130"/>
      <c r="L1" s="4"/>
      <c r="M1" s="76"/>
      <c r="N1" s="5"/>
      <c r="O1" s="1"/>
      <c r="P1" s="1"/>
      <c r="Q1" s="1"/>
      <c r="R1" s="130"/>
      <c r="S1" s="4"/>
      <c r="T1" s="76"/>
      <c r="U1" s="5"/>
      <c r="V1" s="1"/>
      <c r="W1" s="1"/>
      <c r="X1" s="1"/>
      <c r="Y1" s="4"/>
      <c r="Z1" s="76"/>
      <c r="AA1" s="5"/>
      <c r="AB1" s="1"/>
      <c r="AC1" s="1"/>
      <c r="AD1" s="1"/>
      <c r="AE1" s="131"/>
      <c r="AF1" s="78"/>
      <c r="AG1" s="131"/>
      <c r="AH1" s="1"/>
      <c r="AI1" s="1"/>
      <c r="AJ1" s="1"/>
      <c r="AK1" s="4"/>
      <c r="AL1" s="76"/>
      <c r="AM1" s="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3"/>
    </row>
    <row x14ac:dyDescent="0.25" r="2" customHeight="1" ht="42">
      <c r="A2" s="8" t="s">
        <v>86</v>
      </c>
      <c r="B2" s="9"/>
      <c r="C2" s="10"/>
      <c r="D2" s="132"/>
      <c r="E2" s="8"/>
      <c r="F2" s="8"/>
      <c r="G2" s="8"/>
      <c r="H2" s="8"/>
      <c r="I2" s="8"/>
      <c r="J2" s="8"/>
      <c r="K2" s="133"/>
      <c r="L2" s="11"/>
      <c r="M2" s="84"/>
      <c r="N2" s="11"/>
      <c r="O2" s="11"/>
      <c r="P2" s="11"/>
      <c r="Q2" s="11"/>
      <c r="R2" s="133"/>
      <c r="S2" s="11"/>
      <c r="T2" s="84"/>
      <c r="U2" s="11"/>
      <c r="V2" s="11"/>
      <c r="W2" s="11"/>
      <c r="X2" s="11"/>
      <c r="Y2" s="11"/>
      <c r="Z2" s="84"/>
      <c r="AA2" s="11"/>
      <c r="AB2" s="11"/>
      <c r="AC2" s="11"/>
      <c r="AD2" s="11"/>
      <c r="AE2" s="11"/>
      <c r="AF2" s="84"/>
      <c r="AG2" s="11"/>
      <c r="AH2" s="11"/>
      <c r="AI2" s="11"/>
      <c r="AJ2" s="11"/>
      <c r="AK2" s="11"/>
      <c r="AL2" s="84"/>
      <c r="AM2" s="11"/>
      <c r="AN2" s="11"/>
      <c r="AO2" s="11"/>
      <c r="AP2" s="11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3"/>
    </row>
    <row x14ac:dyDescent="0.25" r="3" customHeight="1" ht="42">
      <c r="A3" s="15" t="s">
        <v>2</v>
      </c>
      <c r="B3" s="16" t="s">
        <v>3</v>
      </c>
      <c r="C3" s="17" t="s">
        <v>4</v>
      </c>
      <c r="D3" s="135" t="s">
        <v>70</v>
      </c>
      <c r="E3" s="19">
        <v>44197</v>
      </c>
      <c r="F3" s="19"/>
      <c r="G3" s="19"/>
      <c r="H3" s="90">
        <v>44562</v>
      </c>
      <c r="I3" s="90"/>
      <c r="J3" s="90"/>
      <c r="K3" s="135" t="s">
        <v>70</v>
      </c>
      <c r="L3" s="19">
        <v>44228</v>
      </c>
      <c r="M3" s="19"/>
      <c r="N3" s="19"/>
      <c r="O3" s="90">
        <v>44593</v>
      </c>
      <c r="P3" s="90"/>
      <c r="Q3" s="90"/>
      <c r="R3" s="135" t="s">
        <v>70</v>
      </c>
      <c r="S3" s="19">
        <v>44256</v>
      </c>
      <c r="T3" s="19"/>
      <c r="U3" s="19"/>
      <c r="V3" s="90">
        <v>44621</v>
      </c>
      <c r="W3" s="90"/>
      <c r="X3" s="90"/>
      <c r="Y3" s="19">
        <v>44287</v>
      </c>
      <c r="Z3" s="19"/>
      <c r="AA3" s="19"/>
      <c r="AB3" s="90">
        <v>44652</v>
      </c>
      <c r="AC3" s="90"/>
      <c r="AD3" s="90"/>
      <c r="AE3" s="19">
        <v>44317</v>
      </c>
      <c r="AF3" s="19"/>
      <c r="AG3" s="19"/>
      <c r="AH3" s="90">
        <v>44682</v>
      </c>
      <c r="AI3" s="90"/>
      <c r="AJ3" s="90"/>
      <c r="AK3" s="19">
        <v>44348</v>
      </c>
      <c r="AL3" s="19"/>
      <c r="AM3" s="19"/>
      <c r="AN3" s="90">
        <v>44713</v>
      </c>
      <c r="AO3" s="90"/>
      <c r="AP3" s="90"/>
      <c r="AQ3" s="91">
        <v>44378</v>
      </c>
      <c r="AR3" s="91"/>
      <c r="AS3" s="91"/>
      <c r="AT3" s="91">
        <v>44409</v>
      </c>
      <c r="AU3" s="91"/>
      <c r="AV3" s="91"/>
      <c r="AW3" s="91">
        <v>44440</v>
      </c>
      <c r="AX3" s="91"/>
      <c r="AY3" s="91"/>
      <c r="AZ3" s="91">
        <v>44470</v>
      </c>
      <c r="BA3" s="91"/>
      <c r="BB3" s="91"/>
      <c r="BC3" s="91">
        <v>44501</v>
      </c>
      <c r="BD3" s="91"/>
      <c r="BE3" s="91"/>
      <c r="BF3" s="91">
        <v>44531</v>
      </c>
      <c r="BG3" s="91"/>
      <c r="BH3" s="91"/>
      <c r="BI3" s="3"/>
    </row>
    <row x14ac:dyDescent="0.25" r="4" customHeight="1" ht="42">
      <c r="A4" s="18"/>
      <c r="B4" s="18"/>
      <c r="C4" s="22"/>
      <c r="D4" s="136"/>
      <c r="E4" s="18" t="s">
        <v>9</v>
      </c>
      <c r="F4" s="18"/>
      <c r="G4" s="18"/>
      <c r="H4" s="94" t="s">
        <v>9</v>
      </c>
      <c r="I4" s="94"/>
      <c r="J4" s="94"/>
      <c r="K4" s="136"/>
      <c r="L4" s="18" t="s">
        <v>9</v>
      </c>
      <c r="M4" s="18"/>
      <c r="N4" s="18"/>
      <c r="O4" s="94" t="s">
        <v>9</v>
      </c>
      <c r="P4" s="94"/>
      <c r="Q4" s="94"/>
      <c r="R4" s="136"/>
      <c r="S4" s="137" t="s">
        <v>9</v>
      </c>
      <c r="T4" s="138"/>
      <c r="U4" s="139"/>
      <c r="V4" s="94" t="s">
        <v>9</v>
      </c>
      <c r="W4" s="94"/>
      <c r="X4" s="94"/>
      <c r="Y4" s="137" t="s">
        <v>9</v>
      </c>
      <c r="Z4" s="138"/>
      <c r="AA4" s="139"/>
      <c r="AB4" s="94" t="s">
        <v>9</v>
      </c>
      <c r="AC4" s="94"/>
      <c r="AD4" s="94"/>
      <c r="AE4" s="137" t="s">
        <v>9</v>
      </c>
      <c r="AF4" s="138"/>
      <c r="AG4" s="139"/>
      <c r="AH4" s="94" t="s">
        <v>9</v>
      </c>
      <c r="AI4" s="94"/>
      <c r="AJ4" s="94"/>
      <c r="AK4" s="137" t="s">
        <v>9</v>
      </c>
      <c r="AL4" s="138"/>
      <c r="AM4" s="139"/>
      <c r="AN4" s="94" t="s">
        <v>9</v>
      </c>
      <c r="AO4" s="94"/>
      <c r="AP4" s="94"/>
      <c r="AQ4" s="95" t="s">
        <v>9</v>
      </c>
      <c r="AR4" s="95"/>
      <c r="AS4" s="95"/>
      <c r="AT4" s="95" t="s">
        <v>9</v>
      </c>
      <c r="AU4" s="95"/>
      <c r="AV4" s="95"/>
      <c r="AW4" s="95" t="s">
        <v>9</v>
      </c>
      <c r="AX4" s="95"/>
      <c r="AY4" s="95"/>
      <c r="AZ4" s="95" t="s">
        <v>9</v>
      </c>
      <c r="BA4" s="95"/>
      <c r="BB4" s="95"/>
      <c r="BC4" s="95" t="s">
        <v>9</v>
      </c>
      <c r="BD4" s="95"/>
      <c r="BE4" s="95"/>
      <c r="BF4" s="140" t="s">
        <v>9</v>
      </c>
      <c r="BG4" s="141"/>
      <c r="BH4" s="142"/>
      <c r="BI4" s="3"/>
    </row>
    <row x14ac:dyDescent="0.25" r="5" customHeight="1" ht="42">
      <c r="A5" s="18"/>
      <c r="B5" s="18"/>
      <c r="C5" s="22"/>
      <c r="D5" s="136"/>
      <c r="E5" s="18" t="s">
        <v>11</v>
      </c>
      <c r="F5" s="97" t="s">
        <v>71</v>
      </c>
      <c r="G5" s="18" t="s">
        <v>12</v>
      </c>
      <c r="H5" s="94" t="s">
        <v>11</v>
      </c>
      <c r="I5" s="98" t="s">
        <v>71</v>
      </c>
      <c r="J5" s="94" t="s">
        <v>12</v>
      </c>
      <c r="K5" s="136"/>
      <c r="L5" s="18" t="s">
        <v>11</v>
      </c>
      <c r="M5" s="97" t="s">
        <v>71</v>
      </c>
      <c r="N5" s="18" t="s">
        <v>12</v>
      </c>
      <c r="O5" s="94" t="s">
        <v>11</v>
      </c>
      <c r="P5" s="98" t="s">
        <v>71</v>
      </c>
      <c r="Q5" s="94" t="s">
        <v>12</v>
      </c>
      <c r="R5" s="136"/>
      <c r="S5" s="18" t="s">
        <v>11</v>
      </c>
      <c r="T5" s="97" t="s">
        <v>71</v>
      </c>
      <c r="U5" s="18" t="s">
        <v>12</v>
      </c>
      <c r="V5" s="94" t="s">
        <v>11</v>
      </c>
      <c r="W5" s="98" t="s">
        <v>71</v>
      </c>
      <c r="X5" s="94" t="s">
        <v>12</v>
      </c>
      <c r="Y5" s="18" t="s">
        <v>11</v>
      </c>
      <c r="Z5" s="97" t="s">
        <v>71</v>
      </c>
      <c r="AA5" s="18" t="s">
        <v>12</v>
      </c>
      <c r="AB5" s="94" t="s">
        <v>11</v>
      </c>
      <c r="AC5" s="98" t="s">
        <v>71</v>
      </c>
      <c r="AD5" s="94" t="s">
        <v>12</v>
      </c>
      <c r="AE5" s="18" t="s">
        <v>11</v>
      </c>
      <c r="AF5" s="97" t="s">
        <v>71</v>
      </c>
      <c r="AG5" s="18" t="s">
        <v>12</v>
      </c>
      <c r="AH5" s="94" t="s">
        <v>11</v>
      </c>
      <c r="AI5" s="98" t="s">
        <v>71</v>
      </c>
      <c r="AJ5" s="94" t="s">
        <v>12</v>
      </c>
      <c r="AK5" s="18" t="s">
        <v>11</v>
      </c>
      <c r="AL5" s="97" t="s">
        <v>71</v>
      </c>
      <c r="AM5" s="18" t="s">
        <v>12</v>
      </c>
      <c r="AN5" s="94" t="s">
        <v>11</v>
      </c>
      <c r="AO5" s="98" t="s">
        <v>71</v>
      </c>
      <c r="AP5" s="94" t="s">
        <v>12</v>
      </c>
      <c r="AQ5" s="95" t="s">
        <v>11</v>
      </c>
      <c r="AR5" s="97" t="s">
        <v>71</v>
      </c>
      <c r="AS5" s="95" t="s">
        <v>12</v>
      </c>
      <c r="AT5" s="95" t="s">
        <v>11</v>
      </c>
      <c r="AU5" s="97" t="s">
        <v>71</v>
      </c>
      <c r="AV5" s="95" t="s">
        <v>12</v>
      </c>
      <c r="AW5" s="95" t="s">
        <v>11</v>
      </c>
      <c r="AX5" s="97" t="s">
        <v>71</v>
      </c>
      <c r="AY5" s="95" t="s">
        <v>12</v>
      </c>
      <c r="AZ5" s="95" t="s">
        <v>11</v>
      </c>
      <c r="BA5" s="97" t="s">
        <v>71</v>
      </c>
      <c r="BB5" s="95" t="s">
        <v>12</v>
      </c>
      <c r="BC5" s="95" t="s">
        <v>11</v>
      </c>
      <c r="BD5" s="97" t="s">
        <v>71</v>
      </c>
      <c r="BE5" s="95" t="s">
        <v>12</v>
      </c>
      <c r="BF5" s="95" t="s">
        <v>11</v>
      </c>
      <c r="BG5" s="97" t="s">
        <v>71</v>
      </c>
      <c r="BH5" s="95" t="s">
        <v>12</v>
      </c>
      <c r="BI5" s="3"/>
    </row>
    <row x14ac:dyDescent="0.25" r="6" customHeight="1" ht="42">
      <c r="A6" s="25">
        <v>1</v>
      </c>
      <c r="B6" s="26" t="s">
        <v>13</v>
      </c>
      <c r="C6" s="27" t="s">
        <v>14</v>
      </c>
      <c r="D6" s="114">
        <v>0.03</v>
      </c>
      <c r="E6" s="28">
        <v>1336</v>
      </c>
      <c r="F6" s="103">
        <v>33500</v>
      </c>
      <c r="G6" s="28">
        <f>E6*F6*97%</f>
      </c>
      <c r="H6" s="143">
        <v>1497</v>
      </c>
      <c r="I6" s="105">
        <v>44000</v>
      </c>
      <c r="J6" s="104">
        <f>H6*I6</f>
      </c>
      <c r="K6" s="114">
        <v>0.03</v>
      </c>
      <c r="L6" s="28">
        <v>540</v>
      </c>
      <c r="M6" s="103">
        <v>33500</v>
      </c>
      <c r="N6" s="28">
        <f>M6*L6*97%</f>
      </c>
      <c r="O6" s="143">
        <v>700</v>
      </c>
      <c r="P6" s="105">
        <v>44000</v>
      </c>
      <c r="Q6" s="104">
        <f>O6*P6</f>
      </c>
      <c r="R6" s="114">
        <v>0.03</v>
      </c>
      <c r="S6" s="28">
        <v>1113</v>
      </c>
      <c r="T6" s="103">
        <v>33500</v>
      </c>
      <c r="U6" s="28">
        <f>S6*T6*97%</f>
      </c>
      <c r="V6" s="143">
        <v>1245</v>
      </c>
      <c r="W6" s="105">
        <v>44000</v>
      </c>
      <c r="X6" s="104">
        <f>V6*W6</f>
      </c>
      <c r="Y6" s="28">
        <v>1350</v>
      </c>
      <c r="Z6" s="103">
        <v>33500</v>
      </c>
      <c r="AA6" s="28">
        <f>Y6*Z6</f>
      </c>
      <c r="AB6" s="143">
        <v>555</v>
      </c>
      <c r="AC6" s="105">
        <v>44000</v>
      </c>
      <c r="AD6" s="104">
        <f>AB6*AC6</f>
      </c>
      <c r="AE6" s="28">
        <v>1690</v>
      </c>
      <c r="AF6" s="103">
        <v>35200</v>
      </c>
      <c r="AG6" s="28">
        <f>AE6*AF6</f>
      </c>
      <c r="AH6" s="143">
        <v>957</v>
      </c>
      <c r="AI6" s="105">
        <v>44000</v>
      </c>
      <c r="AJ6" s="104">
        <f>AH6*AI6</f>
      </c>
      <c r="AK6" s="28">
        <v>920</v>
      </c>
      <c r="AL6" s="103">
        <v>35200</v>
      </c>
      <c r="AM6" s="28">
        <f>AK6*AL6</f>
      </c>
      <c r="AN6" s="143">
        <f>1135+350</f>
      </c>
      <c r="AO6" s="109" t="s">
        <v>87</v>
      </c>
      <c r="AP6" s="104">
        <f>49940000+16100000</f>
      </c>
      <c r="AQ6" s="106">
        <v>690</v>
      </c>
      <c r="AR6" s="107">
        <v>35200</v>
      </c>
      <c r="AS6" s="106">
        <f>AQ6*AR6</f>
      </c>
      <c r="AT6" s="106">
        <f>517+200</f>
      </c>
      <c r="AU6" s="108" t="s">
        <v>88</v>
      </c>
      <c r="AV6" s="106">
        <f>18198400+7800000</f>
      </c>
      <c r="AW6" s="106">
        <f>650+450</f>
      </c>
      <c r="AX6" s="108" t="s">
        <v>72</v>
      </c>
      <c r="AY6" s="106">
        <f>25350000+18450000</f>
      </c>
      <c r="AZ6" s="106">
        <v>600</v>
      </c>
      <c r="BA6" s="107">
        <v>44000</v>
      </c>
      <c r="BB6" s="106">
        <f>AZ6*BA6</f>
      </c>
      <c r="BC6" s="106">
        <v>1500</v>
      </c>
      <c r="BD6" s="107">
        <v>44000</v>
      </c>
      <c r="BE6" s="106">
        <f>BC6*BD6</f>
      </c>
      <c r="BF6" s="106">
        <v>1400</v>
      </c>
      <c r="BG6" s="107">
        <v>44000</v>
      </c>
      <c r="BH6" s="106">
        <f>BF6*BG6</f>
      </c>
      <c r="BI6" s="3"/>
    </row>
    <row x14ac:dyDescent="0.25" r="7" customHeight="1" ht="42">
      <c r="A7" s="25">
        <v>2</v>
      </c>
      <c r="B7" s="26" t="s">
        <v>15</v>
      </c>
      <c r="C7" s="27" t="s">
        <v>16</v>
      </c>
      <c r="D7" s="114">
        <v>0.03</v>
      </c>
      <c r="E7" s="28">
        <v>790</v>
      </c>
      <c r="F7" s="103">
        <v>37000</v>
      </c>
      <c r="G7" s="28">
        <f>E7*F7*97%</f>
      </c>
      <c r="H7" s="143">
        <v>1258</v>
      </c>
      <c r="I7" s="105">
        <v>48000</v>
      </c>
      <c r="J7" s="104">
        <f>H7*I7</f>
      </c>
      <c r="K7" s="114">
        <v>0.03</v>
      </c>
      <c r="L7" s="28">
        <v>680</v>
      </c>
      <c r="M7" s="103">
        <v>37000</v>
      </c>
      <c r="N7" s="28">
        <f>M7*L7*97%</f>
      </c>
      <c r="O7" s="143">
        <v>1292</v>
      </c>
      <c r="P7" s="105">
        <v>48000</v>
      </c>
      <c r="Q7" s="104">
        <f>O7*P7</f>
      </c>
      <c r="R7" s="114">
        <v>0.03</v>
      </c>
      <c r="S7" s="28">
        <v>975</v>
      </c>
      <c r="T7" s="103">
        <v>37000</v>
      </c>
      <c r="U7" s="28">
        <f>S7*T7*97%</f>
      </c>
      <c r="V7" s="143">
        <v>1500</v>
      </c>
      <c r="W7" s="105">
        <v>48000</v>
      </c>
      <c r="X7" s="104">
        <f>V7*W7</f>
      </c>
      <c r="Y7" s="28">
        <v>1565</v>
      </c>
      <c r="Z7" s="103">
        <v>37000</v>
      </c>
      <c r="AA7" s="28">
        <f>Y7*Z7</f>
      </c>
      <c r="AB7" s="143">
        <v>792</v>
      </c>
      <c r="AC7" s="105">
        <v>48000</v>
      </c>
      <c r="AD7" s="104">
        <f>AB7*AC7</f>
      </c>
      <c r="AE7" s="28">
        <v>1530</v>
      </c>
      <c r="AF7" s="103">
        <v>38900</v>
      </c>
      <c r="AG7" s="28">
        <f>AE7*AF7</f>
      </c>
      <c r="AH7" s="143">
        <v>917</v>
      </c>
      <c r="AI7" s="105">
        <v>48000</v>
      </c>
      <c r="AJ7" s="104">
        <f>AH7*AI7</f>
      </c>
      <c r="AK7" s="28">
        <v>1205</v>
      </c>
      <c r="AL7" s="103">
        <v>38900</v>
      </c>
      <c r="AM7" s="28">
        <f>AK7*AL7</f>
      </c>
      <c r="AN7" s="143">
        <f>1085+240</f>
      </c>
      <c r="AO7" s="109" t="s">
        <v>73</v>
      </c>
      <c r="AP7" s="104">
        <f>52080000+12000000</f>
      </c>
      <c r="AQ7" s="106">
        <v>730</v>
      </c>
      <c r="AR7" s="107">
        <v>38900</v>
      </c>
      <c r="AS7" s="106">
        <f>AQ7*AR7</f>
      </c>
      <c r="AT7" s="106">
        <f>670+200</f>
      </c>
      <c r="AU7" s="108" t="s">
        <v>89</v>
      </c>
      <c r="AV7" s="106">
        <f>26063000+8600000</f>
      </c>
      <c r="AW7" s="106">
        <f>850+600</f>
      </c>
      <c r="AX7" s="108" t="s">
        <v>74</v>
      </c>
      <c r="AY7" s="106">
        <f>36550000+27300000</f>
      </c>
      <c r="AZ7" s="106">
        <v>700</v>
      </c>
      <c r="BA7" s="107">
        <v>48000</v>
      </c>
      <c r="BB7" s="106">
        <f>AZ7*BA7</f>
      </c>
      <c r="BC7" s="106">
        <v>1814</v>
      </c>
      <c r="BD7" s="107">
        <v>48000</v>
      </c>
      <c r="BE7" s="106">
        <f>BC7*BD7</f>
      </c>
      <c r="BF7" s="106">
        <v>1450</v>
      </c>
      <c r="BG7" s="107">
        <v>48000</v>
      </c>
      <c r="BH7" s="106">
        <f>BF7*BG7</f>
      </c>
      <c r="BI7" s="3"/>
    </row>
    <row x14ac:dyDescent="0.25" r="8" customHeight="1" ht="42">
      <c r="A8" s="25">
        <v>3</v>
      </c>
      <c r="B8" s="26" t="s">
        <v>17</v>
      </c>
      <c r="C8" s="27" t="s">
        <v>18</v>
      </c>
      <c r="D8" s="114">
        <v>0.03</v>
      </c>
      <c r="E8" s="28">
        <v>300</v>
      </c>
      <c r="F8" s="103">
        <v>38000</v>
      </c>
      <c r="G8" s="28">
        <f>E8*F8*97%</f>
      </c>
      <c r="H8" s="143">
        <v>658</v>
      </c>
      <c r="I8" s="105">
        <v>49000</v>
      </c>
      <c r="J8" s="104">
        <f>H8*I8</f>
      </c>
      <c r="K8" s="114">
        <v>0.03</v>
      </c>
      <c r="L8" s="28"/>
      <c r="M8" s="103">
        <v>38000</v>
      </c>
      <c r="N8" s="28">
        <f>M8*L8*97%</f>
      </c>
      <c r="O8" s="143">
        <f>416+12</f>
      </c>
      <c r="P8" s="109" t="s">
        <v>90</v>
      </c>
      <c r="Q8" s="104">
        <f>20384000+420000</f>
      </c>
      <c r="R8" s="114">
        <v>0.03</v>
      </c>
      <c r="S8" s="28"/>
      <c r="T8" s="103">
        <v>38000</v>
      </c>
      <c r="U8" s="28">
        <f>S8*T8*97%</f>
      </c>
      <c r="V8" s="143">
        <v>81</v>
      </c>
      <c r="W8" s="105">
        <v>49000</v>
      </c>
      <c r="X8" s="104">
        <f>V8*W8</f>
      </c>
      <c r="Y8" s="28">
        <v>380</v>
      </c>
      <c r="Z8" s="103">
        <v>38000</v>
      </c>
      <c r="AA8" s="28">
        <f>Y8*Z8</f>
      </c>
      <c r="AB8" s="143">
        <v>600</v>
      </c>
      <c r="AC8" s="105">
        <v>49000</v>
      </c>
      <c r="AD8" s="104">
        <f>AB8*AC8</f>
      </c>
      <c r="AE8" s="28">
        <v>450</v>
      </c>
      <c r="AF8" s="103">
        <v>39900</v>
      </c>
      <c r="AG8" s="28">
        <f>AE8*AF8</f>
      </c>
      <c r="AH8" s="143"/>
      <c r="AI8" s="105">
        <v>49000</v>
      </c>
      <c r="AJ8" s="104">
        <f>AH8*AI8</f>
      </c>
      <c r="AK8" s="28">
        <v>150</v>
      </c>
      <c r="AL8" s="103">
        <v>39900</v>
      </c>
      <c r="AM8" s="28">
        <f>AK8*AL8</f>
      </c>
      <c r="AN8" s="143">
        <v>100</v>
      </c>
      <c r="AO8" s="105">
        <v>49000</v>
      </c>
      <c r="AP8" s="104">
        <f>AN8*AO8</f>
      </c>
      <c r="AQ8" s="106">
        <v>180</v>
      </c>
      <c r="AR8" s="107">
        <v>39900</v>
      </c>
      <c r="AS8" s="106">
        <f>AQ8*AR8</f>
      </c>
      <c r="AT8" s="106">
        <v>240</v>
      </c>
      <c r="AU8" s="107">
        <v>39900</v>
      </c>
      <c r="AV8" s="106">
        <f>AT8*AU8</f>
      </c>
      <c r="AW8" s="106">
        <f>50+150</f>
      </c>
      <c r="AX8" s="108" t="s">
        <v>91</v>
      </c>
      <c r="AY8" s="106">
        <f>2200000+6975000</f>
      </c>
      <c r="AZ8" s="106"/>
      <c r="BA8" s="107">
        <v>49000</v>
      </c>
      <c r="BB8" s="106">
        <f>AZ8*BA8</f>
      </c>
      <c r="BC8" s="106">
        <v>300</v>
      </c>
      <c r="BD8" s="107">
        <v>49000</v>
      </c>
      <c r="BE8" s="106">
        <f>BC8*BD8</f>
      </c>
      <c r="BF8" s="106">
        <v>928</v>
      </c>
      <c r="BG8" s="107">
        <v>49000</v>
      </c>
      <c r="BH8" s="106">
        <f>BF8*BG8</f>
      </c>
      <c r="BI8" s="3"/>
    </row>
    <row x14ac:dyDescent="0.25" r="9" customHeight="1" ht="42">
      <c r="A9" s="25">
        <v>4</v>
      </c>
      <c r="B9" s="26" t="s">
        <v>19</v>
      </c>
      <c r="C9" s="27" t="s">
        <v>20</v>
      </c>
      <c r="D9" s="114">
        <v>0.03</v>
      </c>
      <c r="E9" s="28">
        <v>675</v>
      </c>
      <c r="F9" s="103">
        <v>40000</v>
      </c>
      <c r="G9" s="28">
        <f>E9*F9*97%</f>
      </c>
      <c r="H9" s="143">
        <v>1871</v>
      </c>
      <c r="I9" s="105">
        <v>54500</v>
      </c>
      <c r="J9" s="104">
        <f>H9*I9</f>
      </c>
      <c r="K9" s="114">
        <v>0.03</v>
      </c>
      <c r="L9" s="28">
        <v>620</v>
      </c>
      <c r="M9" s="103">
        <v>40000</v>
      </c>
      <c r="N9" s="28">
        <f>M9*L9*97%</f>
      </c>
      <c r="O9" s="143">
        <v>1063</v>
      </c>
      <c r="P9" s="105">
        <v>54500</v>
      </c>
      <c r="Q9" s="104">
        <f>O9*P9</f>
      </c>
      <c r="R9" s="114">
        <v>0.03</v>
      </c>
      <c r="S9" s="28">
        <v>850</v>
      </c>
      <c r="T9" s="103">
        <v>40000</v>
      </c>
      <c r="U9" s="28">
        <f>S9*T9*97%</f>
      </c>
      <c r="V9" s="143">
        <v>1019</v>
      </c>
      <c r="W9" s="105">
        <v>54500</v>
      </c>
      <c r="X9" s="104">
        <f>V9*W9</f>
      </c>
      <c r="Y9" s="28">
        <f>740-10-15</f>
      </c>
      <c r="Z9" s="103">
        <v>40000</v>
      </c>
      <c r="AA9" s="28">
        <f>Y9*Z9</f>
      </c>
      <c r="AB9" s="143">
        <v>647</v>
      </c>
      <c r="AC9" s="105">
        <v>54500</v>
      </c>
      <c r="AD9" s="104">
        <f>AB9*AC9</f>
      </c>
      <c r="AE9" s="28">
        <v>862</v>
      </c>
      <c r="AF9" s="103">
        <v>42000</v>
      </c>
      <c r="AG9" s="28">
        <f>AE9*AF9</f>
      </c>
      <c r="AH9" s="143">
        <v>620</v>
      </c>
      <c r="AI9" s="105">
        <v>54500</v>
      </c>
      <c r="AJ9" s="104">
        <f>AH9*AI9</f>
      </c>
      <c r="AK9" s="28">
        <v>1506</v>
      </c>
      <c r="AL9" s="103">
        <v>42000</v>
      </c>
      <c r="AM9" s="28">
        <f>AK9*AL9</f>
      </c>
      <c r="AN9" s="143">
        <f>698+160</f>
      </c>
      <c r="AO9" s="109" t="s">
        <v>75</v>
      </c>
      <c r="AP9" s="104">
        <f>38041000+9120000</f>
      </c>
      <c r="AQ9" s="106">
        <v>1042</v>
      </c>
      <c r="AR9" s="107">
        <v>42000</v>
      </c>
      <c r="AS9" s="106">
        <f>AQ9*AR9</f>
      </c>
      <c r="AT9" s="106">
        <f>530+200</f>
      </c>
      <c r="AU9" s="108" t="s">
        <v>92</v>
      </c>
      <c r="AV9" s="106">
        <f>22260000+9400000</f>
      </c>
      <c r="AW9" s="106">
        <f>900+740</f>
      </c>
      <c r="AX9" s="108" t="s">
        <v>76</v>
      </c>
      <c r="AY9" s="106">
        <f>42300000+36630000</f>
      </c>
      <c r="AZ9" s="106">
        <v>700</v>
      </c>
      <c r="BA9" s="107">
        <v>54500</v>
      </c>
      <c r="BB9" s="106">
        <f>AZ9*BA9</f>
      </c>
      <c r="BC9" s="106">
        <v>1600</v>
      </c>
      <c r="BD9" s="107">
        <v>54500</v>
      </c>
      <c r="BE9" s="106">
        <f>BC9*BD9</f>
      </c>
      <c r="BF9" s="106">
        <v>1550</v>
      </c>
      <c r="BG9" s="107">
        <v>54500</v>
      </c>
      <c r="BH9" s="106">
        <f>BF9*BG9</f>
      </c>
      <c r="BI9" s="3"/>
    </row>
    <row x14ac:dyDescent="0.25" r="10" customHeight="1" ht="42">
      <c r="A10" s="25">
        <v>5</v>
      </c>
      <c r="B10" s="26" t="s">
        <v>21</v>
      </c>
      <c r="C10" s="27" t="s">
        <v>22</v>
      </c>
      <c r="D10" s="114">
        <v>0.03</v>
      </c>
      <c r="E10" s="28">
        <v>380</v>
      </c>
      <c r="F10" s="103">
        <v>51000</v>
      </c>
      <c r="G10" s="28">
        <f>E10*F10*97%</f>
      </c>
      <c r="H10" s="143">
        <v>350</v>
      </c>
      <c r="I10" s="105">
        <v>65000</v>
      </c>
      <c r="J10" s="104">
        <f>H10*I10</f>
      </c>
      <c r="K10" s="114">
        <v>0.03</v>
      </c>
      <c r="L10" s="28">
        <v>100</v>
      </c>
      <c r="M10" s="103">
        <v>51000</v>
      </c>
      <c r="N10" s="28">
        <f>M10*L10*97%</f>
      </c>
      <c r="O10" s="143">
        <v>450</v>
      </c>
      <c r="P10" s="105">
        <v>65000</v>
      </c>
      <c r="Q10" s="104">
        <f>O10*P10</f>
      </c>
      <c r="R10" s="114">
        <v>0.03</v>
      </c>
      <c r="S10" s="28">
        <v>275</v>
      </c>
      <c r="T10" s="103">
        <v>51000</v>
      </c>
      <c r="U10" s="28">
        <f>S10*T10*97%</f>
      </c>
      <c r="V10" s="143">
        <v>450</v>
      </c>
      <c r="W10" s="105">
        <v>65000</v>
      </c>
      <c r="X10" s="104">
        <f>V10*W10</f>
      </c>
      <c r="Y10" s="28">
        <v>275</v>
      </c>
      <c r="Z10" s="103">
        <v>51000</v>
      </c>
      <c r="AA10" s="28">
        <f>Y10*Z10</f>
      </c>
      <c r="AB10" s="143">
        <v>300</v>
      </c>
      <c r="AC10" s="105">
        <v>65000</v>
      </c>
      <c r="AD10" s="104">
        <f>AB10*AC10</f>
      </c>
      <c r="AE10" s="28">
        <v>630</v>
      </c>
      <c r="AF10" s="103">
        <v>53600</v>
      </c>
      <c r="AG10" s="28">
        <f>AE10*AF10</f>
      </c>
      <c r="AH10" s="143">
        <v>495</v>
      </c>
      <c r="AI10" s="105">
        <v>65000</v>
      </c>
      <c r="AJ10" s="104">
        <f>AH10*AI10</f>
      </c>
      <c r="AK10" s="28">
        <v>140</v>
      </c>
      <c r="AL10" s="103">
        <v>53600</v>
      </c>
      <c r="AM10" s="28">
        <f>AK10*AL10</f>
      </c>
      <c r="AN10" s="143">
        <f>155+295</f>
      </c>
      <c r="AO10" s="109" t="s">
        <v>77</v>
      </c>
      <c r="AP10" s="104">
        <f>10075000+20060000</f>
      </c>
      <c r="AQ10" s="106">
        <v>230</v>
      </c>
      <c r="AR10" s="107">
        <v>53600</v>
      </c>
      <c r="AS10" s="106">
        <f>AQ10*AR10</f>
      </c>
      <c r="AT10" s="106">
        <f>150+100</f>
      </c>
      <c r="AU10" s="108" t="s">
        <v>93</v>
      </c>
      <c r="AV10" s="106">
        <f>8040000+5900000</f>
      </c>
      <c r="AW10" s="106">
        <f>250+250</f>
      </c>
      <c r="AX10" s="108" t="s">
        <v>94</v>
      </c>
      <c r="AY10" s="106">
        <f>14750000+15500000</f>
      </c>
      <c r="AZ10" s="106">
        <v>200</v>
      </c>
      <c r="BA10" s="107">
        <v>65000</v>
      </c>
      <c r="BB10" s="106">
        <f>AZ10*BA10</f>
      </c>
      <c r="BC10" s="106">
        <v>450</v>
      </c>
      <c r="BD10" s="107">
        <v>65000</v>
      </c>
      <c r="BE10" s="106">
        <f>BC10*BD10</f>
      </c>
      <c r="BF10" s="106">
        <v>400</v>
      </c>
      <c r="BG10" s="107">
        <v>65000</v>
      </c>
      <c r="BH10" s="106">
        <f>BF10*BG10</f>
      </c>
      <c r="BI10" s="3"/>
    </row>
    <row x14ac:dyDescent="0.25" r="11" customHeight="1" ht="42">
      <c r="A11" s="25">
        <v>6</v>
      </c>
      <c r="B11" s="26" t="s">
        <v>23</v>
      </c>
      <c r="C11" s="27" t="s">
        <v>24</v>
      </c>
      <c r="D11" s="114">
        <v>0.03</v>
      </c>
      <c r="E11" s="28">
        <v>319</v>
      </c>
      <c r="F11" s="103">
        <v>52000</v>
      </c>
      <c r="G11" s="28">
        <f>E11*F11*97%</f>
      </c>
      <c r="H11" s="143">
        <v>398</v>
      </c>
      <c r="I11" s="105">
        <v>67000</v>
      </c>
      <c r="J11" s="104">
        <f>H11*I11</f>
      </c>
      <c r="K11" s="114">
        <v>0.03</v>
      </c>
      <c r="L11" s="28">
        <v>170</v>
      </c>
      <c r="M11" s="103">
        <v>52000</v>
      </c>
      <c r="N11" s="28">
        <f>M11*L11*97%</f>
      </c>
      <c r="O11" s="143">
        <v>547</v>
      </c>
      <c r="P11" s="105">
        <v>67000</v>
      </c>
      <c r="Q11" s="104">
        <f>O11*P11</f>
      </c>
      <c r="R11" s="114">
        <v>0.03</v>
      </c>
      <c r="S11" s="28">
        <v>661</v>
      </c>
      <c r="T11" s="103">
        <v>52000</v>
      </c>
      <c r="U11" s="28">
        <f>S11*T11*97%</f>
      </c>
      <c r="V11" s="143">
        <v>748</v>
      </c>
      <c r="W11" s="105">
        <v>67000</v>
      </c>
      <c r="X11" s="104">
        <f>V11*W11</f>
      </c>
      <c r="Y11" s="28">
        <v>571</v>
      </c>
      <c r="Z11" s="103">
        <v>52000</v>
      </c>
      <c r="AA11" s="28">
        <f>Y11*Z11</f>
      </c>
      <c r="AB11" s="143">
        <v>346</v>
      </c>
      <c r="AC11" s="105">
        <v>67000</v>
      </c>
      <c r="AD11" s="104">
        <f>AB11*AC11</f>
      </c>
      <c r="AE11" s="28"/>
      <c r="AF11" s="103">
        <v>54600</v>
      </c>
      <c r="AG11" s="28">
        <f>AE11*AF11</f>
      </c>
      <c r="AH11" s="143">
        <v>942</v>
      </c>
      <c r="AI11" s="105">
        <v>67000</v>
      </c>
      <c r="AJ11" s="104">
        <f>AH11*AI11</f>
      </c>
      <c r="AK11" s="28">
        <v>769</v>
      </c>
      <c r="AL11" s="103">
        <v>54600</v>
      </c>
      <c r="AM11" s="28">
        <f>AK11*AL11</f>
      </c>
      <c r="AN11" s="143">
        <f>282+220</f>
      </c>
      <c r="AO11" s="109" t="s">
        <v>95</v>
      </c>
      <c r="AP11" s="104">
        <f>18894000+15620000</f>
      </c>
      <c r="AQ11" s="106">
        <v>340</v>
      </c>
      <c r="AR11" s="107">
        <v>54600</v>
      </c>
      <c r="AS11" s="106">
        <f>AQ11*AR11</f>
      </c>
      <c r="AT11" s="106">
        <v>320</v>
      </c>
      <c r="AU11" s="107">
        <v>54600</v>
      </c>
      <c r="AV11" s="106">
        <f>AT11*AU11</f>
      </c>
      <c r="AW11" s="106">
        <f>350+370</f>
      </c>
      <c r="AX11" s="108" t="s">
        <v>96</v>
      </c>
      <c r="AY11" s="106">
        <f>21350000+23680000</f>
      </c>
      <c r="AZ11" s="106">
        <v>200</v>
      </c>
      <c r="BA11" s="107">
        <v>67000</v>
      </c>
      <c r="BB11" s="106">
        <f>AZ11*BA11</f>
      </c>
      <c r="BC11" s="106">
        <v>480</v>
      </c>
      <c r="BD11" s="107">
        <v>67000</v>
      </c>
      <c r="BE11" s="106">
        <f>BC11*BD11</f>
      </c>
      <c r="BF11" s="106">
        <v>770</v>
      </c>
      <c r="BG11" s="107">
        <v>67000</v>
      </c>
      <c r="BH11" s="106">
        <f>BF11*BG11</f>
      </c>
      <c r="BI11" s="3"/>
    </row>
    <row x14ac:dyDescent="0.25" r="12" customHeight="1" ht="42">
      <c r="A12" s="25">
        <v>7</v>
      </c>
      <c r="B12" s="26" t="s">
        <v>25</v>
      </c>
      <c r="C12" s="31" t="s">
        <v>26</v>
      </c>
      <c r="D12" s="114">
        <v>0.03</v>
      </c>
      <c r="E12" s="28">
        <v>264</v>
      </c>
      <c r="F12" s="103">
        <v>54000</v>
      </c>
      <c r="G12" s="28">
        <f>E12*F12*97%</f>
      </c>
      <c r="H12" s="143">
        <v>300</v>
      </c>
      <c r="I12" s="105">
        <v>75000</v>
      </c>
      <c r="J12" s="104">
        <f>H12*I12</f>
      </c>
      <c r="K12" s="114">
        <v>0.03</v>
      </c>
      <c r="L12" s="28">
        <v>242</v>
      </c>
      <c r="M12" s="103">
        <v>54000</v>
      </c>
      <c r="N12" s="28">
        <f>M12*L12*97%</f>
      </c>
      <c r="O12" s="143">
        <v>300</v>
      </c>
      <c r="P12" s="105">
        <v>75000</v>
      </c>
      <c r="Q12" s="104">
        <f>O12*P12</f>
      </c>
      <c r="R12" s="114">
        <v>0.03</v>
      </c>
      <c r="S12" s="28">
        <v>246</v>
      </c>
      <c r="T12" s="103">
        <v>54000</v>
      </c>
      <c r="U12" s="28">
        <f>S12*T12*97%</f>
      </c>
      <c r="V12" s="143">
        <v>395</v>
      </c>
      <c r="W12" s="105">
        <v>75000</v>
      </c>
      <c r="X12" s="104">
        <f>V12*W12</f>
      </c>
      <c r="Y12" s="28">
        <v>530</v>
      </c>
      <c r="Z12" s="103">
        <v>54000</v>
      </c>
      <c r="AA12" s="28">
        <f>Y12*Z12</f>
      </c>
      <c r="AB12" s="143">
        <v>429</v>
      </c>
      <c r="AC12" s="105">
        <v>75000</v>
      </c>
      <c r="AD12" s="104">
        <f>AB12*AC12</f>
      </c>
      <c r="AE12" s="28">
        <v>494</v>
      </c>
      <c r="AF12" s="103">
        <v>56700</v>
      </c>
      <c r="AG12" s="28">
        <f>AE12*AF12</f>
      </c>
      <c r="AH12" s="143">
        <v>238</v>
      </c>
      <c r="AI12" s="105">
        <v>75000</v>
      </c>
      <c r="AJ12" s="104">
        <f>AH12*AI12</f>
      </c>
      <c r="AK12" s="28">
        <v>130</v>
      </c>
      <c r="AL12" s="103">
        <v>56700</v>
      </c>
      <c r="AM12" s="28">
        <f>AK12*AL12</f>
      </c>
      <c r="AN12" s="143">
        <v>600</v>
      </c>
      <c r="AO12" s="105">
        <v>75000</v>
      </c>
      <c r="AP12" s="104">
        <f>AN12*AO12</f>
      </c>
      <c r="AQ12" s="106">
        <v>150</v>
      </c>
      <c r="AR12" s="107">
        <v>56700</v>
      </c>
      <c r="AS12" s="106">
        <f>AQ12*AR12</f>
      </c>
      <c r="AT12" s="106">
        <f>170+100</f>
      </c>
      <c r="AU12" s="108" t="s">
        <v>97</v>
      </c>
      <c r="AV12" s="106">
        <f>9639000+6300000</f>
      </c>
      <c r="AW12" s="106">
        <f>275+205</f>
      </c>
      <c r="AX12" s="108" t="s">
        <v>78</v>
      </c>
      <c r="AY12" s="106">
        <f>17325000+13632500</f>
      </c>
      <c r="AZ12" s="106">
        <v>200</v>
      </c>
      <c r="BA12" s="107">
        <v>75000</v>
      </c>
      <c r="BB12" s="106">
        <f>AZ12*BA12</f>
      </c>
      <c r="BC12" s="106">
        <v>250</v>
      </c>
      <c r="BD12" s="107">
        <v>75000</v>
      </c>
      <c r="BE12" s="106">
        <f>BC12*BD12</f>
      </c>
      <c r="BF12" s="106">
        <v>400</v>
      </c>
      <c r="BG12" s="107">
        <v>75000</v>
      </c>
      <c r="BH12" s="106">
        <f>BF12*BG12</f>
      </c>
      <c r="BI12" s="3"/>
    </row>
    <row x14ac:dyDescent="0.25" r="13" customHeight="1" ht="42">
      <c r="A13" s="25">
        <v>8</v>
      </c>
      <c r="B13" s="26" t="s">
        <v>27</v>
      </c>
      <c r="C13" s="27" t="s">
        <v>28</v>
      </c>
      <c r="D13" s="114">
        <v>0.03</v>
      </c>
      <c r="E13" s="28">
        <v>726</v>
      </c>
      <c r="F13" s="103">
        <v>42000</v>
      </c>
      <c r="G13" s="28">
        <f>E13*F13*97%</f>
      </c>
      <c r="H13" s="143">
        <v>886</v>
      </c>
      <c r="I13" s="105">
        <v>57500</v>
      </c>
      <c r="J13" s="104">
        <f>H13*I13</f>
      </c>
      <c r="K13" s="114">
        <v>0.03</v>
      </c>
      <c r="L13" s="28">
        <v>468</v>
      </c>
      <c r="M13" s="103">
        <v>42000</v>
      </c>
      <c r="N13" s="28">
        <f>M13*L13*97%</f>
      </c>
      <c r="O13" s="143">
        <v>752</v>
      </c>
      <c r="P13" s="105">
        <v>57500</v>
      </c>
      <c r="Q13" s="104">
        <f>O13*P13</f>
      </c>
      <c r="R13" s="114">
        <v>0.03</v>
      </c>
      <c r="S13" s="28">
        <v>606</v>
      </c>
      <c r="T13" s="103">
        <v>42000</v>
      </c>
      <c r="U13" s="28">
        <f>S13*T13*97%</f>
      </c>
      <c r="V13" s="143">
        <v>710</v>
      </c>
      <c r="W13" s="105">
        <v>57500</v>
      </c>
      <c r="X13" s="104">
        <f>V13*W13</f>
      </c>
      <c r="Y13" s="28">
        <v>800</v>
      </c>
      <c r="Z13" s="103">
        <v>42000</v>
      </c>
      <c r="AA13" s="28">
        <f>Y13*Z13</f>
      </c>
      <c r="AB13" s="143">
        <v>493</v>
      </c>
      <c r="AC13" s="105">
        <v>57500</v>
      </c>
      <c r="AD13" s="104">
        <f>AB13*AC13</f>
      </c>
      <c r="AE13" s="28">
        <v>784</v>
      </c>
      <c r="AF13" s="103">
        <v>44100</v>
      </c>
      <c r="AG13" s="28">
        <f>AE13*AF13</f>
      </c>
      <c r="AH13" s="143">
        <v>641</v>
      </c>
      <c r="AI13" s="105">
        <v>57500</v>
      </c>
      <c r="AJ13" s="104">
        <f>AH13*AI13</f>
      </c>
      <c r="AK13" s="28">
        <v>981</v>
      </c>
      <c r="AL13" s="103">
        <v>44100</v>
      </c>
      <c r="AM13" s="28">
        <f>AK13*AL13</f>
      </c>
      <c r="AN13" s="143">
        <f>860+145</f>
      </c>
      <c r="AO13" s="109" t="s">
        <v>79</v>
      </c>
      <c r="AP13" s="104">
        <f>49450000+8772500</f>
      </c>
      <c r="AQ13" s="106">
        <v>780</v>
      </c>
      <c r="AR13" s="107">
        <v>44100</v>
      </c>
      <c r="AS13" s="106">
        <f>AQ13*AR13</f>
      </c>
      <c r="AT13" s="106">
        <f>355+200</f>
      </c>
      <c r="AU13" s="108" t="s">
        <v>98</v>
      </c>
      <c r="AV13" s="106">
        <f>15655500+9800000</f>
      </c>
      <c r="AW13" s="106">
        <f>760+690</f>
      </c>
      <c r="AX13" s="108" t="s">
        <v>80</v>
      </c>
      <c r="AY13" s="106">
        <f>37240000+35535000</f>
      </c>
      <c r="AZ13" s="106">
        <v>400</v>
      </c>
      <c r="BA13" s="107">
        <v>57500</v>
      </c>
      <c r="BB13" s="106">
        <f>AZ13*BA13</f>
      </c>
      <c r="BC13" s="106">
        <v>1500</v>
      </c>
      <c r="BD13" s="107">
        <v>57500</v>
      </c>
      <c r="BE13" s="106">
        <f>BC13*BD13</f>
      </c>
      <c r="BF13" s="106">
        <v>1147</v>
      </c>
      <c r="BG13" s="107">
        <v>57500</v>
      </c>
      <c r="BH13" s="106">
        <f>BF13*BG13</f>
      </c>
      <c r="BI13" s="3"/>
    </row>
    <row x14ac:dyDescent="0.25" r="14" customHeight="1" ht="42">
      <c r="A14" s="25">
        <v>9</v>
      </c>
      <c r="B14" s="26" t="s">
        <v>29</v>
      </c>
      <c r="C14" s="27" t="s">
        <v>30</v>
      </c>
      <c r="D14" s="114"/>
      <c r="E14" s="28"/>
      <c r="F14" s="103"/>
      <c r="G14" s="28">
        <f>E14*F14*97%</f>
      </c>
      <c r="H14" s="143"/>
      <c r="I14" s="105"/>
      <c r="J14" s="104"/>
      <c r="K14" s="114"/>
      <c r="L14" s="28"/>
      <c r="M14" s="103"/>
      <c r="N14" s="28">
        <f>M14*L14*97%</f>
      </c>
      <c r="O14" s="143"/>
      <c r="P14" s="105"/>
      <c r="Q14" s="104"/>
      <c r="R14" s="114"/>
      <c r="S14" s="28"/>
      <c r="T14" s="103"/>
      <c r="U14" s="28">
        <f>S14*T14*97%</f>
      </c>
      <c r="V14" s="143"/>
      <c r="W14" s="105"/>
      <c r="X14" s="104"/>
      <c r="Y14" s="28"/>
      <c r="Z14" s="103"/>
      <c r="AA14" s="28">
        <f>Y14*Z14</f>
      </c>
      <c r="AB14" s="143"/>
      <c r="AC14" s="105"/>
      <c r="AD14" s="104"/>
      <c r="AE14" s="28"/>
      <c r="AF14" s="103"/>
      <c r="AG14" s="28">
        <f>AE14*AF14</f>
      </c>
      <c r="AH14" s="143"/>
      <c r="AI14" s="105"/>
      <c r="AJ14" s="104"/>
      <c r="AK14" s="28"/>
      <c r="AL14" s="103"/>
      <c r="AM14" s="28">
        <f>AK14*AL14</f>
      </c>
      <c r="AN14" s="143"/>
      <c r="AO14" s="105"/>
      <c r="AP14" s="104"/>
      <c r="AQ14" s="106"/>
      <c r="AR14" s="107"/>
      <c r="AS14" s="106"/>
      <c r="AT14" s="106"/>
      <c r="AU14" s="108"/>
      <c r="AV14" s="106"/>
      <c r="AW14" s="106"/>
      <c r="AX14" s="108"/>
      <c r="AY14" s="106"/>
      <c r="AZ14" s="106"/>
      <c r="BA14" s="107"/>
      <c r="BB14" s="106"/>
      <c r="BC14" s="106"/>
      <c r="BD14" s="107"/>
      <c r="BE14" s="106"/>
      <c r="BF14" s="106"/>
      <c r="BG14" s="107"/>
      <c r="BH14" s="106"/>
      <c r="BI14" s="3"/>
    </row>
    <row x14ac:dyDescent="0.25" r="15" customHeight="1" ht="42">
      <c r="A15" s="25">
        <v>10</v>
      </c>
      <c r="B15" s="26" t="s">
        <v>31</v>
      </c>
      <c r="C15" s="27" t="s">
        <v>32</v>
      </c>
      <c r="D15" s="114">
        <v>0.03</v>
      </c>
      <c r="E15" s="28">
        <v>245</v>
      </c>
      <c r="F15" s="103">
        <v>58000</v>
      </c>
      <c r="G15" s="28">
        <f>E15*F15*97%</f>
      </c>
      <c r="H15" s="143">
        <v>383</v>
      </c>
      <c r="I15" s="105">
        <v>81000</v>
      </c>
      <c r="J15" s="104">
        <f>H15*I15</f>
      </c>
      <c r="K15" s="114">
        <v>0.03</v>
      </c>
      <c r="L15" s="28">
        <v>225</v>
      </c>
      <c r="M15" s="103">
        <v>58000</v>
      </c>
      <c r="N15" s="28">
        <f>M15*L15*97%</f>
      </c>
      <c r="O15" s="143">
        <v>295</v>
      </c>
      <c r="P15" s="105">
        <v>81000</v>
      </c>
      <c r="Q15" s="104">
        <f>O15*P15</f>
      </c>
      <c r="R15" s="114">
        <v>0.03</v>
      </c>
      <c r="S15" s="28">
        <v>255</v>
      </c>
      <c r="T15" s="103">
        <v>58000</v>
      </c>
      <c r="U15" s="28">
        <f>S15*T15*97%</f>
      </c>
      <c r="V15" s="143">
        <v>455</v>
      </c>
      <c r="W15" s="105">
        <v>81000</v>
      </c>
      <c r="X15" s="104">
        <f>V15*W15</f>
      </c>
      <c r="Y15" s="28">
        <v>345</v>
      </c>
      <c r="Z15" s="103">
        <v>58000</v>
      </c>
      <c r="AA15" s="28">
        <f>Y15*Z15</f>
      </c>
      <c r="AB15" s="143">
        <v>300</v>
      </c>
      <c r="AC15" s="105">
        <v>81000</v>
      </c>
      <c r="AD15" s="104">
        <f>AB15*AC15</f>
      </c>
      <c r="AE15" s="28">
        <v>694</v>
      </c>
      <c r="AF15" s="103">
        <v>60900</v>
      </c>
      <c r="AG15" s="28">
        <f>AE15*AF15</f>
      </c>
      <c r="AH15" s="143">
        <v>300</v>
      </c>
      <c r="AI15" s="105">
        <v>81000</v>
      </c>
      <c r="AJ15" s="104">
        <f>AH15*AI15</f>
      </c>
      <c r="AK15" s="28">
        <v>131</v>
      </c>
      <c r="AL15" s="103">
        <v>60900</v>
      </c>
      <c r="AM15" s="28">
        <f>AK15*AL15</f>
      </c>
      <c r="AN15" s="143">
        <v>473</v>
      </c>
      <c r="AO15" s="105">
        <v>81000</v>
      </c>
      <c r="AP15" s="104">
        <f>AN15*AO15</f>
      </c>
      <c r="AQ15" s="106">
        <v>150</v>
      </c>
      <c r="AR15" s="107">
        <v>60900</v>
      </c>
      <c r="AS15" s="106">
        <f>AQ15*AR15</f>
      </c>
      <c r="AT15" s="106">
        <v>200</v>
      </c>
      <c r="AU15" s="107">
        <v>60900</v>
      </c>
      <c r="AV15" s="106">
        <f>AT15*AU15</f>
      </c>
      <c r="AW15" s="106">
        <f>200+150</f>
      </c>
      <c r="AX15" s="108" t="s">
        <v>99</v>
      </c>
      <c r="AY15" s="106">
        <f>13400000+10575000</f>
      </c>
      <c r="AZ15" s="106">
        <v>200</v>
      </c>
      <c r="BA15" s="107">
        <v>81000</v>
      </c>
      <c r="BB15" s="106">
        <f>AZ15*BA15</f>
      </c>
      <c r="BC15" s="106">
        <v>408</v>
      </c>
      <c r="BD15" s="107">
        <v>81000</v>
      </c>
      <c r="BE15" s="106">
        <f>BC15*BD15</f>
      </c>
      <c r="BF15" s="106">
        <v>359</v>
      </c>
      <c r="BG15" s="107">
        <v>81000</v>
      </c>
      <c r="BH15" s="106">
        <f>BF15*BG15</f>
      </c>
      <c r="BI15" s="3"/>
    </row>
    <row x14ac:dyDescent="0.25" r="16" customHeight="1" ht="42">
      <c r="A16" s="25">
        <v>11</v>
      </c>
      <c r="B16" s="26" t="s">
        <v>33</v>
      </c>
      <c r="C16" s="27" t="s">
        <v>34</v>
      </c>
      <c r="D16" s="114">
        <v>0.03</v>
      </c>
      <c r="E16" s="28">
        <v>119</v>
      </c>
      <c r="F16" s="103">
        <v>43000</v>
      </c>
      <c r="G16" s="28">
        <f>E16*F16*97%</f>
      </c>
      <c r="H16" s="143">
        <v>400</v>
      </c>
      <c r="I16" s="105">
        <v>60000</v>
      </c>
      <c r="J16" s="104">
        <f>H16*I16</f>
      </c>
      <c r="K16" s="114">
        <v>0.03</v>
      </c>
      <c r="L16" s="28">
        <v>230</v>
      </c>
      <c r="M16" s="103">
        <v>43000</v>
      </c>
      <c r="N16" s="28">
        <f>M16*L16*97%</f>
      </c>
      <c r="O16" s="143">
        <v>200</v>
      </c>
      <c r="P16" s="105">
        <v>60000</v>
      </c>
      <c r="Q16" s="104">
        <f>O16*P16</f>
      </c>
      <c r="R16" s="114">
        <v>0.03</v>
      </c>
      <c r="S16" s="28">
        <v>245</v>
      </c>
      <c r="T16" s="103">
        <v>43000</v>
      </c>
      <c r="U16" s="28">
        <f>S16*T16*97%</f>
      </c>
      <c r="V16" s="143">
        <v>489</v>
      </c>
      <c r="W16" s="105">
        <v>60000</v>
      </c>
      <c r="X16" s="104">
        <f>V16*W16</f>
      </c>
      <c r="Y16" s="28">
        <v>435</v>
      </c>
      <c r="Z16" s="103">
        <v>43000</v>
      </c>
      <c r="AA16" s="28">
        <f>Y16*Z16</f>
      </c>
      <c r="AB16" s="143">
        <v>319</v>
      </c>
      <c r="AC16" s="105">
        <v>60000</v>
      </c>
      <c r="AD16" s="104">
        <f>AB16*AC16</f>
      </c>
      <c r="AE16" s="28">
        <v>500</v>
      </c>
      <c r="AF16" s="103">
        <v>45200</v>
      </c>
      <c r="AG16" s="28">
        <f>AE16*AF16</f>
      </c>
      <c r="AH16" s="143">
        <v>372</v>
      </c>
      <c r="AI16" s="105">
        <v>60000</v>
      </c>
      <c r="AJ16" s="104">
        <f>AH16*AI16</f>
      </c>
      <c r="AK16" s="28">
        <v>110</v>
      </c>
      <c r="AL16" s="103">
        <v>45200</v>
      </c>
      <c r="AM16" s="28">
        <f>AK16*AL16</f>
      </c>
      <c r="AN16" s="143">
        <v>250</v>
      </c>
      <c r="AO16" s="105">
        <v>60000</v>
      </c>
      <c r="AP16" s="104">
        <f>AN16*AO16</f>
      </c>
      <c r="AQ16" s="106">
        <v>125</v>
      </c>
      <c r="AR16" s="107">
        <v>45200</v>
      </c>
      <c r="AS16" s="106">
        <f>AQ16*AR16</f>
      </c>
      <c r="AT16" s="106">
        <v>230</v>
      </c>
      <c r="AU16" s="107">
        <v>45200</v>
      </c>
      <c r="AV16" s="106">
        <f>AT16*AU16</f>
      </c>
      <c r="AW16" s="106">
        <f>200+100</f>
      </c>
      <c r="AX16" s="108" t="s">
        <v>81</v>
      </c>
      <c r="AY16" s="106">
        <f>10000000+5250000</f>
      </c>
      <c r="AZ16" s="106">
        <v>130</v>
      </c>
      <c r="BA16" s="107">
        <v>60000</v>
      </c>
      <c r="BB16" s="106">
        <f>AZ16*BA16</f>
      </c>
      <c r="BC16" s="106">
        <v>400</v>
      </c>
      <c r="BD16" s="107">
        <v>60000</v>
      </c>
      <c r="BE16" s="106">
        <f>BC16*BD16</f>
      </c>
      <c r="BF16" s="106">
        <v>250</v>
      </c>
      <c r="BG16" s="107">
        <v>60000</v>
      </c>
      <c r="BH16" s="106">
        <f>BF16*BG16</f>
      </c>
      <c r="BI16" s="3"/>
    </row>
    <row x14ac:dyDescent="0.25" r="17" customHeight="1" ht="42">
      <c r="A17" s="25">
        <v>12</v>
      </c>
      <c r="B17" s="26" t="s">
        <v>35</v>
      </c>
      <c r="C17" s="27" t="s">
        <v>36</v>
      </c>
      <c r="D17" s="114">
        <v>0.03</v>
      </c>
      <c r="E17" s="28">
        <v>675</v>
      </c>
      <c r="F17" s="103">
        <v>63000</v>
      </c>
      <c r="G17" s="28">
        <f>E17*F17*97%</f>
      </c>
      <c r="H17" s="143">
        <v>1255</v>
      </c>
      <c r="I17" s="105">
        <v>83000</v>
      </c>
      <c r="J17" s="104">
        <f>H17*I17</f>
      </c>
      <c r="K17" s="114">
        <v>0.03</v>
      </c>
      <c r="L17" s="28">
        <v>395</v>
      </c>
      <c r="M17" s="103">
        <v>63000</v>
      </c>
      <c r="N17" s="28">
        <f>M17*L17*97%</f>
      </c>
      <c r="O17" s="143">
        <v>895</v>
      </c>
      <c r="P17" s="105">
        <v>83000</v>
      </c>
      <c r="Q17" s="104">
        <f>O17*P17</f>
      </c>
      <c r="R17" s="114">
        <v>0.03</v>
      </c>
      <c r="S17" s="28">
        <v>465</v>
      </c>
      <c r="T17" s="103">
        <v>63000</v>
      </c>
      <c r="U17" s="28">
        <f>S17*T17*97%</f>
      </c>
      <c r="V17" s="143">
        <v>1231</v>
      </c>
      <c r="W17" s="105">
        <v>83000</v>
      </c>
      <c r="X17" s="104">
        <f>V17*W17</f>
      </c>
      <c r="Y17" s="28">
        <f>1340-20</f>
      </c>
      <c r="Z17" s="103">
        <v>63000</v>
      </c>
      <c r="AA17" s="28">
        <f>Y17*Z17</f>
      </c>
      <c r="AB17" s="143">
        <v>646</v>
      </c>
      <c r="AC17" s="105">
        <v>83000</v>
      </c>
      <c r="AD17" s="104">
        <f>AB17*AC17</f>
      </c>
      <c r="AE17" s="28">
        <v>615</v>
      </c>
      <c r="AF17" s="103">
        <v>66200</v>
      </c>
      <c r="AG17" s="28">
        <f>AE17*AF17</f>
      </c>
      <c r="AH17" s="143">
        <v>652</v>
      </c>
      <c r="AI17" s="105">
        <v>83000</v>
      </c>
      <c r="AJ17" s="104">
        <f>AH17*AI17</f>
      </c>
      <c r="AK17" s="28">
        <v>393</v>
      </c>
      <c r="AL17" s="103">
        <v>66200</v>
      </c>
      <c r="AM17" s="28">
        <f>AK17*AL17</f>
      </c>
      <c r="AN17" s="143">
        <f>752+90</f>
      </c>
      <c r="AO17" s="109" t="s">
        <v>82</v>
      </c>
      <c r="AP17" s="104">
        <f>62416000+7830000</f>
      </c>
      <c r="AQ17" s="106">
        <v>900</v>
      </c>
      <c r="AR17" s="107">
        <v>66200</v>
      </c>
      <c r="AS17" s="106">
        <f>AQ17*AR17</f>
      </c>
      <c r="AT17" s="106">
        <v>400</v>
      </c>
      <c r="AU17" s="107">
        <v>66200</v>
      </c>
      <c r="AV17" s="106">
        <f>AT17*AU17</f>
      </c>
      <c r="AW17" s="106">
        <v>400</v>
      </c>
      <c r="AX17" s="107">
        <v>77000</v>
      </c>
      <c r="AY17" s="106">
        <f>AW17*AX17</f>
      </c>
      <c r="AZ17" s="106">
        <v>1100</v>
      </c>
      <c r="BA17" s="107">
        <v>83000</v>
      </c>
      <c r="BB17" s="106">
        <f>AZ17*BA17</f>
      </c>
      <c r="BC17" s="106">
        <v>1190</v>
      </c>
      <c r="BD17" s="107">
        <v>83000</v>
      </c>
      <c r="BE17" s="106">
        <f>BC17*BD17</f>
      </c>
      <c r="BF17" s="106">
        <v>1370</v>
      </c>
      <c r="BG17" s="107">
        <v>83000</v>
      </c>
      <c r="BH17" s="106">
        <f>BF17*BG17</f>
      </c>
      <c r="BI17" s="3"/>
    </row>
    <row x14ac:dyDescent="0.25" r="18" customHeight="1" ht="42">
      <c r="A18" s="25">
        <v>13</v>
      </c>
      <c r="B18" s="26" t="s">
        <v>37</v>
      </c>
      <c r="C18" s="27" t="s">
        <v>38</v>
      </c>
      <c r="D18" s="114">
        <v>0.03</v>
      </c>
      <c r="E18" s="28">
        <v>401</v>
      </c>
      <c r="F18" s="103">
        <v>51000</v>
      </c>
      <c r="G18" s="28">
        <f>E18*F18*97%</f>
      </c>
      <c r="H18" s="143">
        <v>200</v>
      </c>
      <c r="I18" s="105">
        <v>65000</v>
      </c>
      <c r="J18" s="104">
        <f>H18*I18</f>
      </c>
      <c r="K18" s="114">
        <v>0.03</v>
      </c>
      <c r="L18" s="28"/>
      <c r="M18" s="103">
        <v>51000</v>
      </c>
      <c r="N18" s="28">
        <f>M18*L18*97%</f>
      </c>
      <c r="O18" s="143">
        <f>150+3</f>
      </c>
      <c r="P18" s="109" t="s">
        <v>100</v>
      </c>
      <c r="Q18" s="104">
        <f>9750000+144000</f>
      </c>
      <c r="R18" s="114">
        <v>0.03</v>
      </c>
      <c r="S18" s="28">
        <v>100</v>
      </c>
      <c r="T18" s="103">
        <v>51000</v>
      </c>
      <c r="U18" s="28">
        <f>S18*T18*97%</f>
      </c>
      <c r="V18" s="143">
        <v>150</v>
      </c>
      <c r="W18" s="105">
        <v>65000</v>
      </c>
      <c r="X18" s="104">
        <f>V18*W18</f>
      </c>
      <c r="Y18" s="28">
        <v>295</v>
      </c>
      <c r="Z18" s="103">
        <v>51000</v>
      </c>
      <c r="AA18" s="28">
        <f>Y18*Z18</f>
      </c>
      <c r="AB18" s="143">
        <v>134</v>
      </c>
      <c r="AC18" s="105">
        <v>65000</v>
      </c>
      <c r="AD18" s="104">
        <f>AB18*AC18</f>
      </c>
      <c r="AE18" s="28">
        <v>300</v>
      </c>
      <c r="AF18" s="103">
        <v>53600</v>
      </c>
      <c r="AG18" s="28">
        <f>AE18*AF18</f>
      </c>
      <c r="AH18" s="143">
        <v>313</v>
      </c>
      <c r="AI18" s="105">
        <v>65000</v>
      </c>
      <c r="AJ18" s="104">
        <f>AH18*AI18</f>
      </c>
      <c r="AK18" s="28"/>
      <c r="AL18" s="103">
        <v>53600</v>
      </c>
      <c r="AM18" s="28">
        <f>AK18*AL18</f>
      </c>
      <c r="AN18" s="143">
        <v>130</v>
      </c>
      <c r="AO18" s="105">
        <v>65000</v>
      </c>
      <c r="AP18" s="104">
        <f>AN18*AO18</f>
      </c>
      <c r="AQ18" s="106">
        <v>100</v>
      </c>
      <c r="AR18" s="107">
        <v>53600</v>
      </c>
      <c r="AS18" s="106">
        <f>AQ18*AR18</f>
      </c>
      <c r="AT18" s="106">
        <v>5</v>
      </c>
      <c r="AU18" s="107">
        <v>53600</v>
      </c>
      <c r="AV18" s="106">
        <f>AT18*AU18</f>
      </c>
      <c r="AW18" s="106">
        <f>100+70</f>
      </c>
      <c r="AX18" s="108" t="s">
        <v>94</v>
      </c>
      <c r="AY18" s="106">
        <f>5900000+4340000</f>
      </c>
      <c r="AZ18" s="106">
        <v>80</v>
      </c>
      <c r="BA18" s="107">
        <v>65000</v>
      </c>
      <c r="BB18" s="106">
        <f>AZ18*BA18</f>
      </c>
      <c r="BC18" s="106">
        <v>200</v>
      </c>
      <c r="BD18" s="107">
        <v>65000</v>
      </c>
      <c r="BE18" s="106">
        <f>BC18*BD18</f>
      </c>
      <c r="BF18" s="106">
        <v>150</v>
      </c>
      <c r="BG18" s="107">
        <v>65000</v>
      </c>
      <c r="BH18" s="106">
        <f>BF18*BG18</f>
      </c>
      <c r="BI18" s="3"/>
    </row>
    <row x14ac:dyDescent="0.25" r="19" customHeight="1" ht="42">
      <c r="A19" s="25">
        <v>14</v>
      </c>
      <c r="B19" s="26" t="s">
        <v>39</v>
      </c>
      <c r="C19" s="27" t="s">
        <v>40</v>
      </c>
      <c r="D19" s="114">
        <v>0.03</v>
      </c>
      <c r="E19" s="28">
        <v>390</v>
      </c>
      <c r="F19" s="103">
        <v>60500</v>
      </c>
      <c r="G19" s="28">
        <f>E19*F19*97%</f>
      </c>
      <c r="H19" s="143">
        <v>1064</v>
      </c>
      <c r="I19" s="105">
        <v>79500</v>
      </c>
      <c r="J19" s="104">
        <f>H19*I19</f>
      </c>
      <c r="K19" s="114">
        <v>0.03</v>
      </c>
      <c r="L19" s="28">
        <v>460</v>
      </c>
      <c r="M19" s="103">
        <v>60500</v>
      </c>
      <c r="N19" s="28">
        <f>M19*L19*97%</f>
      </c>
      <c r="O19" s="143">
        <v>857</v>
      </c>
      <c r="P19" s="105">
        <v>79500</v>
      </c>
      <c r="Q19" s="104">
        <f>O19*P19</f>
      </c>
      <c r="R19" s="114">
        <v>0.03</v>
      </c>
      <c r="S19" s="28">
        <v>480</v>
      </c>
      <c r="T19" s="103">
        <v>60500</v>
      </c>
      <c r="U19" s="28">
        <f>S19*T19*97%</f>
      </c>
      <c r="V19" s="143">
        <v>683</v>
      </c>
      <c r="W19" s="105">
        <v>79500</v>
      </c>
      <c r="X19" s="104">
        <f>V19*W19</f>
      </c>
      <c r="Y19" s="28">
        <v>1005</v>
      </c>
      <c r="Z19" s="103">
        <v>60500</v>
      </c>
      <c r="AA19" s="28">
        <f>Y19*Z19</f>
      </c>
      <c r="AB19" s="143">
        <v>538</v>
      </c>
      <c r="AC19" s="105">
        <v>79500</v>
      </c>
      <c r="AD19" s="104">
        <f>AB19*AC19</f>
      </c>
      <c r="AE19" s="28">
        <v>995</v>
      </c>
      <c r="AF19" s="103">
        <v>63600</v>
      </c>
      <c r="AG19" s="28">
        <f>AE19*AF19</f>
      </c>
      <c r="AH19" s="143">
        <v>635</v>
      </c>
      <c r="AI19" s="105">
        <v>79500</v>
      </c>
      <c r="AJ19" s="104">
        <f>AH19*AI19</f>
      </c>
      <c r="AK19" s="28">
        <v>570</v>
      </c>
      <c r="AL19" s="103">
        <v>63600</v>
      </c>
      <c r="AM19" s="28">
        <f>AK19*AL19</f>
      </c>
      <c r="AN19" s="143">
        <f>909+250</f>
      </c>
      <c r="AO19" s="109" t="s">
        <v>83</v>
      </c>
      <c r="AP19" s="104">
        <f>72265500+20750000</f>
      </c>
      <c r="AQ19" s="106">
        <v>430</v>
      </c>
      <c r="AR19" s="107">
        <v>63600</v>
      </c>
      <c r="AS19" s="106">
        <f>AQ19*AR19</f>
      </c>
      <c r="AT19" s="106">
        <f>370+100</f>
      </c>
      <c r="AU19" s="108" t="s">
        <v>101</v>
      </c>
      <c r="AV19" s="106">
        <f>23532000+7000000</f>
      </c>
      <c r="AW19" s="106">
        <f>400+350</f>
      </c>
      <c r="AX19" s="108" t="s">
        <v>84</v>
      </c>
      <c r="AY19" s="106">
        <f>28000000+25725000</f>
      </c>
      <c r="AZ19" s="106">
        <v>510</v>
      </c>
      <c r="BA19" s="107">
        <v>79500</v>
      </c>
      <c r="BB19" s="106">
        <f>AZ19*BA19</f>
      </c>
      <c r="BC19" s="106">
        <v>1150</v>
      </c>
      <c r="BD19" s="107">
        <v>79500</v>
      </c>
      <c r="BE19" s="106">
        <f>BC19*BD19</f>
      </c>
      <c r="BF19" s="106">
        <v>1028</v>
      </c>
      <c r="BG19" s="107">
        <v>79500</v>
      </c>
      <c r="BH19" s="106">
        <f>BF19*BG19</f>
      </c>
      <c r="BI19" s="3"/>
    </row>
    <row x14ac:dyDescent="0.25" r="20" customHeight="1" ht="42">
      <c r="A20" s="25">
        <v>15</v>
      </c>
      <c r="B20" s="26" t="s">
        <v>41</v>
      </c>
      <c r="C20" s="31" t="s">
        <v>42</v>
      </c>
      <c r="D20" s="114">
        <v>0.03</v>
      </c>
      <c r="E20" s="28">
        <v>286</v>
      </c>
      <c r="F20" s="103">
        <v>82500</v>
      </c>
      <c r="G20" s="28">
        <f>E20*F20*97%</f>
      </c>
      <c r="H20" s="143">
        <v>190</v>
      </c>
      <c r="I20" s="105">
        <v>115000</v>
      </c>
      <c r="J20" s="104">
        <f>H20*I20</f>
      </c>
      <c r="K20" s="114">
        <v>0.03</v>
      </c>
      <c r="L20" s="28">
        <v>45</v>
      </c>
      <c r="M20" s="103">
        <v>82500</v>
      </c>
      <c r="N20" s="28">
        <f>M20*L20*97%</f>
      </c>
      <c r="O20" s="143">
        <v>200</v>
      </c>
      <c r="P20" s="105">
        <v>115000</v>
      </c>
      <c r="Q20" s="104">
        <f>O20*P20</f>
      </c>
      <c r="R20" s="114">
        <v>0.03</v>
      </c>
      <c r="S20" s="28">
        <v>135</v>
      </c>
      <c r="T20" s="103">
        <v>82500</v>
      </c>
      <c r="U20" s="28">
        <f>S20*T20*97%</f>
      </c>
      <c r="V20" s="143">
        <v>230</v>
      </c>
      <c r="W20" s="105">
        <v>115000</v>
      </c>
      <c r="X20" s="104">
        <f>V20*W20</f>
      </c>
      <c r="Y20" s="28">
        <v>345</v>
      </c>
      <c r="Z20" s="103">
        <v>82500</v>
      </c>
      <c r="AA20" s="28">
        <f>Y20*Z20</f>
      </c>
      <c r="AB20" s="143">
        <v>207</v>
      </c>
      <c r="AC20" s="105">
        <v>115000</v>
      </c>
      <c r="AD20" s="104">
        <f>AB20*AC20</f>
      </c>
      <c r="AE20" s="28">
        <v>505</v>
      </c>
      <c r="AF20" s="103">
        <v>86700</v>
      </c>
      <c r="AG20" s="28">
        <f>AE20*AF20</f>
      </c>
      <c r="AH20" s="143">
        <v>162</v>
      </c>
      <c r="AI20" s="105">
        <v>115000</v>
      </c>
      <c r="AJ20" s="104">
        <f>AH20*AI20</f>
      </c>
      <c r="AK20" s="28">
        <v>250</v>
      </c>
      <c r="AL20" s="103">
        <v>86700</v>
      </c>
      <c r="AM20" s="28">
        <f>AK20*AL20</f>
      </c>
      <c r="AN20" s="143">
        <v>281</v>
      </c>
      <c r="AO20" s="105">
        <v>115000</v>
      </c>
      <c r="AP20" s="104">
        <f>AN20*AO20</f>
      </c>
      <c r="AQ20" s="106">
        <v>60</v>
      </c>
      <c r="AR20" s="107">
        <v>86700</v>
      </c>
      <c r="AS20" s="106">
        <f>AQ20*AR20</f>
      </c>
      <c r="AT20" s="106">
        <v>140</v>
      </c>
      <c r="AU20" s="107">
        <v>86700</v>
      </c>
      <c r="AV20" s="106">
        <f>AT20*AU20</f>
      </c>
      <c r="AW20" s="106">
        <f>45+180</f>
      </c>
      <c r="AX20" s="108" t="s">
        <v>102</v>
      </c>
      <c r="AY20" s="106">
        <f>4320000+18180000</f>
      </c>
      <c r="AZ20" s="106">
        <v>104</v>
      </c>
      <c r="BA20" s="107">
        <v>115000</v>
      </c>
      <c r="BB20" s="106">
        <f>AZ20*BA20</f>
      </c>
      <c r="BC20" s="106">
        <v>170</v>
      </c>
      <c r="BD20" s="107">
        <v>115000</v>
      </c>
      <c r="BE20" s="106">
        <f>BC20*BD20</f>
      </c>
      <c r="BF20" s="106">
        <v>130</v>
      </c>
      <c r="BG20" s="107">
        <v>115000</v>
      </c>
      <c r="BH20" s="106">
        <f>BF20*BG20</f>
      </c>
      <c r="BI20" s="3"/>
    </row>
    <row x14ac:dyDescent="0.25" r="21" customHeight="1" ht="42">
      <c r="A21" s="25">
        <v>16</v>
      </c>
      <c r="B21" s="26" t="s">
        <v>43</v>
      </c>
      <c r="C21" s="31" t="s">
        <v>44</v>
      </c>
      <c r="D21" s="114"/>
      <c r="E21" s="28"/>
      <c r="F21" s="103"/>
      <c r="G21" s="28">
        <f>E21*F21*97%</f>
      </c>
      <c r="H21" s="143">
        <v>60</v>
      </c>
      <c r="I21" s="105">
        <v>113500</v>
      </c>
      <c r="J21" s="104">
        <f>H21*I21</f>
      </c>
      <c r="K21" s="114"/>
      <c r="L21" s="28"/>
      <c r="M21" s="103"/>
      <c r="N21" s="28">
        <f>M21*L21*97%</f>
      </c>
      <c r="O21" s="143">
        <v>52</v>
      </c>
      <c r="P21" s="105">
        <v>113500</v>
      </c>
      <c r="Q21" s="104">
        <f>O21*P21</f>
      </c>
      <c r="R21" s="114">
        <v>0.03</v>
      </c>
      <c r="S21" s="28">
        <v>140</v>
      </c>
      <c r="T21" s="103">
        <v>88000</v>
      </c>
      <c r="U21" s="28">
        <f>S21*T21*97%</f>
      </c>
      <c r="V21" s="143">
        <v>68</v>
      </c>
      <c r="W21" s="105">
        <v>113500</v>
      </c>
      <c r="X21" s="104">
        <f>V21*W21</f>
      </c>
      <c r="Y21" s="28">
        <v>110</v>
      </c>
      <c r="Z21" s="103">
        <v>88000</v>
      </c>
      <c r="AA21" s="28">
        <f>Y21*Z21</f>
      </c>
      <c r="AB21" s="143">
        <v>84</v>
      </c>
      <c r="AC21" s="105">
        <v>113500</v>
      </c>
      <c r="AD21" s="104">
        <f>AB21*AC21</f>
      </c>
      <c r="AE21" s="28">
        <v>60</v>
      </c>
      <c r="AF21" s="103">
        <v>92400</v>
      </c>
      <c r="AG21" s="28">
        <f>AE21*AF21</f>
      </c>
      <c r="AH21" s="143">
        <v>76</v>
      </c>
      <c r="AI21" s="105">
        <v>113500</v>
      </c>
      <c r="AJ21" s="104">
        <f>AH21*AI21</f>
      </c>
      <c r="AK21" s="28"/>
      <c r="AL21" s="103">
        <v>92400</v>
      </c>
      <c r="AM21" s="28">
        <f>AK21*AL21</f>
      </c>
      <c r="AN21" s="143">
        <v>100</v>
      </c>
      <c r="AO21" s="105">
        <v>113500</v>
      </c>
      <c r="AP21" s="104">
        <f>AN21*AO21</f>
      </c>
      <c r="AQ21" s="106">
        <v>20</v>
      </c>
      <c r="AR21" s="107">
        <v>92400</v>
      </c>
      <c r="AS21" s="106">
        <f>AQ21*AR21</f>
      </c>
      <c r="AT21" s="106">
        <v>70</v>
      </c>
      <c r="AU21" s="107">
        <v>92400</v>
      </c>
      <c r="AV21" s="106">
        <f>AT21*AU21</f>
      </c>
      <c r="AW21" s="106">
        <v>30</v>
      </c>
      <c r="AX21" s="107">
        <v>107000</v>
      </c>
      <c r="AY21" s="106">
        <f>AW21*AX21</f>
      </c>
      <c r="AZ21" s="106">
        <v>100</v>
      </c>
      <c r="BA21" s="107">
        <v>113500</v>
      </c>
      <c r="BB21" s="106">
        <f>AZ21*BA21</f>
      </c>
      <c r="BC21" s="106">
        <v>100</v>
      </c>
      <c r="BD21" s="107">
        <v>113500</v>
      </c>
      <c r="BE21" s="106">
        <f>BC21*BD21</f>
      </c>
      <c r="BF21" s="106">
        <v>60</v>
      </c>
      <c r="BG21" s="107">
        <v>113500</v>
      </c>
      <c r="BH21" s="106">
        <f>BF21*BG21</f>
      </c>
      <c r="BI21" s="3"/>
    </row>
    <row x14ac:dyDescent="0.25" r="22" customHeight="1" ht="42">
      <c r="A22" s="25">
        <v>17</v>
      </c>
      <c r="B22" s="26" t="s">
        <v>45</v>
      </c>
      <c r="C22" s="31" t="s">
        <v>46</v>
      </c>
      <c r="D22" s="114">
        <v>0.03</v>
      </c>
      <c r="E22" s="28">
        <v>74</v>
      </c>
      <c r="F22" s="103">
        <v>90000</v>
      </c>
      <c r="G22" s="28">
        <f>E22*F22*97%</f>
      </c>
      <c r="H22" s="143">
        <v>240</v>
      </c>
      <c r="I22" s="105">
        <v>121000</v>
      </c>
      <c r="J22" s="104">
        <f>H22*I22</f>
      </c>
      <c r="K22" s="114">
        <v>0.03</v>
      </c>
      <c r="L22" s="28">
        <v>140</v>
      </c>
      <c r="M22" s="103">
        <v>90000</v>
      </c>
      <c r="N22" s="28">
        <f>M22*L22*97%</f>
      </c>
      <c r="O22" s="143">
        <v>110</v>
      </c>
      <c r="P22" s="105">
        <v>121000</v>
      </c>
      <c r="Q22" s="104">
        <f>O22*P22</f>
      </c>
      <c r="R22" s="114">
        <v>0.03</v>
      </c>
      <c r="S22" s="28">
        <v>50</v>
      </c>
      <c r="T22" s="103">
        <v>90000</v>
      </c>
      <c r="U22" s="28">
        <f>S22*T22*97%</f>
      </c>
      <c r="V22" s="143">
        <v>170</v>
      </c>
      <c r="W22" s="105">
        <v>121000</v>
      </c>
      <c r="X22" s="104">
        <f>V22*W22</f>
      </c>
      <c r="Y22" s="28">
        <v>130</v>
      </c>
      <c r="Z22" s="103">
        <v>90000</v>
      </c>
      <c r="AA22" s="28">
        <f>Y22*Z22</f>
      </c>
      <c r="AB22" s="143">
        <v>153</v>
      </c>
      <c r="AC22" s="105">
        <v>121000</v>
      </c>
      <c r="AD22" s="104">
        <f>AB22*AC22</f>
      </c>
      <c r="AE22" s="28">
        <v>150</v>
      </c>
      <c r="AF22" s="103">
        <v>94500</v>
      </c>
      <c r="AG22" s="28">
        <f>AE22*AF22</f>
      </c>
      <c r="AH22" s="143">
        <v>218</v>
      </c>
      <c r="AI22" s="105">
        <v>121000</v>
      </c>
      <c r="AJ22" s="104">
        <f>AH22*AI22</f>
      </c>
      <c r="AK22" s="28">
        <v>130</v>
      </c>
      <c r="AL22" s="103">
        <v>94500</v>
      </c>
      <c r="AM22" s="28">
        <f>AK22*AL22</f>
      </c>
      <c r="AN22" s="143">
        <v>128</v>
      </c>
      <c r="AO22" s="105">
        <v>121000</v>
      </c>
      <c r="AP22" s="104">
        <f>AN22*AO22</f>
      </c>
      <c r="AQ22" s="106">
        <v>60</v>
      </c>
      <c r="AR22" s="107">
        <v>94500</v>
      </c>
      <c r="AS22" s="106">
        <f>AQ22*AR22</f>
      </c>
      <c r="AT22" s="106">
        <v>110</v>
      </c>
      <c r="AU22" s="107">
        <v>94500</v>
      </c>
      <c r="AV22" s="106">
        <f>AT22*AU22</f>
      </c>
      <c r="AW22" s="106">
        <f>50+50</f>
      </c>
      <c r="AX22" s="108" t="s">
        <v>85</v>
      </c>
      <c r="AY22" s="106">
        <f>5200000+5500000</f>
      </c>
      <c r="AZ22" s="106">
        <v>200</v>
      </c>
      <c r="BA22" s="107">
        <v>121000</v>
      </c>
      <c r="BB22" s="106">
        <f>AZ22*BA22</f>
      </c>
      <c r="BC22" s="106">
        <v>200</v>
      </c>
      <c r="BD22" s="107">
        <v>121000</v>
      </c>
      <c r="BE22" s="106">
        <f>BC22*BD22</f>
      </c>
      <c r="BF22" s="106">
        <v>180</v>
      </c>
      <c r="BG22" s="107">
        <v>121000</v>
      </c>
      <c r="BH22" s="106">
        <f>BF22*BG22</f>
      </c>
      <c r="BI22" s="3"/>
    </row>
    <row x14ac:dyDescent="0.25" r="23" customHeight="1" ht="42">
      <c r="A23" s="25">
        <v>18</v>
      </c>
      <c r="B23" s="26" t="s">
        <v>47</v>
      </c>
      <c r="C23" s="31" t="s">
        <v>48</v>
      </c>
      <c r="D23" s="114"/>
      <c r="E23" s="28"/>
      <c r="F23" s="103"/>
      <c r="G23" s="28">
        <f>E23*F23*97%</f>
      </c>
      <c r="H23" s="143"/>
      <c r="I23" s="105">
        <v>51000</v>
      </c>
      <c r="J23" s="104">
        <f>H23*I23</f>
      </c>
      <c r="K23" s="114"/>
      <c r="L23" s="28"/>
      <c r="M23" s="103"/>
      <c r="N23" s="28">
        <f>M23*L23*97%</f>
      </c>
      <c r="O23" s="143">
        <v>50</v>
      </c>
      <c r="P23" s="105">
        <v>51000</v>
      </c>
      <c r="Q23" s="104">
        <f>O23*P23</f>
      </c>
      <c r="R23" s="114">
        <v>0.03</v>
      </c>
      <c r="S23" s="28">
        <v>105</v>
      </c>
      <c r="T23" s="103">
        <v>39000</v>
      </c>
      <c r="U23" s="28">
        <f>S23*T23*97%</f>
      </c>
      <c r="V23" s="143">
        <v>150</v>
      </c>
      <c r="W23" s="105">
        <v>51000</v>
      </c>
      <c r="X23" s="104">
        <f>V23*W23</f>
      </c>
      <c r="Y23" s="28">
        <v>165</v>
      </c>
      <c r="Z23" s="103">
        <v>39000</v>
      </c>
      <c r="AA23" s="28">
        <f>Y23*Z23</f>
      </c>
      <c r="AB23" s="143">
        <v>24</v>
      </c>
      <c r="AC23" s="105">
        <v>51000</v>
      </c>
      <c r="AD23" s="104">
        <f>AB23*AC23</f>
      </c>
      <c r="AE23" s="28">
        <v>97</v>
      </c>
      <c r="AF23" s="103">
        <v>41000</v>
      </c>
      <c r="AG23" s="28">
        <f>AE23*AF23</f>
      </c>
      <c r="AH23" s="143">
        <v>146</v>
      </c>
      <c r="AI23" s="105">
        <v>51000</v>
      </c>
      <c r="AJ23" s="104">
        <f>AH23*AI23</f>
      </c>
      <c r="AK23" s="28"/>
      <c r="AL23" s="103">
        <v>41000</v>
      </c>
      <c r="AM23" s="28">
        <f>AK23*AL23</f>
      </c>
      <c r="AN23" s="143"/>
      <c r="AO23" s="105">
        <v>51000</v>
      </c>
      <c r="AP23" s="104">
        <f>AN23*AO23</f>
      </c>
      <c r="AQ23" s="106"/>
      <c r="AR23" s="107">
        <v>41000</v>
      </c>
      <c r="AS23" s="106">
        <f>AQ23*AR23</f>
      </c>
      <c r="AT23" s="106">
        <f>3+100</f>
      </c>
      <c r="AU23" s="108" t="s">
        <v>103</v>
      </c>
      <c r="AV23" s="106">
        <f>123000+4600000</f>
      </c>
      <c r="AW23" s="106">
        <f>50+70</f>
      </c>
      <c r="AX23" s="108" t="s">
        <v>104</v>
      </c>
      <c r="AY23" s="106">
        <f>2300000+3395000</f>
      </c>
      <c r="AZ23" s="106">
        <v>30</v>
      </c>
      <c r="BA23" s="107">
        <v>51000</v>
      </c>
      <c r="BB23" s="106">
        <f>AZ23*BA23</f>
      </c>
      <c r="BC23" s="106">
        <v>100</v>
      </c>
      <c r="BD23" s="107">
        <v>51000</v>
      </c>
      <c r="BE23" s="106">
        <f>BC23*BD23</f>
      </c>
      <c r="BF23" s="106">
        <v>100</v>
      </c>
      <c r="BG23" s="107">
        <v>51000</v>
      </c>
      <c r="BH23" s="106">
        <f>BF23*BG23</f>
      </c>
      <c r="BI23" s="3"/>
    </row>
    <row x14ac:dyDescent="0.25" r="24" customHeight="1" ht="42">
      <c r="A24" s="25">
        <v>19</v>
      </c>
      <c r="B24" s="26" t="s">
        <v>49</v>
      </c>
      <c r="C24" s="27" t="s">
        <v>50</v>
      </c>
      <c r="D24" s="114">
        <v>0.03</v>
      </c>
      <c r="E24" s="28">
        <v>20</v>
      </c>
      <c r="F24" s="103">
        <v>90000</v>
      </c>
      <c r="G24" s="28">
        <f>E24*F24*97%</f>
      </c>
      <c r="H24" s="143">
        <v>70</v>
      </c>
      <c r="I24" s="105">
        <v>120000</v>
      </c>
      <c r="J24" s="104">
        <f>H24*I24</f>
      </c>
      <c r="K24" s="114">
        <v>0.03</v>
      </c>
      <c r="L24" s="28"/>
      <c r="M24" s="103">
        <v>90000</v>
      </c>
      <c r="N24" s="28">
        <f>M24*L24*97%</f>
      </c>
      <c r="O24" s="143">
        <f>30+4</f>
      </c>
      <c r="P24" s="109" t="s">
        <v>105</v>
      </c>
      <c r="Q24" s="104">
        <f>3600000+360000</f>
      </c>
      <c r="R24" s="114">
        <v>0.03</v>
      </c>
      <c r="S24" s="28">
        <v>10</v>
      </c>
      <c r="T24" s="103">
        <v>90000</v>
      </c>
      <c r="U24" s="28">
        <f>S24*T24*97%</f>
      </c>
      <c r="V24" s="143">
        <v>20</v>
      </c>
      <c r="W24" s="105">
        <v>120000</v>
      </c>
      <c r="X24" s="104">
        <f>V24*W24</f>
      </c>
      <c r="Y24" s="28">
        <v>65</v>
      </c>
      <c r="Z24" s="103">
        <v>90000</v>
      </c>
      <c r="AA24" s="28">
        <f>Y24*Z24</f>
      </c>
      <c r="AB24" s="143">
        <v>80</v>
      </c>
      <c r="AC24" s="105">
        <v>120000</v>
      </c>
      <c r="AD24" s="104">
        <f>AB24*AC24</f>
      </c>
      <c r="AE24" s="28">
        <v>40</v>
      </c>
      <c r="AF24" s="103">
        <v>94500</v>
      </c>
      <c r="AG24" s="28">
        <f>AE24*AF24</f>
      </c>
      <c r="AH24" s="143">
        <v>20</v>
      </c>
      <c r="AI24" s="144">
        <v>120000</v>
      </c>
      <c r="AJ24" s="104">
        <f>AH24*AI24</f>
      </c>
      <c r="AK24" s="28">
        <v>45</v>
      </c>
      <c r="AL24" s="103">
        <v>94500</v>
      </c>
      <c r="AM24" s="28">
        <f>AK24*AL24</f>
      </c>
      <c r="AN24" s="143">
        <v>100</v>
      </c>
      <c r="AO24" s="105">
        <v>120000</v>
      </c>
      <c r="AP24" s="104">
        <f>AN24*AO24</f>
      </c>
      <c r="AQ24" s="106">
        <v>20</v>
      </c>
      <c r="AR24" s="107">
        <v>94500</v>
      </c>
      <c r="AS24" s="106">
        <f>AQ24*AR24</f>
      </c>
      <c r="AT24" s="106">
        <v>120</v>
      </c>
      <c r="AU24" s="107">
        <v>94500</v>
      </c>
      <c r="AV24" s="106">
        <f>AT24*AU24</f>
      </c>
      <c r="AW24" s="106">
        <v>20</v>
      </c>
      <c r="AX24" s="107">
        <v>109000</v>
      </c>
      <c r="AY24" s="106">
        <f>AW24*AX24</f>
      </c>
      <c r="AZ24" s="106"/>
      <c r="BA24" s="107">
        <v>120000</v>
      </c>
      <c r="BB24" s="106">
        <f>AZ24*BA24</f>
      </c>
      <c r="BC24" s="106">
        <v>30</v>
      </c>
      <c r="BD24" s="107">
        <v>120000</v>
      </c>
      <c r="BE24" s="106">
        <f>BC24*BD24</f>
      </c>
      <c r="BF24" s="106">
        <v>70</v>
      </c>
      <c r="BG24" s="107">
        <v>120000</v>
      </c>
      <c r="BH24" s="106">
        <f>BF24*BG24</f>
      </c>
      <c r="BI24" s="3"/>
    </row>
    <row x14ac:dyDescent="0.25" r="25" customHeight="1" ht="42">
      <c r="A25" s="25">
        <v>20</v>
      </c>
      <c r="B25" s="26" t="s">
        <v>51</v>
      </c>
      <c r="C25" s="27" t="s">
        <v>52</v>
      </c>
      <c r="D25" s="114">
        <v>0.03</v>
      </c>
      <c r="E25" s="28">
        <v>50</v>
      </c>
      <c r="F25" s="103">
        <v>90000</v>
      </c>
      <c r="G25" s="28">
        <f>E25*F25*97%</f>
      </c>
      <c r="H25" s="143">
        <v>40</v>
      </c>
      <c r="I25" s="105">
        <v>120000</v>
      </c>
      <c r="J25" s="104">
        <f>H25*I25</f>
      </c>
      <c r="K25" s="114">
        <v>0.03</v>
      </c>
      <c r="L25" s="28">
        <v>20</v>
      </c>
      <c r="M25" s="103">
        <v>90000</v>
      </c>
      <c r="N25" s="28">
        <f>M25*L25*97%</f>
      </c>
      <c r="O25" s="145">
        <v>5</v>
      </c>
      <c r="P25" s="111">
        <v>90000</v>
      </c>
      <c r="Q25" s="110">
        <f>O25*P25</f>
      </c>
      <c r="R25" s="114">
        <v>0.03</v>
      </c>
      <c r="S25" s="28"/>
      <c r="T25" s="103">
        <v>90000</v>
      </c>
      <c r="U25" s="28">
        <f>S25*T25*97%</f>
      </c>
      <c r="V25" s="143">
        <v>58</v>
      </c>
      <c r="W25" s="105">
        <v>120000</v>
      </c>
      <c r="X25" s="104">
        <f>V25*W25</f>
      </c>
      <c r="Y25" s="28">
        <v>190</v>
      </c>
      <c r="Z25" s="103">
        <v>90000</v>
      </c>
      <c r="AA25" s="28">
        <f>Y25*Z25</f>
      </c>
      <c r="AB25" s="143">
        <v>82</v>
      </c>
      <c r="AC25" s="105">
        <v>120000</v>
      </c>
      <c r="AD25" s="104">
        <f>AB25*AC25</f>
      </c>
      <c r="AE25" s="28"/>
      <c r="AF25" s="103">
        <v>94500</v>
      </c>
      <c r="AG25" s="28">
        <f>AE25*AF25</f>
      </c>
      <c r="AH25" s="143">
        <v>100</v>
      </c>
      <c r="AI25" s="105">
        <v>120000</v>
      </c>
      <c r="AJ25" s="104">
        <f>AH25*AI25</f>
      </c>
      <c r="AK25" s="28">
        <v>10</v>
      </c>
      <c r="AL25" s="103">
        <v>94500</v>
      </c>
      <c r="AM25" s="28">
        <f>AK25*AL25</f>
      </c>
      <c r="AN25" s="143">
        <v>86</v>
      </c>
      <c r="AO25" s="105">
        <v>120000</v>
      </c>
      <c r="AP25" s="104">
        <f>AN25*AO25</f>
      </c>
      <c r="AQ25" s="106">
        <v>20</v>
      </c>
      <c r="AR25" s="107">
        <v>94500</v>
      </c>
      <c r="AS25" s="106">
        <f>AQ25*AR25</f>
      </c>
      <c r="AT25" s="106">
        <v>70</v>
      </c>
      <c r="AU25" s="107">
        <v>94500</v>
      </c>
      <c r="AV25" s="106">
        <f>AT25*AU25</f>
      </c>
      <c r="AW25" s="106">
        <v>40</v>
      </c>
      <c r="AX25" s="107">
        <v>109000</v>
      </c>
      <c r="AY25" s="106">
        <f>AW25*AX25</f>
      </c>
      <c r="AZ25" s="106">
        <v>20</v>
      </c>
      <c r="BA25" s="107">
        <v>120000</v>
      </c>
      <c r="BB25" s="106">
        <f>AZ25*BA25</f>
      </c>
      <c r="BC25" s="106">
        <v>70</v>
      </c>
      <c r="BD25" s="107">
        <v>120000</v>
      </c>
      <c r="BE25" s="106">
        <f>BC25*BD25</f>
      </c>
      <c r="BF25" s="106">
        <v>50</v>
      </c>
      <c r="BG25" s="107">
        <v>120000</v>
      </c>
      <c r="BH25" s="106">
        <f>BF25*BG25</f>
      </c>
      <c r="BI25" s="3"/>
    </row>
    <row x14ac:dyDescent="0.25" r="26" customHeight="1" ht="42">
      <c r="A26" s="25">
        <v>21</v>
      </c>
      <c r="B26" s="26" t="s">
        <v>53</v>
      </c>
      <c r="C26" s="31" t="s">
        <v>54</v>
      </c>
      <c r="D26" s="114"/>
      <c r="E26" s="28"/>
      <c r="F26" s="103"/>
      <c r="G26" s="28">
        <f>E26*F26*97%</f>
      </c>
      <c r="H26" s="143"/>
      <c r="I26" s="105"/>
      <c r="J26" s="104"/>
      <c r="K26" s="114"/>
      <c r="L26" s="28"/>
      <c r="M26" s="103"/>
      <c r="N26" s="28">
        <f>M26*L26*97%</f>
      </c>
      <c r="O26" s="143">
        <v>6</v>
      </c>
      <c r="P26" s="105">
        <v>35000</v>
      </c>
      <c r="Q26" s="104">
        <f>O26*P26</f>
      </c>
      <c r="R26" s="114"/>
      <c r="S26" s="28"/>
      <c r="T26" s="103"/>
      <c r="U26" s="28">
        <f>S26*T26*97%</f>
      </c>
      <c r="V26" s="143"/>
      <c r="W26" s="105">
        <v>35000</v>
      </c>
      <c r="X26" s="104">
        <f>V26*W26</f>
      </c>
      <c r="Y26" s="28"/>
      <c r="Z26" s="103"/>
      <c r="AA26" s="28">
        <f>Y26*Z26</f>
      </c>
      <c r="AB26" s="143"/>
      <c r="AC26" s="105">
        <v>35000</v>
      </c>
      <c r="AD26" s="104">
        <f>AB26*AC26</f>
      </c>
      <c r="AE26" s="28"/>
      <c r="AF26" s="103"/>
      <c r="AG26" s="28">
        <f>AE26*AF26</f>
      </c>
      <c r="AH26" s="143"/>
      <c r="AI26" s="105">
        <v>35000</v>
      </c>
      <c r="AJ26" s="104">
        <f>AH26*AI26</f>
      </c>
      <c r="AK26" s="28"/>
      <c r="AL26" s="103"/>
      <c r="AM26" s="28">
        <f>AK26*AL26</f>
      </c>
      <c r="AN26" s="143"/>
      <c r="AO26" s="105">
        <v>35000</v>
      </c>
      <c r="AP26" s="104">
        <f>AN26*AO26</f>
      </c>
      <c r="AQ26" s="106"/>
      <c r="AR26" s="107"/>
      <c r="AS26" s="106"/>
      <c r="AT26" s="106"/>
      <c r="AU26" s="107"/>
      <c r="AV26" s="106"/>
      <c r="AW26" s="106"/>
      <c r="AX26" s="107"/>
      <c r="AY26" s="106"/>
      <c r="AZ26" s="106"/>
      <c r="BA26" s="107"/>
      <c r="BB26" s="106"/>
      <c r="BC26" s="106"/>
      <c r="BD26" s="107"/>
      <c r="BE26" s="106"/>
      <c r="BF26" s="106"/>
      <c r="BG26" s="107"/>
      <c r="BH26" s="106"/>
      <c r="BI26" s="3"/>
    </row>
    <row x14ac:dyDescent="0.25" r="27" customHeight="1" ht="42">
      <c r="A27" s="25">
        <v>22</v>
      </c>
      <c r="B27" s="26" t="s">
        <v>55</v>
      </c>
      <c r="C27" s="27" t="s">
        <v>56</v>
      </c>
      <c r="D27" s="114">
        <v>0.03</v>
      </c>
      <c r="E27" s="28">
        <v>50</v>
      </c>
      <c r="F27" s="103">
        <v>70000</v>
      </c>
      <c r="G27" s="28">
        <f>E27*F27*97%</f>
      </c>
      <c r="H27" s="143">
        <v>200</v>
      </c>
      <c r="I27" s="105">
        <v>89000</v>
      </c>
      <c r="J27" s="104">
        <f>H27*I27</f>
      </c>
      <c r="K27" s="114">
        <v>0.03</v>
      </c>
      <c r="L27" s="28">
        <v>50</v>
      </c>
      <c r="M27" s="103">
        <v>70000</v>
      </c>
      <c r="N27" s="28">
        <f>M27*L27*97%</f>
      </c>
      <c r="O27" s="143">
        <f>44+5</f>
      </c>
      <c r="P27" s="109" t="s">
        <v>106</v>
      </c>
      <c r="Q27" s="104">
        <f>3916000+340000</f>
      </c>
      <c r="R27" s="114">
        <v>0.03</v>
      </c>
      <c r="S27" s="28">
        <v>68</v>
      </c>
      <c r="T27" s="103">
        <v>70000</v>
      </c>
      <c r="U27" s="28">
        <f>S27*T27*97%</f>
      </c>
      <c r="V27" s="143">
        <v>137</v>
      </c>
      <c r="W27" s="105">
        <v>89000</v>
      </c>
      <c r="X27" s="104">
        <f>V27*W27</f>
      </c>
      <c r="Y27" s="28">
        <v>140</v>
      </c>
      <c r="Z27" s="103">
        <v>70000</v>
      </c>
      <c r="AA27" s="28">
        <f>Y27*Z27</f>
      </c>
      <c r="AB27" s="143">
        <v>119</v>
      </c>
      <c r="AC27" s="105">
        <v>89000</v>
      </c>
      <c r="AD27" s="104">
        <f>AB27*AC27</f>
      </c>
      <c r="AE27" s="28">
        <v>110</v>
      </c>
      <c r="AF27" s="103">
        <v>73500</v>
      </c>
      <c r="AG27" s="28">
        <f>AE27*AF27</f>
      </c>
      <c r="AH27" s="143">
        <v>279</v>
      </c>
      <c r="AI27" s="105">
        <v>89000</v>
      </c>
      <c r="AJ27" s="104">
        <f>AH27*AI27</f>
      </c>
      <c r="AK27" s="28">
        <v>100</v>
      </c>
      <c r="AL27" s="103">
        <v>73500</v>
      </c>
      <c r="AM27" s="28">
        <f>AK27*AL27</f>
      </c>
      <c r="AN27" s="143">
        <v>61</v>
      </c>
      <c r="AO27" s="105">
        <v>89000</v>
      </c>
      <c r="AP27" s="104">
        <f>AN27*AO27</f>
      </c>
      <c r="AQ27" s="106">
        <v>70</v>
      </c>
      <c r="AR27" s="107">
        <v>73500</v>
      </c>
      <c r="AS27" s="106">
        <f>AQ27*AR27</f>
      </c>
      <c r="AT27" s="106">
        <v>130</v>
      </c>
      <c r="AU27" s="107">
        <v>73500</v>
      </c>
      <c r="AV27" s="106">
        <f>AT27*AU27</f>
      </c>
      <c r="AW27" s="106"/>
      <c r="AX27" s="107">
        <v>81000</v>
      </c>
      <c r="AY27" s="106">
        <f>AW27*AX27</f>
      </c>
      <c r="AZ27" s="106"/>
      <c r="BA27" s="107">
        <v>89000</v>
      </c>
      <c r="BB27" s="106">
        <f>AZ27*BA27</f>
      </c>
      <c r="BC27" s="106"/>
      <c r="BD27" s="107">
        <v>89000</v>
      </c>
      <c r="BE27" s="106">
        <f>BC27*BD27</f>
      </c>
      <c r="BF27" s="106">
        <v>200</v>
      </c>
      <c r="BG27" s="107">
        <v>89000</v>
      </c>
      <c r="BH27" s="106">
        <f>BF27*BG27</f>
      </c>
      <c r="BI27" s="3"/>
    </row>
    <row x14ac:dyDescent="0.25" r="28" customHeight="1" ht="42">
      <c r="A28" s="32">
        <v>23</v>
      </c>
      <c r="B28" s="30" t="s">
        <v>57</v>
      </c>
      <c r="C28" s="31" t="s">
        <v>58</v>
      </c>
      <c r="D28" s="114"/>
      <c r="E28" s="28"/>
      <c r="F28" s="103"/>
      <c r="G28" s="28"/>
      <c r="H28" s="143"/>
      <c r="I28" s="105"/>
      <c r="J28" s="104"/>
      <c r="K28" s="114"/>
      <c r="L28" s="28"/>
      <c r="M28" s="103"/>
      <c r="N28" s="28"/>
      <c r="O28" s="143">
        <v>1</v>
      </c>
      <c r="P28" s="105">
        <v>90000</v>
      </c>
      <c r="Q28" s="104">
        <f>O28*P28</f>
      </c>
      <c r="R28" s="114"/>
      <c r="S28" s="28"/>
      <c r="T28" s="103"/>
      <c r="U28" s="28"/>
      <c r="V28" s="143"/>
      <c r="W28" s="105">
        <v>90000</v>
      </c>
      <c r="X28" s="104">
        <f>V28*W28</f>
      </c>
      <c r="Y28" s="28"/>
      <c r="Z28" s="103"/>
      <c r="AA28" s="28"/>
      <c r="AB28" s="143"/>
      <c r="AC28" s="105">
        <v>90000</v>
      </c>
      <c r="AD28" s="104">
        <f>AB28*AC28</f>
      </c>
      <c r="AE28" s="28"/>
      <c r="AF28" s="103"/>
      <c r="AG28" s="28"/>
      <c r="AH28" s="143"/>
      <c r="AI28" s="105">
        <v>90000</v>
      </c>
      <c r="AJ28" s="104">
        <f>AH28*AI28</f>
      </c>
      <c r="AK28" s="28"/>
      <c r="AL28" s="103"/>
      <c r="AM28" s="28"/>
      <c r="AN28" s="143"/>
      <c r="AO28" s="105">
        <v>90000</v>
      </c>
      <c r="AP28" s="104">
        <f>AN28*AO28</f>
      </c>
      <c r="AQ28" s="106"/>
      <c r="AR28" s="107"/>
      <c r="AS28" s="106"/>
      <c r="AT28" s="106"/>
      <c r="AU28" s="107"/>
      <c r="AV28" s="106"/>
      <c r="AW28" s="106"/>
      <c r="AX28" s="107"/>
      <c r="AY28" s="106"/>
      <c r="AZ28" s="106"/>
      <c r="BA28" s="107"/>
      <c r="BB28" s="106"/>
      <c r="BC28" s="106"/>
      <c r="BD28" s="107"/>
      <c r="BE28" s="106"/>
      <c r="BF28" s="106"/>
      <c r="BG28" s="107"/>
      <c r="BH28" s="106"/>
      <c r="BI28" s="5"/>
    </row>
    <row x14ac:dyDescent="0.25" r="29" customHeight="1" ht="42">
      <c r="A29" s="25">
        <v>24</v>
      </c>
      <c r="B29" s="26" t="s">
        <v>59</v>
      </c>
      <c r="C29" s="33" t="s">
        <v>60</v>
      </c>
      <c r="D29" s="114">
        <v>0.03</v>
      </c>
      <c r="E29" s="28"/>
      <c r="F29" s="103"/>
      <c r="G29" s="28">
        <f>E29*F29*97%</f>
      </c>
      <c r="H29" s="143">
        <v>509</v>
      </c>
      <c r="I29" s="105">
        <v>94000</v>
      </c>
      <c r="J29" s="104">
        <f>H29*I29</f>
      </c>
      <c r="K29" s="114">
        <v>0.03</v>
      </c>
      <c r="L29" s="28">
        <v>130</v>
      </c>
      <c r="M29" s="103">
        <v>72000</v>
      </c>
      <c r="N29" s="28">
        <f>M29*L29*97%</f>
      </c>
      <c r="O29" s="143">
        <v>240</v>
      </c>
      <c r="P29" s="105">
        <v>94000</v>
      </c>
      <c r="Q29" s="104">
        <f>O29*P29</f>
      </c>
      <c r="R29" s="114">
        <v>0.03</v>
      </c>
      <c r="S29" s="28">
        <v>363</v>
      </c>
      <c r="T29" s="103">
        <v>72000</v>
      </c>
      <c r="U29" s="28">
        <f>S29*T29*97%</f>
      </c>
      <c r="V29" s="143">
        <v>298</v>
      </c>
      <c r="W29" s="105">
        <v>94000</v>
      </c>
      <c r="X29" s="104">
        <f>V29*W29</f>
      </c>
      <c r="Y29" s="28">
        <v>102</v>
      </c>
      <c r="Z29" s="103">
        <v>72000</v>
      </c>
      <c r="AA29" s="28">
        <f>Y29*Z29</f>
      </c>
      <c r="AB29" s="143">
        <v>412</v>
      </c>
      <c r="AC29" s="105">
        <v>94000</v>
      </c>
      <c r="AD29" s="104">
        <f>AB29*AC29</f>
      </c>
      <c r="AE29" s="28">
        <v>350</v>
      </c>
      <c r="AF29" s="103">
        <v>75600</v>
      </c>
      <c r="AG29" s="28">
        <f>AE29*AF29</f>
      </c>
      <c r="AH29" s="143">
        <v>440</v>
      </c>
      <c r="AI29" s="105">
        <v>94000</v>
      </c>
      <c r="AJ29" s="104">
        <f>AH29*AI29</f>
      </c>
      <c r="AK29" s="28">
        <v>390</v>
      </c>
      <c r="AL29" s="103">
        <v>75600</v>
      </c>
      <c r="AM29" s="28">
        <f>AK29*AL29</f>
      </c>
      <c r="AN29" s="143">
        <v>400</v>
      </c>
      <c r="AO29" s="105">
        <v>94000</v>
      </c>
      <c r="AP29" s="104">
        <f>AN29*AO29</f>
      </c>
      <c r="AQ29" s="106">
        <v>160</v>
      </c>
      <c r="AR29" s="107">
        <v>75600</v>
      </c>
      <c r="AS29" s="106">
        <f>AQ29*AR29</f>
      </c>
      <c r="AT29" s="106">
        <v>250</v>
      </c>
      <c r="AU29" s="107">
        <v>75600</v>
      </c>
      <c r="AV29" s="106">
        <f>AT29*AU29</f>
      </c>
      <c r="AW29" s="106">
        <f>160+40</f>
      </c>
      <c r="AX29" s="108" t="s">
        <v>107</v>
      </c>
      <c r="AY29" s="106">
        <f>13440000+3540000</f>
      </c>
      <c r="AZ29" s="106">
        <v>200</v>
      </c>
      <c r="BA29" s="107">
        <v>94000</v>
      </c>
      <c r="BB29" s="106">
        <f>AZ29*BA29</f>
      </c>
      <c r="BC29" s="106">
        <v>351</v>
      </c>
      <c r="BD29" s="107">
        <v>94000</v>
      </c>
      <c r="BE29" s="106">
        <f>BC29*BD29</f>
      </c>
      <c r="BF29" s="106">
        <v>500</v>
      </c>
      <c r="BG29" s="107">
        <v>94000</v>
      </c>
      <c r="BH29" s="106">
        <f>BF29*BG29</f>
      </c>
      <c r="BI29" s="3"/>
    </row>
    <row x14ac:dyDescent="0.25" r="30" customHeight="1" ht="42">
      <c r="A30" s="28">
        <v>25</v>
      </c>
      <c r="B30" s="30" t="s">
        <v>61</v>
      </c>
      <c r="C30" s="33" t="s">
        <v>62</v>
      </c>
      <c r="D30" s="114"/>
      <c r="E30" s="28"/>
      <c r="F30" s="103"/>
      <c r="G30" s="28"/>
      <c r="H30" s="143">
        <v>400</v>
      </c>
      <c r="I30" s="105">
        <v>46000</v>
      </c>
      <c r="J30" s="104">
        <f>H30*I30</f>
      </c>
      <c r="K30" s="114"/>
      <c r="L30" s="28"/>
      <c r="M30" s="103"/>
      <c r="N30" s="28"/>
      <c r="O30" s="143"/>
      <c r="P30" s="105">
        <v>46000</v>
      </c>
      <c r="Q30" s="104">
        <f>O30*P30</f>
      </c>
      <c r="R30" s="114"/>
      <c r="S30" s="28"/>
      <c r="T30" s="103"/>
      <c r="U30" s="28"/>
      <c r="V30" s="143">
        <v>233</v>
      </c>
      <c r="W30" s="105">
        <v>46000</v>
      </c>
      <c r="X30" s="104">
        <f>V30*W30</f>
      </c>
      <c r="Y30" s="28"/>
      <c r="Z30" s="103"/>
      <c r="AA30" s="28"/>
      <c r="AB30" s="143">
        <v>67</v>
      </c>
      <c r="AC30" s="105">
        <v>46000</v>
      </c>
      <c r="AD30" s="104">
        <f>AB30*AC30</f>
      </c>
      <c r="AE30" s="28"/>
      <c r="AF30" s="103"/>
      <c r="AG30" s="28"/>
      <c r="AH30" s="143">
        <v>235</v>
      </c>
      <c r="AI30" s="105">
        <v>46000</v>
      </c>
      <c r="AJ30" s="104">
        <f>AH30*AI30</f>
      </c>
      <c r="AK30" s="28"/>
      <c r="AL30" s="103"/>
      <c r="AM30" s="28"/>
      <c r="AN30" s="143">
        <v>65</v>
      </c>
      <c r="AO30" s="105">
        <v>46000</v>
      </c>
      <c r="AP30" s="104">
        <f>AN30*AO30</f>
      </c>
      <c r="AQ30" s="106"/>
      <c r="AR30" s="107"/>
      <c r="AS30" s="106"/>
      <c r="AT30" s="106"/>
      <c r="AU30" s="107"/>
      <c r="AV30" s="106"/>
      <c r="AW30" s="106"/>
      <c r="AX30" s="108"/>
      <c r="AY30" s="106"/>
      <c r="AZ30" s="106"/>
      <c r="BA30" s="107"/>
      <c r="BB30" s="106"/>
      <c r="BC30" s="106"/>
      <c r="BD30" s="107"/>
      <c r="BE30" s="106"/>
      <c r="BF30" s="106">
        <v>700</v>
      </c>
      <c r="BG30" s="107">
        <v>46000</v>
      </c>
      <c r="BH30" s="106">
        <f>BF30*BG30</f>
      </c>
      <c r="BI30" s="3"/>
    </row>
    <row x14ac:dyDescent="0.25" r="31" customHeight="1" ht="42">
      <c r="A31" s="137" t="s">
        <v>63</v>
      </c>
      <c r="B31" s="146"/>
      <c r="C31" s="147"/>
      <c r="D31" s="148"/>
      <c r="E31" s="18">
        <f>SUM(E6:E30)</f>
      </c>
      <c r="F31" s="97"/>
      <c r="G31" s="18">
        <f>SUM(G6:G30)</f>
      </c>
      <c r="H31" s="94">
        <f>SUM(H6:H30)</f>
      </c>
      <c r="I31" s="94"/>
      <c r="J31" s="94">
        <f>SUM(J6:J30)</f>
      </c>
      <c r="K31" s="148"/>
      <c r="L31" s="18">
        <f>SUM(L6:L30)</f>
      </c>
      <c r="M31" s="97"/>
      <c r="N31" s="18">
        <f>SUM(N6:N30)</f>
      </c>
      <c r="O31" s="94">
        <f>SUM(O6:O30)</f>
      </c>
      <c r="P31" s="94"/>
      <c r="Q31" s="94">
        <f>SUM(Q6:Q30)</f>
      </c>
      <c r="R31" s="148"/>
      <c r="S31" s="18">
        <f>SUM(S6:S30)</f>
      </c>
      <c r="T31" s="97"/>
      <c r="U31" s="18">
        <f>SUM(U6:U30)</f>
      </c>
      <c r="V31" s="94">
        <f>SUM(V6:V30)</f>
      </c>
      <c r="W31" s="94"/>
      <c r="X31" s="94">
        <f>SUM(X6:X30)</f>
      </c>
      <c r="Y31" s="18">
        <f>SUM(Y6:Y30)</f>
      </c>
      <c r="Z31" s="97"/>
      <c r="AA31" s="18">
        <f>SUM(AA6:AA30)</f>
      </c>
      <c r="AB31" s="94">
        <f>SUM(AB6:AB30)</f>
      </c>
      <c r="AC31" s="94"/>
      <c r="AD31" s="94">
        <f>SUM(AD6:AD30)</f>
      </c>
      <c r="AE31" s="18">
        <f>SUM(AE6:AE30)</f>
      </c>
      <c r="AF31" s="97"/>
      <c r="AG31" s="18">
        <f>SUM(AG6:AG30)</f>
      </c>
      <c r="AH31" s="94">
        <f>SUM(AH6:AH30)</f>
      </c>
      <c r="AI31" s="94"/>
      <c r="AJ31" s="94">
        <f>SUM(AJ6:AJ30)</f>
      </c>
      <c r="AK31" s="18">
        <f>SUM(AK6:AK30)</f>
      </c>
      <c r="AL31" s="97"/>
      <c r="AM31" s="18">
        <f>SUM(AM6:AM30)</f>
      </c>
      <c r="AN31" s="94">
        <f>SUM(AN6:AN30)</f>
      </c>
      <c r="AO31" s="94"/>
      <c r="AP31" s="117">
        <f>SUM(AP6:AP30)</f>
      </c>
      <c r="AQ31" s="118">
        <f>SUM(AQ6:AQ29)</f>
      </c>
      <c r="AR31" s="119"/>
      <c r="AS31" s="118">
        <f>SUM(AS6:AS29)</f>
      </c>
      <c r="AT31" s="118">
        <f>SUM(AT6:AT29)</f>
      </c>
      <c r="AU31" s="119"/>
      <c r="AV31" s="118">
        <f>SUM(AV6:AV29)</f>
      </c>
      <c r="AW31" s="118">
        <f>SUM(AW6:AW29)</f>
      </c>
      <c r="AX31" s="119"/>
      <c r="AY31" s="118">
        <f>SUM(AY6:AY29)</f>
      </c>
      <c r="AZ31" s="118">
        <f>SUM(AZ6:AZ29)</f>
      </c>
      <c r="BA31" s="119"/>
      <c r="BB31" s="118">
        <f>SUM(BB6:BB29)</f>
      </c>
      <c r="BC31" s="118">
        <f>SUM(BC6:BC29)</f>
      </c>
      <c r="BD31" s="119"/>
      <c r="BE31" s="118">
        <f>SUM(BE6:BE29)</f>
      </c>
      <c r="BF31" s="118">
        <f>SUM(BF6:BF30)</f>
      </c>
      <c r="BG31" s="119"/>
      <c r="BH31" s="118">
        <f>SUM(BH6:BH30)</f>
      </c>
      <c r="BI31" s="3"/>
    </row>
    <row x14ac:dyDescent="0.25" r="32" customHeight="1" ht="42">
      <c r="A32" s="1"/>
      <c r="B32" s="2"/>
      <c r="C32" s="3"/>
      <c r="D32" s="73"/>
      <c r="E32" s="1"/>
      <c r="F32" s="1"/>
      <c r="G32" s="1"/>
      <c r="H32" s="1"/>
      <c r="I32" s="1"/>
      <c r="J32" s="1"/>
      <c r="K32" s="132"/>
      <c r="L32" s="1"/>
      <c r="M32" s="1"/>
      <c r="N32" s="1"/>
      <c r="O32" s="120"/>
      <c r="P32" s="120"/>
      <c r="Q32" s="120"/>
      <c r="R32" s="132"/>
      <c r="S32" s="1"/>
      <c r="T32" s="1"/>
      <c r="U32" s="1"/>
      <c r="V32" s="1"/>
      <c r="W32" s="1"/>
      <c r="X32" s="1"/>
      <c r="Y32" s="4"/>
      <c r="Z32" s="76"/>
      <c r="AA32" s="5"/>
      <c r="AB32" s="1"/>
      <c r="AC32" s="1"/>
      <c r="AD32" s="1"/>
      <c r="AE32" s="1"/>
      <c r="AF32" s="1"/>
      <c r="AG32" s="1"/>
      <c r="AH32" s="1"/>
      <c r="AI32" s="1"/>
      <c r="AJ32" s="1"/>
      <c r="AK32" s="4"/>
      <c r="AL32" s="76"/>
      <c r="AM32" s="5"/>
      <c r="AN32" s="1"/>
      <c r="AO32" s="1"/>
      <c r="AP32" s="1"/>
      <c r="AQ32" s="121"/>
      <c r="AR32" s="122"/>
      <c r="AS32" s="12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21"/>
      <c r="BG32" s="122"/>
      <c r="BH32" s="121"/>
      <c r="BI32" s="3"/>
    </row>
    <row x14ac:dyDescent="0.25" r="33" customHeight="1" ht="42">
      <c r="A33" s="1"/>
      <c r="B33" s="2"/>
      <c r="C33" s="3"/>
      <c r="D33" s="73"/>
      <c r="E33" s="1"/>
      <c r="F33" s="1"/>
      <c r="G33" s="1"/>
      <c r="H33" s="1"/>
      <c r="I33" s="1"/>
      <c r="J33" s="1"/>
      <c r="K33" s="132"/>
      <c r="L33" s="8"/>
      <c r="M33" s="149"/>
      <c r="N33" s="8"/>
      <c r="O33" s="1"/>
      <c r="P33" s="1"/>
      <c r="Q33" s="1"/>
      <c r="R33" s="132"/>
      <c r="S33" s="8"/>
      <c r="T33" s="149"/>
      <c r="U33" s="8"/>
      <c r="V33" s="1"/>
      <c r="W33" s="1"/>
      <c r="X33" s="1"/>
      <c r="Y33" s="4"/>
      <c r="Z33" s="76"/>
      <c r="AA33" s="5"/>
      <c r="AB33" s="1"/>
      <c r="AC33" s="1"/>
      <c r="AD33" s="1"/>
      <c r="AE33" s="4"/>
      <c r="AF33" s="76"/>
      <c r="AG33" s="5"/>
      <c r="AH33" s="1"/>
      <c r="AI33" s="1"/>
      <c r="AJ33" s="1"/>
      <c r="AK33" s="4"/>
      <c r="AL33" s="76"/>
      <c r="AM33" s="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3"/>
    </row>
    <row x14ac:dyDescent="0.25" r="34" customHeight="1" ht="42">
      <c r="A34" s="1"/>
      <c r="B34" s="12"/>
      <c r="C34" s="3"/>
      <c r="D34" s="150"/>
      <c r="E34" s="4"/>
      <c r="F34" s="76"/>
      <c r="G34" s="4"/>
      <c r="H34" s="1"/>
      <c r="I34" s="1"/>
      <c r="J34" s="1"/>
      <c r="K34" s="4"/>
      <c r="L34" s="4"/>
      <c r="M34" s="76"/>
      <c r="N34" s="4"/>
      <c r="O34" s="1"/>
      <c r="P34" s="1"/>
      <c r="Q34" s="1"/>
      <c r="R34" s="4"/>
      <c r="S34" s="4"/>
      <c r="T34" s="76"/>
      <c r="U34" s="4"/>
      <c r="V34" s="1"/>
      <c r="W34" s="1"/>
      <c r="X34" s="1"/>
      <c r="Y34" s="4"/>
      <c r="Z34" s="76"/>
      <c r="AA34" s="4"/>
      <c r="AB34" s="1"/>
      <c r="AC34" s="1"/>
      <c r="AD34" s="1"/>
      <c r="AE34" s="4"/>
      <c r="AF34" s="76"/>
      <c r="AG34" s="4"/>
      <c r="AH34" s="1"/>
      <c r="AI34" s="1"/>
      <c r="AJ34" s="1"/>
      <c r="AK34" s="4"/>
      <c r="AL34" s="76"/>
      <c r="AM34" s="4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3"/>
    </row>
    <row x14ac:dyDescent="0.25" r="35" customHeight="1" ht="42">
      <c r="A35" s="1"/>
      <c r="B35" s="2"/>
      <c r="C35" s="3"/>
      <c r="D35" s="73"/>
      <c r="E35" s="1"/>
      <c r="F35" s="1"/>
      <c r="G35" s="1"/>
      <c r="H35" s="1"/>
      <c r="I35" s="1"/>
      <c r="J35" s="1"/>
      <c r="K35" s="73"/>
      <c r="L35" s="1"/>
      <c r="M35" s="1"/>
      <c r="N35" s="1"/>
      <c r="O35" s="1"/>
      <c r="P35" s="1"/>
      <c r="Q35" s="1"/>
      <c r="R35" s="73"/>
      <c r="S35" s="1"/>
      <c r="T35" s="1"/>
      <c r="U35" s="15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3"/>
    </row>
    <row x14ac:dyDescent="0.25" r="36" customHeight="1" ht="42">
      <c r="A36" s="1"/>
      <c r="B36" s="2"/>
      <c r="C36" s="3"/>
      <c r="D36" s="73"/>
      <c r="E36" s="1"/>
      <c r="F36" s="1"/>
      <c r="G36" s="1"/>
      <c r="H36" s="1"/>
      <c r="I36" s="1"/>
      <c r="J36" s="1"/>
      <c r="K36" s="73"/>
      <c r="L36" s="1"/>
      <c r="M36" s="1"/>
      <c r="N36" s="1"/>
      <c r="O36" s="1"/>
      <c r="P36" s="1"/>
      <c r="Q36" s="1"/>
      <c r="R36" s="73"/>
      <c r="S36" s="1"/>
      <c r="T36" s="152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3"/>
    </row>
  </sheetData>
  <mergeCells count="45">
    <mergeCell ref="A2:G2"/>
    <mergeCell ref="AQ2:BH2"/>
    <mergeCell ref="A3:A5"/>
    <mergeCell ref="B3:B5"/>
    <mergeCell ref="C3:C5"/>
    <mergeCell ref="D3:D5"/>
    <mergeCell ref="E3:G3"/>
    <mergeCell ref="H3:J3"/>
    <mergeCell ref="K3:K5"/>
    <mergeCell ref="L3:N3"/>
    <mergeCell ref="O3:Q3"/>
    <mergeCell ref="R3:R5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E4:G4"/>
    <mergeCell ref="H4:J4"/>
    <mergeCell ref="L4:N4"/>
    <mergeCell ref="O4:Q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A31:C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K34"/>
  <sheetViews>
    <sheetView workbookViewId="0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127" width="6.433571428571429" customWidth="1" bestFit="1"/>
    <col min="5" max="5" style="38" width="7.862142857142857" customWidth="1" bestFit="1"/>
    <col min="6" max="6" style="38" width="10.005" customWidth="1" bestFit="1"/>
    <col min="7" max="7" style="38" width="14.147857142857141" customWidth="1" bestFit="1"/>
    <col min="8" max="8" style="35" width="7.005" customWidth="1" bestFit="1"/>
    <col min="9" max="9" style="35" width="7.719285714285714" customWidth="1" bestFit="1"/>
    <col min="10" max="10" style="35" width="13.43357142857143" customWidth="1" bestFit="1"/>
    <col min="11" max="11" style="128" width="9.290714285714287" customWidth="1" bestFit="1"/>
    <col min="12" max="12" style="38" width="9.290714285714287" customWidth="1" bestFit="1"/>
    <col min="13" max="13" style="38" width="9.290714285714287" customWidth="1" bestFit="1"/>
    <col min="14" max="14" style="38" width="12.576428571428572" customWidth="1" bestFit="1"/>
    <col min="15" max="15" style="35" width="7.005" customWidth="1" bestFit="1"/>
    <col min="16" max="16" style="35" width="7.719285714285714" customWidth="1" bestFit="1"/>
    <col min="17" max="17" style="35" width="13.43357142857143" customWidth="1" bestFit="1"/>
    <col min="18" max="18" style="128" width="9.290714285714287" customWidth="1" bestFit="1"/>
    <col min="19" max="19" style="38" width="9.290714285714287" customWidth="1" bestFit="1"/>
    <col min="20" max="20" style="38" width="9.290714285714287" customWidth="1" bestFit="1"/>
    <col min="21" max="21" style="38" width="11.576428571428572" customWidth="1" bestFit="1"/>
    <col min="22" max="22" style="35" width="7.005" customWidth="1" bestFit="1"/>
    <col min="23" max="23" style="35" width="7.719285714285714" customWidth="1" bestFit="1"/>
    <col min="24" max="24" style="35" width="13.43357142857143" customWidth="1" bestFit="1"/>
    <col min="25" max="25" style="38" width="9.290714285714287" customWidth="1" bestFit="1"/>
    <col min="26" max="26" style="38" width="9.290714285714287" customWidth="1" bestFit="1"/>
    <col min="27" max="27" style="38" width="12.576428571428572" customWidth="1" bestFit="1"/>
    <col min="28" max="28" style="35" width="7.005" customWidth="1" bestFit="1"/>
    <col min="29" max="29" style="35" width="7.719285714285714" customWidth="1" bestFit="1"/>
    <col min="30" max="30" style="35" width="13.43357142857143" customWidth="1" bestFit="1"/>
    <col min="31" max="31" style="38" width="9.290714285714287" customWidth="1" bestFit="1"/>
    <col min="32" max="32" style="38" width="9.290714285714287" customWidth="1" bestFit="1"/>
    <col min="33" max="33" style="38" width="12.576428571428572" customWidth="1" bestFit="1"/>
    <col min="34" max="34" style="35" width="7.005" customWidth="1" bestFit="1"/>
    <col min="35" max="35" style="35" width="7.719285714285714" customWidth="1" bestFit="1"/>
    <col min="36" max="36" style="35" width="13.43357142857143" customWidth="1" bestFit="1"/>
    <col min="37" max="37" style="38" width="9.290714285714287" customWidth="1" bestFit="1"/>
    <col min="38" max="38" style="38" width="9.290714285714287" customWidth="1" bestFit="1"/>
    <col min="39" max="39" style="38" width="12.576428571428572" customWidth="1" bestFit="1"/>
    <col min="40" max="40" style="35" width="7.005" customWidth="1" bestFit="1"/>
    <col min="41" max="41" style="35" width="7.719285714285714" customWidth="1" bestFit="1"/>
    <col min="42" max="42" style="35" width="13.43357142857143" customWidth="1" bestFit="1"/>
    <col min="43" max="43" style="35" width="9.147857142857141" customWidth="1" bestFit="1"/>
    <col min="44" max="44" style="35" width="9.147857142857141" customWidth="1" bestFit="1"/>
    <col min="45" max="45" style="35" width="11.290714285714287" customWidth="1" bestFit="1"/>
    <col min="46" max="46" style="35" width="9.147857142857141" customWidth="1" bestFit="1"/>
    <col min="47" max="47" style="35" width="9.147857142857141" customWidth="1" bestFit="1"/>
    <col min="48" max="48" style="35" width="11.290714285714287" customWidth="1" bestFit="1"/>
    <col min="49" max="49" style="35" width="9.147857142857141" customWidth="1" bestFit="1"/>
    <col min="50" max="50" style="35" width="9.147857142857141" customWidth="1" bestFit="1"/>
    <col min="51" max="51" style="35" width="11.290714285714287" customWidth="1" bestFit="1"/>
    <col min="52" max="52" style="35" width="9.147857142857141" customWidth="1" bestFit="1"/>
    <col min="53" max="53" style="35" width="9.147857142857141" customWidth="1" bestFit="1"/>
    <col min="54" max="54" style="35" width="11.290714285714287" customWidth="1" bestFit="1"/>
    <col min="55" max="55" style="35" width="9.147857142857141" customWidth="1" bestFit="1"/>
    <col min="56" max="56" style="35" width="9.147857142857141" customWidth="1" bestFit="1"/>
    <col min="57" max="57" style="35" width="11.290714285714287" customWidth="1" bestFit="1"/>
    <col min="58" max="58" style="35" width="9.147857142857141" customWidth="1" bestFit="1"/>
    <col min="59" max="59" style="35" width="9.147857142857141" customWidth="1" bestFit="1"/>
    <col min="60" max="60" style="35" width="11.290714285714287" customWidth="1" bestFit="1"/>
    <col min="61" max="61" style="37" width="13.576428571428572" customWidth="1" bestFit="1"/>
    <col min="62" max="62" style="37" width="13.576428571428572" customWidth="1" bestFit="1"/>
    <col min="63" max="63" style="37" width="13.576428571428572" customWidth="1" bestFit="1"/>
  </cols>
  <sheetData>
    <row x14ac:dyDescent="0.25" r="1" customHeight="1" ht="33">
      <c r="A1" s="1"/>
      <c r="B1" s="2"/>
      <c r="C1" s="3"/>
      <c r="D1" s="73"/>
      <c r="E1" s="74"/>
      <c r="F1" s="74"/>
      <c r="G1" s="74"/>
      <c r="H1" s="1"/>
      <c r="I1" s="1"/>
      <c r="J1" s="1"/>
      <c r="K1" s="75"/>
      <c r="L1" s="6"/>
      <c r="M1" s="76"/>
      <c r="N1" s="7"/>
      <c r="O1" s="1"/>
      <c r="P1" s="1"/>
      <c r="Q1" s="1"/>
      <c r="R1" s="75"/>
      <c r="S1" s="6"/>
      <c r="T1" s="76"/>
      <c r="U1" s="7"/>
      <c r="V1" s="1"/>
      <c r="W1" s="1"/>
      <c r="X1" s="1"/>
      <c r="Y1" s="6"/>
      <c r="Z1" s="76"/>
      <c r="AA1" s="7"/>
      <c r="AB1" s="1"/>
      <c r="AC1" s="1"/>
      <c r="AD1" s="1"/>
      <c r="AE1" s="77"/>
      <c r="AF1" s="78"/>
      <c r="AG1" s="77"/>
      <c r="AH1" s="1"/>
      <c r="AI1" s="1"/>
      <c r="AJ1" s="1"/>
      <c r="AK1" s="6"/>
      <c r="AL1" s="76"/>
      <c r="AM1" s="7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3"/>
      <c r="BJ1" s="3"/>
      <c r="BK1" s="3"/>
    </row>
    <row x14ac:dyDescent="0.25" r="2" customHeight="1" ht="33">
      <c r="A2" s="79" t="s">
        <v>69</v>
      </c>
      <c r="B2" s="80"/>
      <c r="C2" s="81"/>
      <c r="D2" s="82"/>
      <c r="E2" s="79"/>
      <c r="F2" s="79"/>
      <c r="G2" s="79"/>
      <c r="H2" s="79"/>
      <c r="I2" s="79"/>
      <c r="J2" s="79"/>
      <c r="K2" s="83"/>
      <c r="L2" s="13"/>
      <c r="M2" s="84"/>
      <c r="N2" s="13"/>
      <c r="O2" s="85"/>
      <c r="P2" s="85"/>
      <c r="Q2" s="85"/>
      <c r="R2" s="83"/>
      <c r="S2" s="13"/>
      <c r="T2" s="84"/>
      <c r="U2" s="13"/>
      <c r="V2" s="85"/>
      <c r="W2" s="85"/>
      <c r="X2" s="85"/>
      <c r="Y2" s="13"/>
      <c r="Z2" s="84"/>
      <c r="AA2" s="13"/>
      <c r="AB2" s="85"/>
      <c r="AC2" s="85"/>
      <c r="AD2" s="85"/>
      <c r="AE2" s="13"/>
      <c r="AF2" s="84"/>
      <c r="AG2" s="13"/>
      <c r="AH2" s="85"/>
      <c r="AI2" s="85"/>
      <c r="AJ2" s="85"/>
      <c r="AK2" s="13"/>
      <c r="AL2" s="84"/>
      <c r="AM2" s="13"/>
      <c r="AN2" s="85"/>
      <c r="AO2" s="85"/>
      <c r="AP2" s="85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3"/>
      <c r="BJ2" s="3"/>
      <c r="BK2" s="3"/>
    </row>
    <row x14ac:dyDescent="0.25" r="3" customHeight="1" ht="33">
      <c r="A3" s="87" t="s">
        <v>2</v>
      </c>
      <c r="B3" s="88" t="s">
        <v>3</v>
      </c>
      <c r="C3" s="89" t="s">
        <v>4</v>
      </c>
      <c r="D3" s="21">
        <v>44197</v>
      </c>
      <c r="E3" s="21"/>
      <c r="F3" s="21"/>
      <c r="G3" s="21"/>
      <c r="H3" s="90">
        <v>44562</v>
      </c>
      <c r="I3" s="90"/>
      <c r="J3" s="90"/>
      <c r="K3" s="21">
        <v>44228</v>
      </c>
      <c r="L3" s="21"/>
      <c r="M3" s="21"/>
      <c r="N3" s="21"/>
      <c r="O3" s="90">
        <v>44593</v>
      </c>
      <c r="P3" s="90"/>
      <c r="Q3" s="90"/>
      <c r="R3" s="21">
        <v>44256</v>
      </c>
      <c r="S3" s="21"/>
      <c r="T3" s="21"/>
      <c r="U3" s="21"/>
      <c r="V3" s="90">
        <v>44621</v>
      </c>
      <c r="W3" s="90"/>
      <c r="X3" s="90"/>
      <c r="Y3" s="21">
        <v>44287</v>
      </c>
      <c r="Z3" s="21"/>
      <c r="AA3" s="21"/>
      <c r="AB3" s="90">
        <v>44652</v>
      </c>
      <c r="AC3" s="90"/>
      <c r="AD3" s="90"/>
      <c r="AE3" s="21">
        <v>44317</v>
      </c>
      <c r="AF3" s="21"/>
      <c r="AG3" s="21"/>
      <c r="AH3" s="90">
        <v>44682</v>
      </c>
      <c r="AI3" s="90"/>
      <c r="AJ3" s="90"/>
      <c r="AK3" s="21">
        <v>44348</v>
      </c>
      <c r="AL3" s="21"/>
      <c r="AM3" s="21"/>
      <c r="AN3" s="90">
        <v>44713</v>
      </c>
      <c r="AO3" s="90"/>
      <c r="AP3" s="90"/>
      <c r="AQ3" s="91">
        <v>44378</v>
      </c>
      <c r="AR3" s="91"/>
      <c r="AS3" s="91"/>
      <c r="AT3" s="91">
        <v>44409</v>
      </c>
      <c r="AU3" s="91"/>
      <c r="AV3" s="91"/>
      <c r="AW3" s="91">
        <v>44440</v>
      </c>
      <c r="AX3" s="91"/>
      <c r="AY3" s="91"/>
      <c r="AZ3" s="91">
        <v>44470</v>
      </c>
      <c r="BA3" s="91"/>
      <c r="BB3" s="91"/>
      <c r="BC3" s="91">
        <v>44501</v>
      </c>
      <c r="BD3" s="91"/>
      <c r="BE3" s="91"/>
      <c r="BF3" s="91">
        <v>44531</v>
      </c>
      <c r="BG3" s="91"/>
      <c r="BH3" s="91"/>
      <c r="BI3" s="3"/>
      <c r="BJ3" s="3"/>
      <c r="BK3" s="3"/>
    </row>
    <row x14ac:dyDescent="0.25" r="4" customHeight="1" ht="33">
      <c r="A4" s="20"/>
      <c r="B4" s="20"/>
      <c r="C4" s="92"/>
      <c r="D4" s="93" t="s">
        <v>70</v>
      </c>
      <c r="E4" s="20" t="s">
        <v>10</v>
      </c>
      <c r="F4" s="20"/>
      <c r="G4" s="20"/>
      <c r="H4" s="94" t="s">
        <v>10</v>
      </c>
      <c r="I4" s="94"/>
      <c r="J4" s="94"/>
      <c r="K4" s="93" t="s">
        <v>70</v>
      </c>
      <c r="L4" s="20" t="s">
        <v>10</v>
      </c>
      <c r="M4" s="20"/>
      <c r="N4" s="20"/>
      <c r="O4" s="94" t="s">
        <v>10</v>
      </c>
      <c r="P4" s="94"/>
      <c r="Q4" s="94"/>
      <c r="R4" s="93" t="s">
        <v>70</v>
      </c>
      <c r="S4" s="20" t="s">
        <v>10</v>
      </c>
      <c r="T4" s="20"/>
      <c r="U4" s="20"/>
      <c r="V4" s="94" t="s">
        <v>10</v>
      </c>
      <c r="W4" s="94"/>
      <c r="X4" s="94"/>
      <c r="Y4" s="20" t="s">
        <v>10</v>
      </c>
      <c r="Z4" s="20"/>
      <c r="AA4" s="20"/>
      <c r="AB4" s="94" t="s">
        <v>10</v>
      </c>
      <c r="AC4" s="94"/>
      <c r="AD4" s="94"/>
      <c r="AE4" s="20" t="s">
        <v>10</v>
      </c>
      <c r="AF4" s="20"/>
      <c r="AG4" s="20"/>
      <c r="AH4" s="94" t="s">
        <v>10</v>
      </c>
      <c r="AI4" s="94"/>
      <c r="AJ4" s="94"/>
      <c r="AK4" s="20" t="s">
        <v>10</v>
      </c>
      <c r="AL4" s="20"/>
      <c r="AM4" s="20"/>
      <c r="AN4" s="94" t="s">
        <v>10</v>
      </c>
      <c r="AO4" s="94"/>
      <c r="AP4" s="94"/>
      <c r="AQ4" s="95" t="s">
        <v>10</v>
      </c>
      <c r="AR4" s="95"/>
      <c r="AS4" s="95"/>
      <c r="AT4" s="95" t="s">
        <v>10</v>
      </c>
      <c r="AU4" s="95"/>
      <c r="AV4" s="95"/>
      <c r="AW4" s="95" t="s">
        <v>10</v>
      </c>
      <c r="AX4" s="95"/>
      <c r="AY4" s="95"/>
      <c r="AZ4" s="95" t="s">
        <v>10</v>
      </c>
      <c r="BA4" s="95"/>
      <c r="BB4" s="95"/>
      <c r="BC4" s="95" t="s">
        <v>10</v>
      </c>
      <c r="BD4" s="95"/>
      <c r="BE4" s="95"/>
      <c r="BF4" s="95" t="s">
        <v>10</v>
      </c>
      <c r="BG4" s="95"/>
      <c r="BH4" s="95"/>
      <c r="BI4" s="3"/>
      <c r="BJ4" s="3"/>
      <c r="BK4" s="3"/>
    </row>
    <row x14ac:dyDescent="0.25" r="5" customHeight="1" ht="33">
      <c r="A5" s="20"/>
      <c r="B5" s="20"/>
      <c r="C5" s="92"/>
      <c r="D5" s="96"/>
      <c r="E5" s="20" t="s">
        <v>11</v>
      </c>
      <c r="F5" s="97" t="s">
        <v>71</v>
      </c>
      <c r="G5" s="20" t="s">
        <v>12</v>
      </c>
      <c r="H5" s="94" t="s">
        <v>11</v>
      </c>
      <c r="I5" s="98" t="s">
        <v>71</v>
      </c>
      <c r="J5" s="94" t="s">
        <v>12</v>
      </c>
      <c r="K5" s="96"/>
      <c r="L5" s="20" t="s">
        <v>11</v>
      </c>
      <c r="M5" s="97" t="s">
        <v>71</v>
      </c>
      <c r="N5" s="20" t="s">
        <v>12</v>
      </c>
      <c r="O5" s="94" t="s">
        <v>11</v>
      </c>
      <c r="P5" s="98" t="s">
        <v>71</v>
      </c>
      <c r="Q5" s="94" t="s">
        <v>12</v>
      </c>
      <c r="R5" s="96"/>
      <c r="S5" s="20" t="s">
        <v>11</v>
      </c>
      <c r="T5" s="97" t="s">
        <v>71</v>
      </c>
      <c r="U5" s="20" t="s">
        <v>12</v>
      </c>
      <c r="V5" s="94" t="s">
        <v>11</v>
      </c>
      <c r="W5" s="98" t="s">
        <v>71</v>
      </c>
      <c r="X5" s="94" t="s">
        <v>12</v>
      </c>
      <c r="Y5" s="20" t="s">
        <v>11</v>
      </c>
      <c r="Z5" s="97" t="s">
        <v>71</v>
      </c>
      <c r="AA5" s="20" t="s">
        <v>12</v>
      </c>
      <c r="AB5" s="94" t="s">
        <v>11</v>
      </c>
      <c r="AC5" s="98" t="s">
        <v>71</v>
      </c>
      <c r="AD5" s="94" t="s">
        <v>12</v>
      </c>
      <c r="AE5" s="20" t="s">
        <v>11</v>
      </c>
      <c r="AF5" s="97" t="s">
        <v>71</v>
      </c>
      <c r="AG5" s="20" t="s">
        <v>12</v>
      </c>
      <c r="AH5" s="94" t="s">
        <v>11</v>
      </c>
      <c r="AI5" s="98" t="s">
        <v>71</v>
      </c>
      <c r="AJ5" s="94" t="s">
        <v>12</v>
      </c>
      <c r="AK5" s="20" t="s">
        <v>11</v>
      </c>
      <c r="AL5" s="97" t="s">
        <v>71</v>
      </c>
      <c r="AM5" s="20" t="s">
        <v>12</v>
      </c>
      <c r="AN5" s="94" t="s">
        <v>11</v>
      </c>
      <c r="AO5" s="98" t="s">
        <v>71</v>
      </c>
      <c r="AP5" s="94" t="s">
        <v>12</v>
      </c>
      <c r="AQ5" s="95" t="s">
        <v>11</v>
      </c>
      <c r="AR5" s="97" t="s">
        <v>71</v>
      </c>
      <c r="AS5" s="95" t="s">
        <v>12</v>
      </c>
      <c r="AT5" s="95" t="s">
        <v>11</v>
      </c>
      <c r="AU5" s="97" t="s">
        <v>71</v>
      </c>
      <c r="AV5" s="95" t="s">
        <v>12</v>
      </c>
      <c r="AW5" s="95" t="s">
        <v>11</v>
      </c>
      <c r="AX5" s="97" t="s">
        <v>71</v>
      </c>
      <c r="AY5" s="95" t="s">
        <v>12</v>
      </c>
      <c r="AZ5" s="95" t="s">
        <v>11</v>
      </c>
      <c r="BA5" s="97" t="s">
        <v>71</v>
      </c>
      <c r="BB5" s="95" t="s">
        <v>12</v>
      </c>
      <c r="BC5" s="95" t="s">
        <v>11</v>
      </c>
      <c r="BD5" s="97" t="s">
        <v>71</v>
      </c>
      <c r="BE5" s="95" t="s">
        <v>12</v>
      </c>
      <c r="BF5" s="95" t="s">
        <v>11</v>
      </c>
      <c r="BG5" s="97" t="s">
        <v>71</v>
      </c>
      <c r="BH5" s="95" t="s">
        <v>12</v>
      </c>
      <c r="BI5" s="3"/>
      <c r="BJ5" s="3"/>
      <c r="BK5" s="3"/>
    </row>
    <row x14ac:dyDescent="0.25" r="6" customHeight="1" ht="33">
      <c r="A6" s="99">
        <v>1</v>
      </c>
      <c r="B6" s="100" t="s">
        <v>13</v>
      </c>
      <c r="C6" s="101" t="s">
        <v>14</v>
      </c>
      <c r="D6" s="102">
        <v>0.03</v>
      </c>
      <c r="E6" s="29">
        <v>696</v>
      </c>
      <c r="F6" s="103">
        <v>33500</v>
      </c>
      <c r="G6" s="29">
        <f>E6*F6*97%</f>
      </c>
      <c r="H6" s="104">
        <f>40+150</f>
      </c>
      <c r="I6" s="105">
        <v>44000</v>
      </c>
      <c r="J6" s="104">
        <f>H6*I6</f>
      </c>
      <c r="K6" s="102">
        <v>0.03</v>
      </c>
      <c r="L6" s="29">
        <f>200</f>
      </c>
      <c r="M6" s="103">
        <v>33500</v>
      </c>
      <c r="N6" s="29">
        <f>L6*M6*97%</f>
      </c>
      <c r="O6" s="104">
        <f>90+100</f>
      </c>
      <c r="P6" s="105">
        <v>44000</v>
      </c>
      <c r="Q6" s="104">
        <f>O6*P6</f>
      </c>
      <c r="R6" s="102">
        <v>0.03</v>
      </c>
      <c r="S6" s="29">
        <v>200</v>
      </c>
      <c r="T6" s="103">
        <v>33500</v>
      </c>
      <c r="U6" s="29">
        <f>S6*T6*97%</f>
      </c>
      <c r="V6" s="104">
        <f>30+100</f>
      </c>
      <c r="W6" s="105">
        <v>44000</v>
      </c>
      <c r="X6" s="104">
        <f>V6*W6</f>
      </c>
      <c r="Y6" s="29">
        <v>500</v>
      </c>
      <c r="Z6" s="103">
        <v>33500</v>
      </c>
      <c r="AA6" s="29">
        <f>Y6*Z6</f>
      </c>
      <c r="AB6" s="104">
        <v>250</v>
      </c>
      <c r="AC6" s="105">
        <v>44000</v>
      </c>
      <c r="AD6" s="104">
        <f>AB6*AC6</f>
      </c>
      <c r="AE6" s="29">
        <v>400</v>
      </c>
      <c r="AF6" s="103">
        <v>35200</v>
      </c>
      <c r="AG6" s="29">
        <f>AE6*AF6</f>
      </c>
      <c r="AH6" s="104">
        <f>99+199</f>
      </c>
      <c r="AI6" s="105">
        <v>44000</v>
      </c>
      <c r="AJ6" s="104">
        <f>AH6*AI6</f>
      </c>
      <c r="AK6" s="29">
        <v>260</v>
      </c>
      <c r="AL6" s="103">
        <v>35200</v>
      </c>
      <c r="AM6" s="29">
        <f>AK6*AL6</f>
      </c>
      <c r="AN6" s="104">
        <f>175+142</f>
      </c>
      <c r="AO6" s="105">
        <v>44000</v>
      </c>
      <c r="AP6" s="104">
        <f>AN6*AO6</f>
      </c>
      <c r="AQ6" s="106">
        <v>70</v>
      </c>
      <c r="AR6" s="107">
        <v>35200</v>
      </c>
      <c r="AS6" s="106">
        <f>AQ6*AR6</f>
      </c>
      <c r="AT6" s="106">
        <v>270</v>
      </c>
      <c r="AU6" s="107">
        <v>35200</v>
      </c>
      <c r="AV6" s="106">
        <f>AT6*AU6</f>
      </c>
      <c r="AW6" s="106">
        <f>350+100</f>
      </c>
      <c r="AX6" s="108" t="s">
        <v>72</v>
      </c>
      <c r="AY6" s="106">
        <f>13650000+4100000</f>
      </c>
      <c r="AZ6" s="106">
        <v>420</v>
      </c>
      <c r="BA6" s="107">
        <v>44000</v>
      </c>
      <c r="BB6" s="106">
        <f>AZ6*BA6</f>
      </c>
      <c r="BC6" s="106">
        <f>100+150</f>
      </c>
      <c r="BD6" s="107">
        <v>44000</v>
      </c>
      <c r="BE6" s="106">
        <f>BC6*BD6</f>
      </c>
      <c r="BF6" s="106">
        <f>150+100</f>
      </c>
      <c r="BG6" s="107">
        <v>44000</v>
      </c>
      <c r="BH6" s="106">
        <f>BF6*BG6</f>
      </c>
      <c r="BI6" s="3"/>
      <c r="BJ6" s="3"/>
      <c r="BK6" s="3"/>
    </row>
    <row x14ac:dyDescent="0.25" r="7" customHeight="1" ht="33">
      <c r="A7" s="99">
        <v>2</v>
      </c>
      <c r="B7" s="100" t="s">
        <v>15</v>
      </c>
      <c r="C7" s="101" t="s">
        <v>16</v>
      </c>
      <c r="D7" s="102">
        <v>0.03</v>
      </c>
      <c r="E7" s="29">
        <v>385</v>
      </c>
      <c r="F7" s="103">
        <v>37000</v>
      </c>
      <c r="G7" s="29">
        <f>E7*F7*97%</f>
      </c>
      <c r="H7" s="104">
        <f>130</f>
      </c>
      <c r="I7" s="105">
        <v>48000</v>
      </c>
      <c r="J7" s="104">
        <f>H7*I7</f>
      </c>
      <c r="K7" s="102">
        <v>0.03</v>
      </c>
      <c r="L7" s="29">
        <f>36+300</f>
      </c>
      <c r="M7" s="103">
        <v>37000</v>
      </c>
      <c r="N7" s="29">
        <f>L7*M7*97%</f>
      </c>
      <c r="O7" s="104">
        <f>120+200</f>
      </c>
      <c r="P7" s="105">
        <v>48000</v>
      </c>
      <c r="Q7" s="104">
        <f>O7*P7</f>
      </c>
      <c r="R7" s="102">
        <v>0.03</v>
      </c>
      <c r="S7" s="29">
        <v>248</v>
      </c>
      <c r="T7" s="103">
        <v>37000</v>
      </c>
      <c r="U7" s="29">
        <f>S7*T7*97%</f>
      </c>
      <c r="V7" s="104">
        <f>150+200</f>
      </c>
      <c r="W7" s="105">
        <v>48000</v>
      </c>
      <c r="X7" s="104">
        <f>V7*W7</f>
      </c>
      <c r="Y7" s="29">
        <f>715-60</f>
      </c>
      <c r="Z7" s="103">
        <v>37000</v>
      </c>
      <c r="AA7" s="29">
        <f>Y7*Z7</f>
      </c>
      <c r="AB7" s="104">
        <v>161</v>
      </c>
      <c r="AC7" s="105">
        <v>48000</v>
      </c>
      <c r="AD7" s="104">
        <f>AB7*AC7</f>
      </c>
      <c r="AE7" s="29">
        <v>297</v>
      </c>
      <c r="AF7" s="103">
        <v>38900</v>
      </c>
      <c r="AG7" s="29">
        <f>AE7*AF7</f>
      </c>
      <c r="AH7" s="104">
        <f>48+199</f>
      </c>
      <c r="AI7" s="105">
        <v>48000</v>
      </c>
      <c r="AJ7" s="104">
        <f>AH7*AI7</f>
      </c>
      <c r="AK7" s="29">
        <v>300</v>
      </c>
      <c r="AL7" s="103">
        <v>38900</v>
      </c>
      <c r="AM7" s="29">
        <f>AK7*AL7</f>
      </c>
      <c r="AN7" s="104">
        <f>175+127+10</f>
      </c>
      <c r="AO7" s="109" t="s">
        <v>73</v>
      </c>
      <c r="AP7" s="104">
        <f>14496000+500000</f>
      </c>
      <c r="AQ7" s="106">
        <v>300</v>
      </c>
      <c r="AR7" s="107">
        <v>38900</v>
      </c>
      <c r="AS7" s="106">
        <f>AQ7*AR7</f>
      </c>
      <c r="AT7" s="106">
        <v>100</v>
      </c>
      <c r="AU7" s="107">
        <v>38900</v>
      </c>
      <c r="AV7" s="106">
        <f>AT7*AU7</f>
      </c>
      <c r="AW7" s="106">
        <f>300+300</f>
      </c>
      <c r="AX7" s="108" t="s">
        <v>74</v>
      </c>
      <c r="AY7" s="106">
        <f>12900000+13650000</f>
      </c>
      <c r="AZ7" s="106">
        <v>360</v>
      </c>
      <c r="BA7" s="107">
        <v>48000</v>
      </c>
      <c r="BB7" s="106">
        <f>AZ7*BA7</f>
      </c>
      <c r="BC7" s="106">
        <f>50+100</f>
      </c>
      <c r="BD7" s="107">
        <v>48000</v>
      </c>
      <c r="BE7" s="106">
        <f>BC7*BD7</f>
      </c>
      <c r="BF7" s="106">
        <f>250+50</f>
      </c>
      <c r="BG7" s="107">
        <v>48000</v>
      </c>
      <c r="BH7" s="106">
        <f>BF7*BG7</f>
      </c>
      <c r="BI7" s="3"/>
      <c r="BJ7" s="3"/>
      <c r="BK7" s="3"/>
    </row>
    <row x14ac:dyDescent="0.25" r="8" customHeight="1" ht="33">
      <c r="A8" s="99">
        <v>3</v>
      </c>
      <c r="B8" s="100" t="s">
        <v>17</v>
      </c>
      <c r="C8" s="101" t="s">
        <v>18</v>
      </c>
      <c r="D8" s="102">
        <v>0.03</v>
      </c>
      <c r="E8" s="29"/>
      <c r="F8" s="103">
        <v>38000</v>
      </c>
      <c r="G8" s="29">
        <f>E8*F8*97%</f>
      </c>
      <c r="H8" s="104"/>
      <c r="I8" s="105">
        <v>49000</v>
      </c>
      <c r="J8" s="104">
        <f>H8*I8</f>
      </c>
      <c r="K8" s="102">
        <v>0.03</v>
      </c>
      <c r="L8" s="29"/>
      <c r="M8" s="103">
        <v>38000</v>
      </c>
      <c r="N8" s="29">
        <f>L8*M8*97%</f>
      </c>
      <c r="O8" s="104">
        <v>50</v>
      </c>
      <c r="P8" s="105">
        <v>49000</v>
      </c>
      <c r="Q8" s="104">
        <f>O8*P8</f>
      </c>
      <c r="R8" s="102">
        <v>0.03</v>
      </c>
      <c r="S8" s="29"/>
      <c r="T8" s="103">
        <v>38000</v>
      </c>
      <c r="U8" s="29">
        <f>S8*T8*97%</f>
      </c>
      <c r="V8" s="104"/>
      <c r="W8" s="105">
        <v>49000</v>
      </c>
      <c r="X8" s="104">
        <f>V8*W8</f>
      </c>
      <c r="Y8" s="29"/>
      <c r="Z8" s="103">
        <v>38000</v>
      </c>
      <c r="AA8" s="29">
        <f>Y8*Z8</f>
      </c>
      <c r="AB8" s="104"/>
      <c r="AC8" s="105">
        <v>49000</v>
      </c>
      <c r="AD8" s="104">
        <f>AB8*AC8</f>
      </c>
      <c r="AE8" s="29">
        <v>70</v>
      </c>
      <c r="AF8" s="103">
        <v>39900</v>
      </c>
      <c r="AG8" s="29">
        <f>AE8*AF8</f>
      </c>
      <c r="AH8" s="104"/>
      <c r="AI8" s="105">
        <v>49000</v>
      </c>
      <c r="AJ8" s="104">
        <f>AH8*AI8</f>
      </c>
      <c r="AK8" s="29">
        <v>30</v>
      </c>
      <c r="AL8" s="103">
        <v>39900</v>
      </c>
      <c r="AM8" s="29">
        <f>AK8*AL8</f>
      </c>
      <c r="AN8" s="104">
        <v>50</v>
      </c>
      <c r="AO8" s="105">
        <v>49000</v>
      </c>
      <c r="AP8" s="104">
        <f>AN8*AO8</f>
      </c>
      <c r="AQ8" s="106">
        <v>100</v>
      </c>
      <c r="AR8" s="107">
        <v>39900</v>
      </c>
      <c r="AS8" s="106">
        <f>AQ8*AR8</f>
      </c>
      <c r="AT8" s="106"/>
      <c r="AU8" s="107">
        <v>39900</v>
      </c>
      <c r="AV8" s="106">
        <f>AT8*AU8</f>
      </c>
      <c r="AW8" s="106">
        <v>100</v>
      </c>
      <c r="AX8" s="107">
        <v>46500</v>
      </c>
      <c r="AY8" s="106">
        <f>AW8*AX8</f>
      </c>
      <c r="AZ8" s="106">
        <v>50</v>
      </c>
      <c r="BA8" s="107">
        <v>49000</v>
      </c>
      <c r="BB8" s="106">
        <f>AZ8*BA8</f>
      </c>
      <c r="BC8" s="106">
        <f>100</f>
      </c>
      <c r="BD8" s="107">
        <v>49000</v>
      </c>
      <c r="BE8" s="106">
        <f>BC8*BD8</f>
      </c>
      <c r="BF8" s="106">
        <v>50</v>
      </c>
      <c r="BG8" s="107">
        <v>49000</v>
      </c>
      <c r="BH8" s="106">
        <f>BF8*BG8</f>
      </c>
      <c r="BI8" s="3"/>
      <c r="BJ8" s="3"/>
      <c r="BK8" s="3"/>
    </row>
    <row x14ac:dyDescent="0.25" r="9" customHeight="1" ht="33">
      <c r="A9" s="99">
        <v>4</v>
      </c>
      <c r="B9" s="100" t="s">
        <v>19</v>
      </c>
      <c r="C9" s="101" t="s">
        <v>20</v>
      </c>
      <c r="D9" s="102">
        <v>0.03</v>
      </c>
      <c r="E9" s="29">
        <v>275</v>
      </c>
      <c r="F9" s="103">
        <v>40000</v>
      </c>
      <c r="G9" s="29">
        <f>E9*F9*97%</f>
      </c>
      <c r="H9" s="104">
        <v>200</v>
      </c>
      <c r="I9" s="105">
        <v>54500</v>
      </c>
      <c r="J9" s="104">
        <f>H9*I9</f>
      </c>
      <c r="K9" s="102">
        <v>0.03</v>
      </c>
      <c r="L9" s="29">
        <v>400</v>
      </c>
      <c r="M9" s="103">
        <v>40000</v>
      </c>
      <c r="N9" s="29">
        <f>L9*M9*97%</f>
      </c>
      <c r="O9" s="104">
        <f>56+200</f>
      </c>
      <c r="P9" s="105">
        <v>54500</v>
      </c>
      <c r="Q9" s="104">
        <f>O9*P9</f>
      </c>
      <c r="R9" s="102">
        <v>0.03</v>
      </c>
      <c r="S9" s="29">
        <v>200</v>
      </c>
      <c r="T9" s="103">
        <v>40000</v>
      </c>
      <c r="U9" s="29">
        <f>S9*T9*97%</f>
      </c>
      <c r="V9" s="104">
        <f>119+157</f>
      </c>
      <c r="W9" s="105">
        <v>54500</v>
      </c>
      <c r="X9" s="104">
        <f>V9*W9</f>
      </c>
      <c r="Y9" s="29">
        <v>70</v>
      </c>
      <c r="Z9" s="103">
        <v>40000</v>
      </c>
      <c r="AA9" s="29">
        <f>Y9*Z9</f>
      </c>
      <c r="AB9" s="104">
        <v>269</v>
      </c>
      <c r="AC9" s="105">
        <v>54500</v>
      </c>
      <c r="AD9" s="104">
        <f>AB9*AC9</f>
      </c>
      <c r="AE9" s="29">
        <v>545</v>
      </c>
      <c r="AF9" s="103">
        <v>42000</v>
      </c>
      <c r="AG9" s="29">
        <f>AE9*AF9</f>
      </c>
      <c r="AH9" s="104">
        <f>103+279</f>
      </c>
      <c r="AI9" s="105">
        <v>54500</v>
      </c>
      <c r="AJ9" s="104">
        <f>AH9*AI9</f>
      </c>
      <c r="AK9" s="29">
        <v>755</v>
      </c>
      <c r="AL9" s="103">
        <v>42000</v>
      </c>
      <c r="AM9" s="29">
        <f>AK9*AL9</f>
      </c>
      <c r="AN9" s="104">
        <f>200+98+60</f>
      </c>
      <c r="AO9" s="109" t="s">
        <v>75</v>
      </c>
      <c r="AP9" s="104">
        <f>16241000+3420000</f>
      </c>
      <c r="AQ9" s="106">
        <v>145</v>
      </c>
      <c r="AR9" s="107">
        <v>42000</v>
      </c>
      <c r="AS9" s="106">
        <f>AQ9*AR9</f>
      </c>
      <c r="AT9" s="106">
        <v>285</v>
      </c>
      <c r="AU9" s="107">
        <v>42000</v>
      </c>
      <c r="AV9" s="106">
        <f>AT9*AU9</f>
      </c>
      <c r="AW9" s="106">
        <f>100+370</f>
      </c>
      <c r="AX9" s="108" t="s">
        <v>76</v>
      </c>
      <c r="AY9" s="106">
        <f>4700000+18315000</f>
      </c>
      <c r="AZ9" s="106">
        <v>230</v>
      </c>
      <c r="BA9" s="107">
        <v>54500</v>
      </c>
      <c r="BB9" s="106">
        <f>AZ9*BA9</f>
      </c>
      <c r="BC9" s="106">
        <f>100+70</f>
      </c>
      <c r="BD9" s="107">
        <v>54500</v>
      </c>
      <c r="BE9" s="106">
        <f>BC9*BD9</f>
      </c>
      <c r="BF9" s="106">
        <f>150+130</f>
      </c>
      <c r="BG9" s="107">
        <v>54500</v>
      </c>
      <c r="BH9" s="106">
        <f>BF9*BG9</f>
      </c>
      <c r="BI9" s="3"/>
      <c r="BJ9" s="3"/>
      <c r="BK9" s="3"/>
    </row>
    <row x14ac:dyDescent="0.25" r="10" customHeight="1" ht="33">
      <c r="A10" s="99">
        <v>5</v>
      </c>
      <c r="B10" s="100" t="s">
        <v>21</v>
      </c>
      <c r="C10" s="101" t="s">
        <v>22</v>
      </c>
      <c r="D10" s="102">
        <v>0.03</v>
      </c>
      <c r="E10" s="29">
        <v>163</v>
      </c>
      <c r="F10" s="103">
        <v>51000</v>
      </c>
      <c r="G10" s="29">
        <f>E10*F10*97%</f>
      </c>
      <c r="H10" s="104">
        <f>30+50</f>
      </c>
      <c r="I10" s="105">
        <v>65000</v>
      </c>
      <c r="J10" s="104">
        <f>H10*I10</f>
      </c>
      <c r="K10" s="102">
        <v>0.03</v>
      </c>
      <c r="L10" s="29">
        <f>57+50</f>
      </c>
      <c r="M10" s="103">
        <v>51000</v>
      </c>
      <c r="N10" s="29">
        <f>L10*M10*97%</f>
      </c>
      <c r="O10" s="104">
        <v>50</v>
      </c>
      <c r="P10" s="105">
        <v>65000</v>
      </c>
      <c r="Q10" s="104">
        <f>O10*P10</f>
      </c>
      <c r="R10" s="102">
        <v>0.03</v>
      </c>
      <c r="S10" s="29">
        <v>50</v>
      </c>
      <c r="T10" s="103">
        <v>51000</v>
      </c>
      <c r="U10" s="29">
        <f>S10*T10*97%</f>
      </c>
      <c r="V10" s="104">
        <f>20+50</f>
      </c>
      <c r="W10" s="105">
        <v>65000</v>
      </c>
      <c r="X10" s="104">
        <f>V10*W10</f>
      </c>
      <c r="Y10" s="29">
        <v>100</v>
      </c>
      <c r="Z10" s="103">
        <v>51000</v>
      </c>
      <c r="AA10" s="29">
        <f>Y10*Z10</f>
      </c>
      <c r="AB10" s="104">
        <v>100</v>
      </c>
      <c r="AC10" s="105">
        <v>65000</v>
      </c>
      <c r="AD10" s="104">
        <f>AB10*AC10</f>
      </c>
      <c r="AE10" s="29">
        <v>100</v>
      </c>
      <c r="AF10" s="103">
        <v>53600</v>
      </c>
      <c r="AG10" s="29">
        <f>AE10*AF10</f>
      </c>
      <c r="AH10" s="104">
        <v>190</v>
      </c>
      <c r="AI10" s="105">
        <v>65000</v>
      </c>
      <c r="AJ10" s="104">
        <f>AH10*AI10</f>
      </c>
      <c r="AK10" s="29">
        <v>100</v>
      </c>
      <c r="AL10" s="103">
        <v>53600</v>
      </c>
      <c r="AM10" s="29">
        <f>AK10*AL10</f>
      </c>
      <c r="AN10" s="104">
        <f>10+30+30</f>
      </c>
      <c r="AO10" s="109" t="s">
        <v>77</v>
      </c>
      <c r="AP10" s="104">
        <f>2600000+2040000</f>
      </c>
      <c r="AQ10" s="106"/>
      <c r="AR10" s="107">
        <v>53600</v>
      </c>
      <c r="AS10" s="106">
        <f>AQ10*AR10</f>
      </c>
      <c r="AT10" s="106">
        <v>50</v>
      </c>
      <c r="AU10" s="107">
        <v>53600</v>
      </c>
      <c r="AV10" s="106">
        <f>AT10*AU10</f>
      </c>
      <c r="AW10" s="106">
        <v>100</v>
      </c>
      <c r="AX10" s="107">
        <v>59000</v>
      </c>
      <c r="AY10" s="106">
        <f>AW10*AX10</f>
      </c>
      <c r="AZ10" s="106">
        <v>60</v>
      </c>
      <c r="BA10" s="107">
        <v>65000</v>
      </c>
      <c r="BB10" s="106">
        <f>AZ10*BA10</f>
      </c>
      <c r="BC10" s="106">
        <v>50</v>
      </c>
      <c r="BD10" s="107">
        <v>65000</v>
      </c>
      <c r="BE10" s="106">
        <f>BC10*BD10</f>
      </c>
      <c r="BF10" s="106"/>
      <c r="BG10" s="107">
        <v>65000</v>
      </c>
      <c r="BH10" s="106">
        <f>BF10*BG10</f>
      </c>
      <c r="BI10" s="3"/>
      <c r="BJ10" s="3"/>
      <c r="BK10" s="3"/>
    </row>
    <row x14ac:dyDescent="0.25" r="11" customHeight="1" ht="33">
      <c r="A11" s="99">
        <v>6</v>
      </c>
      <c r="B11" s="100" t="s">
        <v>23</v>
      </c>
      <c r="C11" s="101" t="s">
        <v>24</v>
      </c>
      <c r="D11" s="102">
        <v>0.03</v>
      </c>
      <c r="E11" s="29">
        <v>216</v>
      </c>
      <c r="F11" s="103">
        <v>52000</v>
      </c>
      <c r="G11" s="29">
        <f>E11*F11*97%</f>
      </c>
      <c r="H11" s="104">
        <v>50</v>
      </c>
      <c r="I11" s="105">
        <v>67000</v>
      </c>
      <c r="J11" s="104">
        <f>H11*I11</f>
      </c>
      <c r="K11" s="102">
        <v>0.03</v>
      </c>
      <c r="L11" s="29"/>
      <c r="M11" s="103">
        <v>52000</v>
      </c>
      <c r="N11" s="29">
        <f>L11*M11*97%</f>
      </c>
      <c r="O11" s="104">
        <f>80+50</f>
      </c>
      <c r="P11" s="105">
        <v>67000</v>
      </c>
      <c r="Q11" s="104">
        <f>O11*P11</f>
      </c>
      <c r="R11" s="102">
        <v>0.03</v>
      </c>
      <c r="S11" s="29">
        <v>100</v>
      </c>
      <c r="T11" s="103">
        <v>52000</v>
      </c>
      <c r="U11" s="29">
        <f>S11*T11*97%</f>
      </c>
      <c r="V11" s="104">
        <f>70+50</f>
      </c>
      <c r="W11" s="105">
        <v>67000</v>
      </c>
      <c r="X11" s="104">
        <f>V11*W11</f>
      </c>
      <c r="Y11" s="29">
        <v>150</v>
      </c>
      <c r="Z11" s="103">
        <v>52000</v>
      </c>
      <c r="AA11" s="29">
        <f>Y11*Z11</f>
      </c>
      <c r="AB11" s="104">
        <v>50</v>
      </c>
      <c r="AC11" s="105">
        <v>67000</v>
      </c>
      <c r="AD11" s="104">
        <f>AB11*AC11</f>
      </c>
      <c r="AE11" s="29"/>
      <c r="AF11" s="103">
        <v>54600</v>
      </c>
      <c r="AG11" s="29">
        <f>AE11*AF11</f>
      </c>
      <c r="AH11" s="104">
        <f>100+110</f>
      </c>
      <c r="AI11" s="105">
        <v>67000</v>
      </c>
      <c r="AJ11" s="104">
        <f>AH11*AI11</f>
      </c>
      <c r="AK11" s="29">
        <v>250</v>
      </c>
      <c r="AL11" s="103">
        <v>54600</v>
      </c>
      <c r="AM11" s="29">
        <f>AK11*AL11</f>
      </c>
      <c r="AN11" s="110">
        <v>100</v>
      </c>
      <c r="AO11" s="111">
        <v>71000</v>
      </c>
      <c r="AP11" s="110">
        <f>AN11*AO11</f>
      </c>
      <c r="AQ11" s="106"/>
      <c r="AR11" s="107">
        <v>54600</v>
      </c>
      <c r="AS11" s="106">
        <f>AQ11*AR11</f>
      </c>
      <c r="AT11" s="106">
        <v>100</v>
      </c>
      <c r="AU11" s="107">
        <v>54600</v>
      </c>
      <c r="AV11" s="106">
        <f>AT11*AU11</f>
      </c>
      <c r="AW11" s="106"/>
      <c r="AX11" s="107">
        <v>54600</v>
      </c>
      <c r="AY11" s="106">
        <f>AW11*AX11</f>
      </c>
      <c r="AZ11" s="106">
        <v>100</v>
      </c>
      <c r="BA11" s="107">
        <v>67000</v>
      </c>
      <c r="BB11" s="106">
        <f>AZ11*BA11</f>
      </c>
      <c r="BC11" s="106">
        <f>50</f>
      </c>
      <c r="BD11" s="107">
        <v>67000</v>
      </c>
      <c r="BE11" s="106">
        <f>BC11*BD11</f>
      </c>
      <c r="BF11" s="106">
        <f>50+50</f>
      </c>
      <c r="BG11" s="107">
        <v>67000</v>
      </c>
      <c r="BH11" s="106">
        <f>BF11*BG11</f>
      </c>
      <c r="BI11" s="3"/>
      <c r="BJ11" s="3"/>
      <c r="BK11" s="3"/>
    </row>
    <row x14ac:dyDescent="0.25" r="12" customHeight="1" ht="33">
      <c r="A12" s="29">
        <v>7</v>
      </c>
      <c r="B12" s="112" t="s">
        <v>25</v>
      </c>
      <c r="C12" s="113" t="s">
        <v>26</v>
      </c>
      <c r="D12" s="102">
        <v>0.03</v>
      </c>
      <c r="E12" s="29">
        <v>165</v>
      </c>
      <c r="F12" s="103">
        <v>54000</v>
      </c>
      <c r="G12" s="29">
        <f>E12*F12*97%</f>
      </c>
      <c r="H12" s="104">
        <f>30+50</f>
      </c>
      <c r="I12" s="105">
        <v>75000</v>
      </c>
      <c r="J12" s="104">
        <f>H12*I12</f>
      </c>
      <c r="K12" s="102">
        <v>0.03</v>
      </c>
      <c r="L12" s="29">
        <v>100</v>
      </c>
      <c r="M12" s="103">
        <v>54000</v>
      </c>
      <c r="N12" s="29">
        <f>L12*M12*97%</f>
      </c>
      <c r="O12" s="104">
        <f>20+100</f>
      </c>
      <c r="P12" s="105">
        <v>75000</v>
      </c>
      <c r="Q12" s="104">
        <f>O12*P12</f>
      </c>
      <c r="R12" s="102">
        <v>0.03</v>
      </c>
      <c r="S12" s="29">
        <v>100</v>
      </c>
      <c r="T12" s="103">
        <v>54000</v>
      </c>
      <c r="U12" s="29">
        <f>S12*T12*97%</f>
      </c>
      <c r="V12" s="104">
        <v>100</v>
      </c>
      <c r="W12" s="105">
        <v>75000</v>
      </c>
      <c r="X12" s="104">
        <f>V12*W12</f>
      </c>
      <c r="Y12" s="29"/>
      <c r="Z12" s="103">
        <v>54000</v>
      </c>
      <c r="AA12" s="29">
        <f>Y12*Z12</f>
      </c>
      <c r="AB12" s="104">
        <v>60</v>
      </c>
      <c r="AC12" s="105">
        <v>75000</v>
      </c>
      <c r="AD12" s="104">
        <f>AB12*AC12</f>
      </c>
      <c r="AE12" s="29">
        <v>150</v>
      </c>
      <c r="AF12" s="103">
        <v>56700</v>
      </c>
      <c r="AG12" s="29">
        <f>AE12*AF12</f>
      </c>
      <c r="AH12" s="104">
        <v>40</v>
      </c>
      <c r="AI12" s="105">
        <v>75000</v>
      </c>
      <c r="AJ12" s="104">
        <f>AH12*AI12</f>
      </c>
      <c r="AK12" s="29">
        <v>100</v>
      </c>
      <c r="AL12" s="103">
        <v>56700</v>
      </c>
      <c r="AM12" s="29">
        <f>AK12*AL12</f>
      </c>
      <c r="AN12" s="104">
        <f>140+50</f>
      </c>
      <c r="AO12" s="105">
        <v>75000</v>
      </c>
      <c r="AP12" s="104">
        <f>AN12*AO12</f>
      </c>
      <c r="AQ12" s="106"/>
      <c r="AR12" s="107">
        <v>56700</v>
      </c>
      <c r="AS12" s="106">
        <f>AQ12*AR12</f>
      </c>
      <c r="AT12" s="106">
        <v>100</v>
      </c>
      <c r="AU12" s="107">
        <v>56700</v>
      </c>
      <c r="AV12" s="106">
        <f>AT12*AU12</f>
      </c>
      <c r="AW12" s="106">
        <f>100+50</f>
      </c>
      <c r="AX12" s="108" t="s">
        <v>78</v>
      </c>
      <c r="AY12" s="106">
        <f>6300000+3325000</f>
      </c>
      <c r="AZ12" s="106"/>
      <c r="BA12" s="107">
        <v>75000</v>
      </c>
      <c r="BB12" s="106">
        <f>AZ12*BA12</f>
      </c>
      <c r="BC12" s="106">
        <v>50</v>
      </c>
      <c r="BD12" s="107">
        <v>75000</v>
      </c>
      <c r="BE12" s="106">
        <f>BC12*BD12</f>
      </c>
      <c r="BF12" s="106"/>
      <c r="BG12" s="107">
        <v>75000</v>
      </c>
      <c r="BH12" s="106">
        <f>BF12*BG12</f>
      </c>
      <c r="BI12" s="3"/>
      <c r="BJ12" s="3"/>
      <c r="BK12" s="3"/>
    </row>
    <row x14ac:dyDescent="0.25" r="13" customHeight="1" ht="33">
      <c r="A13" s="99">
        <v>8</v>
      </c>
      <c r="B13" s="100" t="s">
        <v>27</v>
      </c>
      <c r="C13" s="101" t="s">
        <v>28</v>
      </c>
      <c r="D13" s="102">
        <v>0.03</v>
      </c>
      <c r="E13" s="29">
        <v>658</v>
      </c>
      <c r="F13" s="103">
        <v>42000</v>
      </c>
      <c r="G13" s="29">
        <f>E13*F13*97%</f>
      </c>
      <c r="H13" s="104">
        <f>89+190</f>
      </c>
      <c r="I13" s="105">
        <v>57500</v>
      </c>
      <c r="J13" s="104">
        <f>H13*I13</f>
      </c>
      <c r="K13" s="102">
        <v>0.03</v>
      </c>
      <c r="L13" s="29">
        <f>126+379</f>
      </c>
      <c r="M13" s="103">
        <v>42000</v>
      </c>
      <c r="N13" s="29">
        <f>L13*M13*97%</f>
      </c>
      <c r="O13" s="104">
        <f>60+320</f>
      </c>
      <c r="P13" s="105">
        <v>57500</v>
      </c>
      <c r="Q13" s="104">
        <f>O13*P13</f>
      </c>
      <c r="R13" s="102">
        <v>0.03</v>
      </c>
      <c r="S13" s="29">
        <v>480</v>
      </c>
      <c r="T13" s="103">
        <v>42000</v>
      </c>
      <c r="U13" s="29">
        <f>S13*T13*97%</f>
      </c>
      <c r="V13" s="104">
        <f>121+210</f>
      </c>
      <c r="W13" s="105">
        <v>57500</v>
      </c>
      <c r="X13" s="104">
        <f>V13*W13</f>
      </c>
      <c r="Y13" s="29">
        <v>580</v>
      </c>
      <c r="Z13" s="103">
        <v>42000</v>
      </c>
      <c r="AA13" s="29">
        <f>Y13*Z13</f>
      </c>
      <c r="AB13" s="104">
        <v>235</v>
      </c>
      <c r="AC13" s="105">
        <v>57500</v>
      </c>
      <c r="AD13" s="104">
        <f>AB13*AC13</f>
      </c>
      <c r="AE13" s="29">
        <v>430</v>
      </c>
      <c r="AF13" s="103">
        <v>44100</v>
      </c>
      <c r="AG13" s="29">
        <f>AE13*AF13</f>
      </c>
      <c r="AH13" s="104">
        <f>108+207</f>
      </c>
      <c r="AI13" s="105">
        <v>57500</v>
      </c>
      <c r="AJ13" s="104">
        <f>AH13*AI13</f>
      </c>
      <c r="AK13" s="29">
        <v>710</v>
      </c>
      <c r="AL13" s="103">
        <v>44100</v>
      </c>
      <c r="AM13" s="29">
        <f>AK13*AL13</f>
      </c>
      <c r="AN13" s="104">
        <f>161+120+60</f>
      </c>
      <c r="AO13" s="109" t="s">
        <v>79</v>
      </c>
      <c r="AP13" s="104">
        <f>16157500+3630000</f>
      </c>
      <c r="AQ13" s="106">
        <v>289</v>
      </c>
      <c r="AR13" s="107">
        <v>44100</v>
      </c>
      <c r="AS13" s="106">
        <f>AQ13*AR13</f>
      </c>
      <c r="AT13" s="106">
        <v>646</v>
      </c>
      <c r="AU13" s="107">
        <v>44100</v>
      </c>
      <c r="AV13" s="106">
        <f>AT13*AU13</f>
      </c>
      <c r="AW13" s="106">
        <f>285+300</f>
      </c>
      <c r="AX13" s="108" t="s">
        <v>80</v>
      </c>
      <c r="AY13" s="106">
        <f>13965000+15450000</f>
      </c>
      <c r="AZ13" s="106">
        <v>455</v>
      </c>
      <c r="BA13" s="107">
        <v>57500</v>
      </c>
      <c r="BB13" s="106">
        <f>AZ13*BA13</f>
      </c>
      <c r="BC13" s="106">
        <f>500+50</f>
      </c>
      <c r="BD13" s="107">
        <v>57500</v>
      </c>
      <c r="BE13" s="106">
        <f>BC13*BD13</f>
      </c>
      <c r="BF13" s="106">
        <f>100+80</f>
      </c>
      <c r="BG13" s="107">
        <v>57500</v>
      </c>
      <c r="BH13" s="106">
        <f>BF13*BG13</f>
      </c>
      <c r="BI13" s="3"/>
      <c r="BJ13" s="3"/>
      <c r="BK13" s="3"/>
    </row>
    <row x14ac:dyDescent="0.25" r="14" customHeight="1" ht="33">
      <c r="A14" s="29">
        <v>9</v>
      </c>
      <c r="B14" s="112" t="s">
        <v>29</v>
      </c>
      <c r="C14" s="113" t="s">
        <v>30</v>
      </c>
      <c r="D14" s="102"/>
      <c r="E14" s="29"/>
      <c r="F14" s="103"/>
      <c r="G14" s="29">
        <f>E14*F14*97%</f>
      </c>
      <c r="H14" s="104"/>
      <c r="I14" s="105"/>
      <c r="J14" s="104"/>
      <c r="K14" s="102"/>
      <c r="L14" s="29"/>
      <c r="M14" s="103"/>
      <c r="N14" s="29">
        <f>L14*M14*97%</f>
      </c>
      <c r="O14" s="104"/>
      <c r="P14" s="105"/>
      <c r="Q14" s="104"/>
      <c r="R14" s="102"/>
      <c r="S14" s="29"/>
      <c r="T14" s="103"/>
      <c r="U14" s="29">
        <f>S14*T14*97%</f>
      </c>
      <c r="V14" s="104"/>
      <c r="W14" s="105"/>
      <c r="X14" s="104"/>
      <c r="Y14" s="29"/>
      <c r="Z14" s="103"/>
      <c r="AA14" s="29">
        <f>Y14*Z14</f>
      </c>
      <c r="AB14" s="104"/>
      <c r="AC14" s="105"/>
      <c r="AD14" s="104"/>
      <c r="AE14" s="29"/>
      <c r="AF14" s="103"/>
      <c r="AG14" s="29">
        <f>AE14*AF14</f>
      </c>
      <c r="AH14" s="104"/>
      <c r="AI14" s="105"/>
      <c r="AJ14" s="104"/>
      <c r="AK14" s="29"/>
      <c r="AL14" s="103"/>
      <c r="AM14" s="29">
        <f>AK14*AL14</f>
      </c>
      <c r="AN14" s="104"/>
      <c r="AO14" s="105"/>
      <c r="AP14" s="104"/>
      <c r="AQ14" s="106"/>
      <c r="AR14" s="107"/>
      <c r="AS14" s="106"/>
      <c r="AT14" s="106"/>
      <c r="AU14" s="107"/>
      <c r="AV14" s="106"/>
      <c r="AW14" s="106"/>
      <c r="AX14" s="108"/>
      <c r="AY14" s="106"/>
      <c r="AZ14" s="106"/>
      <c r="BA14" s="107"/>
      <c r="BB14" s="106"/>
      <c r="BC14" s="106"/>
      <c r="BD14" s="107"/>
      <c r="BE14" s="106"/>
      <c r="BF14" s="106"/>
      <c r="BG14" s="107"/>
      <c r="BH14" s="106"/>
      <c r="BI14" s="3"/>
      <c r="BJ14" s="3"/>
      <c r="BK14" s="3"/>
    </row>
    <row x14ac:dyDescent="0.25" r="15" customHeight="1" ht="33">
      <c r="A15" s="99">
        <v>10</v>
      </c>
      <c r="B15" s="100" t="s">
        <v>31</v>
      </c>
      <c r="C15" s="101" t="s">
        <v>32</v>
      </c>
      <c r="D15" s="102">
        <v>0.03</v>
      </c>
      <c r="E15" s="29">
        <v>214</v>
      </c>
      <c r="F15" s="103">
        <v>58000</v>
      </c>
      <c r="G15" s="29">
        <f>E15*F15*97%</f>
      </c>
      <c r="H15" s="104">
        <f>58+50</f>
      </c>
      <c r="I15" s="105">
        <v>81000</v>
      </c>
      <c r="J15" s="104">
        <f>H15*I15</f>
      </c>
      <c r="K15" s="102">
        <v>0.03</v>
      </c>
      <c r="L15" s="29">
        <v>20</v>
      </c>
      <c r="M15" s="103">
        <v>58000</v>
      </c>
      <c r="N15" s="29">
        <f>L15*M15*97%</f>
      </c>
      <c r="O15" s="104">
        <f>20+50</f>
      </c>
      <c r="P15" s="105">
        <v>81000</v>
      </c>
      <c r="Q15" s="104">
        <f>O15*P15</f>
      </c>
      <c r="R15" s="102">
        <v>0.03</v>
      </c>
      <c r="S15" s="29"/>
      <c r="T15" s="103">
        <v>58000</v>
      </c>
      <c r="U15" s="29">
        <f>S15*T15*97%</f>
      </c>
      <c r="V15" s="104">
        <f>20+50</f>
      </c>
      <c r="W15" s="105">
        <v>81000</v>
      </c>
      <c r="X15" s="104">
        <f>V15*W15</f>
      </c>
      <c r="Y15" s="29">
        <v>45</v>
      </c>
      <c r="Z15" s="103">
        <v>58000</v>
      </c>
      <c r="AA15" s="29">
        <f>Y15*Z15</f>
      </c>
      <c r="AB15" s="104">
        <v>32</v>
      </c>
      <c r="AC15" s="105">
        <v>81000</v>
      </c>
      <c r="AD15" s="104">
        <f>AB15*AC15</f>
      </c>
      <c r="AE15" s="29">
        <v>255</v>
      </c>
      <c r="AF15" s="103">
        <v>60900</v>
      </c>
      <c r="AG15" s="29">
        <f>AE15*AF15</f>
      </c>
      <c r="AH15" s="104">
        <v>40</v>
      </c>
      <c r="AI15" s="105">
        <v>81000</v>
      </c>
      <c r="AJ15" s="104">
        <f>AH15*AI15</f>
      </c>
      <c r="AK15" s="29">
        <v>100</v>
      </c>
      <c r="AL15" s="103">
        <v>60900</v>
      </c>
      <c r="AM15" s="29">
        <f>AK15*AL15</f>
      </c>
      <c r="AN15" s="104"/>
      <c r="AO15" s="105">
        <v>81000</v>
      </c>
      <c r="AP15" s="104">
        <f>AN15*AO15</f>
      </c>
      <c r="AQ15" s="106">
        <v>30</v>
      </c>
      <c r="AR15" s="107">
        <v>60900</v>
      </c>
      <c r="AS15" s="106">
        <f>AQ15*AR15</f>
      </c>
      <c r="AT15" s="106">
        <v>120</v>
      </c>
      <c r="AU15" s="107">
        <v>60900</v>
      </c>
      <c r="AV15" s="106">
        <f>AT15*AU15</f>
      </c>
      <c r="AW15" s="106">
        <v>50</v>
      </c>
      <c r="AX15" s="107">
        <v>70500</v>
      </c>
      <c r="AY15" s="106">
        <f>AW15*AX15</f>
      </c>
      <c r="AZ15" s="106">
        <v>100</v>
      </c>
      <c r="BA15" s="107">
        <v>81000</v>
      </c>
      <c r="BB15" s="106">
        <f>AZ15*BA15</f>
      </c>
      <c r="BC15" s="106"/>
      <c r="BD15" s="107">
        <v>81000</v>
      </c>
      <c r="BE15" s="106">
        <f>BC15*BD15</f>
      </c>
      <c r="BF15" s="106">
        <f>50+20</f>
      </c>
      <c r="BG15" s="107">
        <v>81000</v>
      </c>
      <c r="BH15" s="106">
        <f>BF15*BG15</f>
      </c>
      <c r="BI15" s="3"/>
      <c r="BJ15" s="3"/>
      <c r="BK15" s="3"/>
    </row>
    <row x14ac:dyDescent="0.25" r="16" customHeight="1" ht="33">
      <c r="A16" s="29">
        <v>11</v>
      </c>
      <c r="B16" s="112" t="s">
        <v>33</v>
      </c>
      <c r="C16" s="113" t="s">
        <v>34</v>
      </c>
      <c r="D16" s="102">
        <v>0.03</v>
      </c>
      <c r="E16" s="29">
        <v>129</v>
      </c>
      <c r="F16" s="103">
        <v>43000</v>
      </c>
      <c r="G16" s="29">
        <f>E16*F16*97%</f>
      </c>
      <c r="H16" s="104">
        <f>30+50</f>
      </c>
      <c r="I16" s="105">
        <v>60000</v>
      </c>
      <c r="J16" s="104">
        <f>H16*I16</f>
      </c>
      <c r="K16" s="102">
        <v>0.03</v>
      </c>
      <c r="L16" s="29">
        <v>125</v>
      </c>
      <c r="M16" s="103">
        <v>43000</v>
      </c>
      <c r="N16" s="29">
        <f>L16*M16*97%</f>
      </c>
      <c r="O16" s="104">
        <f>37+50</f>
      </c>
      <c r="P16" s="105">
        <v>60000</v>
      </c>
      <c r="Q16" s="104">
        <f>O16*P16</f>
      </c>
      <c r="R16" s="102">
        <v>0.03</v>
      </c>
      <c r="S16" s="29"/>
      <c r="T16" s="103">
        <v>43000</v>
      </c>
      <c r="U16" s="29">
        <f>S16*T16*97%</f>
      </c>
      <c r="V16" s="104">
        <f>30+50</f>
      </c>
      <c r="W16" s="105">
        <v>60000</v>
      </c>
      <c r="X16" s="104">
        <f>V16*W16</f>
      </c>
      <c r="Y16" s="29">
        <v>200</v>
      </c>
      <c r="Z16" s="103">
        <v>43000</v>
      </c>
      <c r="AA16" s="29">
        <f>Y16*Z16</f>
      </c>
      <c r="AB16" s="104">
        <v>93</v>
      </c>
      <c r="AC16" s="105">
        <v>60000</v>
      </c>
      <c r="AD16" s="104">
        <f>AB16*AC16</f>
      </c>
      <c r="AE16" s="29">
        <v>200</v>
      </c>
      <c r="AF16" s="103">
        <v>45200</v>
      </c>
      <c r="AG16" s="29">
        <f>AE16*AF16</f>
      </c>
      <c r="AH16" s="104">
        <v>40</v>
      </c>
      <c r="AI16" s="105">
        <v>60000</v>
      </c>
      <c r="AJ16" s="104">
        <f>AH16*AI16</f>
      </c>
      <c r="AK16" s="29"/>
      <c r="AL16" s="103">
        <v>45200</v>
      </c>
      <c r="AM16" s="29">
        <f>AK16*AL16</f>
      </c>
      <c r="AN16" s="104">
        <v>100</v>
      </c>
      <c r="AO16" s="105">
        <v>60000</v>
      </c>
      <c r="AP16" s="104">
        <f>AN16*AO16</f>
      </c>
      <c r="AQ16" s="106"/>
      <c r="AR16" s="107">
        <v>45200</v>
      </c>
      <c r="AS16" s="106">
        <f>AQ16*AR16</f>
      </c>
      <c r="AT16" s="106"/>
      <c r="AU16" s="107">
        <v>45200</v>
      </c>
      <c r="AV16" s="106">
        <f>AT16*AU16</f>
      </c>
      <c r="AW16" s="106">
        <f>50+50</f>
      </c>
      <c r="AX16" s="108" t="s">
        <v>81</v>
      </c>
      <c r="AY16" s="106">
        <f>2500000+2625000</f>
      </c>
      <c r="AZ16" s="106">
        <v>150</v>
      </c>
      <c r="BA16" s="107">
        <v>60000</v>
      </c>
      <c r="BB16" s="106">
        <f>AZ16*BA16</f>
      </c>
      <c r="BC16" s="106">
        <f>50</f>
      </c>
      <c r="BD16" s="107">
        <v>60000</v>
      </c>
      <c r="BE16" s="106">
        <f>BC16*BD16</f>
      </c>
      <c r="BF16" s="106">
        <f>50+20</f>
      </c>
      <c r="BG16" s="107">
        <v>60000</v>
      </c>
      <c r="BH16" s="106">
        <f>BF16*BG16</f>
      </c>
      <c r="BI16" s="3"/>
      <c r="BJ16" s="3"/>
      <c r="BK16" s="3"/>
    </row>
    <row x14ac:dyDescent="0.25" r="17" customHeight="1" ht="33">
      <c r="A17" s="99">
        <v>12</v>
      </c>
      <c r="B17" s="100" t="s">
        <v>35</v>
      </c>
      <c r="C17" s="101" t="s">
        <v>36</v>
      </c>
      <c r="D17" s="102">
        <v>0.03</v>
      </c>
      <c r="E17" s="29">
        <v>120</v>
      </c>
      <c r="F17" s="103">
        <v>63000</v>
      </c>
      <c r="G17" s="29">
        <f>E17*F17*97%</f>
      </c>
      <c r="H17" s="104">
        <f>151+200</f>
      </c>
      <c r="I17" s="105">
        <v>83000</v>
      </c>
      <c r="J17" s="104">
        <f>H17*I17</f>
      </c>
      <c r="K17" s="102">
        <v>0.03</v>
      </c>
      <c r="L17" s="29">
        <f>100+300</f>
      </c>
      <c r="M17" s="103">
        <v>63000</v>
      </c>
      <c r="N17" s="29">
        <f>L17*M17*97%</f>
      </c>
      <c r="O17" s="104">
        <f>131+150</f>
      </c>
      <c r="P17" s="105">
        <v>83000</v>
      </c>
      <c r="Q17" s="104">
        <f>O17*P17</f>
      </c>
      <c r="R17" s="102">
        <v>0.03</v>
      </c>
      <c r="S17" s="29">
        <v>150</v>
      </c>
      <c r="T17" s="103">
        <v>63000</v>
      </c>
      <c r="U17" s="29">
        <f>S17*T17*97%</f>
      </c>
      <c r="V17" s="104">
        <f>168+180</f>
      </c>
      <c r="W17" s="105">
        <v>83000</v>
      </c>
      <c r="X17" s="104">
        <f>V17*W17</f>
      </c>
      <c r="Y17" s="29">
        <f>220+60</f>
      </c>
      <c r="Z17" s="103">
        <v>63000</v>
      </c>
      <c r="AA17" s="29">
        <f>Y17*Z17</f>
      </c>
      <c r="AB17" s="104">
        <v>276</v>
      </c>
      <c r="AC17" s="105">
        <v>83000</v>
      </c>
      <c r="AD17" s="104">
        <f>AB17*AC17</f>
      </c>
      <c r="AE17" s="29">
        <v>485</v>
      </c>
      <c r="AF17" s="103">
        <v>66200</v>
      </c>
      <c r="AG17" s="29">
        <f>AE17*AF17</f>
      </c>
      <c r="AH17" s="104">
        <f>72+180</f>
      </c>
      <c r="AI17" s="105">
        <v>83000</v>
      </c>
      <c r="AJ17" s="104">
        <f>AH17*AI17</f>
      </c>
      <c r="AK17" s="29">
        <v>275</v>
      </c>
      <c r="AL17" s="103">
        <v>66200</v>
      </c>
      <c r="AM17" s="29">
        <f>AK17*AL17</f>
      </c>
      <c r="AN17" s="104">
        <f>163+81+45</f>
      </c>
      <c r="AO17" s="109" t="s">
        <v>82</v>
      </c>
      <c r="AP17" s="104">
        <f>20252000+3915000</f>
      </c>
      <c r="AQ17" s="106">
        <v>395</v>
      </c>
      <c r="AR17" s="107">
        <v>66200</v>
      </c>
      <c r="AS17" s="106">
        <f>AQ17*AR17</f>
      </c>
      <c r="AT17" s="106">
        <v>180</v>
      </c>
      <c r="AU17" s="107">
        <v>66200</v>
      </c>
      <c r="AV17" s="106">
        <f>AT17*AU17</f>
      </c>
      <c r="AW17" s="106">
        <v>220</v>
      </c>
      <c r="AX17" s="107">
        <v>77000</v>
      </c>
      <c r="AY17" s="106">
        <f>AW17*AX17</f>
      </c>
      <c r="AZ17" s="106">
        <v>570</v>
      </c>
      <c r="BA17" s="107">
        <v>83000</v>
      </c>
      <c r="BB17" s="106">
        <f>AZ17*BA17</f>
      </c>
      <c r="BC17" s="106">
        <v>100</v>
      </c>
      <c r="BD17" s="107">
        <v>83000</v>
      </c>
      <c r="BE17" s="106">
        <f>BC17*BD17</f>
      </c>
      <c r="BF17" s="106">
        <f>50+118</f>
      </c>
      <c r="BG17" s="107">
        <v>83000</v>
      </c>
      <c r="BH17" s="106">
        <f>BF17*BG17</f>
      </c>
      <c r="BI17" s="3"/>
      <c r="BJ17" s="3"/>
      <c r="BK17" s="3"/>
    </row>
    <row x14ac:dyDescent="0.25" r="18" customHeight="1" ht="33">
      <c r="A18" s="99">
        <v>13</v>
      </c>
      <c r="B18" s="100" t="s">
        <v>37</v>
      </c>
      <c r="C18" s="101" t="s">
        <v>38</v>
      </c>
      <c r="D18" s="102">
        <v>0.03</v>
      </c>
      <c r="E18" s="29">
        <v>80</v>
      </c>
      <c r="F18" s="103">
        <v>51000</v>
      </c>
      <c r="G18" s="29">
        <f>E18*F18*97%</f>
      </c>
      <c r="H18" s="104"/>
      <c r="I18" s="105">
        <v>65000</v>
      </c>
      <c r="J18" s="104">
        <f>H18*I18</f>
      </c>
      <c r="K18" s="102">
        <v>0.03</v>
      </c>
      <c r="L18" s="29">
        <v>100</v>
      </c>
      <c r="M18" s="103">
        <v>51000</v>
      </c>
      <c r="N18" s="29">
        <f>L18*M18*97%</f>
      </c>
      <c r="O18" s="104"/>
      <c r="P18" s="105">
        <v>65000</v>
      </c>
      <c r="Q18" s="104">
        <f>O18*P18</f>
      </c>
      <c r="R18" s="102">
        <v>0.03</v>
      </c>
      <c r="S18" s="29"/>
      <c r="T18" s="103">
        <v>51000</v>
      </c>
      <c r="U18" s="29">
        <f>S18*T18*97%</f>
      </c>
      <c r="V18" s="104"/>
      <c r="W18" s="105">
        <v>65000</v>
      </c>
      <c r="X18" s="104">
        <f>V18*W18</f>
      </c>
      <c r="Y18" s="29">
        <v>200</v>
      </c>
      <c r="Z18" s="103">
        <v>51000</v>
      </c>
      <c r="AA18" s="29">
        <f>Y18*Z18</f>
      </c>
      <c r="AB18" s="104">
        <v>50</v>
      </c>
      <c r="AC18" s="105">
        <v>65000</v>
      </c>
      <c r="AD18" s="104">
        <f>AB18*AC18</f>
      </c>
      <c r="AE18" s="29"/>
      <c r="AF18" s="103">
        <v>53600</v>
      </c>
      <c r="AG18" s="29">
        <f>AE18*AF18</f>
      </c>
      <c r="AH18" s="104"/>
      <c r="AI18" s="105">
        <v>65000</v>
      </c>
      <c r="AJ18" s="104">
        <f>AH18*AI18</f>
      </c>
      <c r="AK18" s="29"/>
      <c r="AL18" s="103">
        <v>53600</v>
      </c>
      <c r="AM18" s="29">
        <f>AK18*AL18</f>
      </c>
      <c r="AN18" s="104"/>
      <c r="AO18" s="105">
        <v>65000</v>
      </c>
      <c r="AP18" s="104">
        <f>AN18*AO18</f>
      </c>
      <c r="AQ18" s="106"/>
      <c r="AR18" s="107">
        <v>53600</v>
      </c>
      <c r="AS18" s="106">
        <f>AQ18*AR18</f>
      </c>
      <c r="AT18" s="106"/>
      <c r="AU18" s="107">
        <v>53600</v>
      </c>
      <c r="AV18" s="106">
        <f>AT18*AU18</f>
      </c>
      <c r="AW18" s="106"/>
      <c r="AX18" s="107">
        <v>53600</v>
      </c>
      <c r="AY18" s="106">
        <f>AW18*AX18</f>
      </c>
      <c r="AZ18" s="106">
        <v>50</v>
      </c>
      <c r="BA18" s="107">
        <v>65000</v>
      </c>
      <c r="BB18" s="106">
        <f>AZ18*BA18</f>
      </c>
      <c r="BC18" s="106"/>
      <c r="BD18" s="107">
        <v>65000</v>
      </c>
      <c r="BE18" s="106">
        <f>BC18*BD18</f>
      </c>
      <c r="BF18" s="106"/>
      <c r="BG18" s="107">
        <v>65000</v>
      </c>
      <c r="BH18" s="106">
        <f>BF18*BG18</f>
      </c>
      <c r="BI18" s="3"/>
      <c r="BJ18" s="3"/>
      <c r="BK18" s="3"/>
    </row>
    <row x14ac:dyDescent="0.25" r="19" customHeight="1" ht="33">
      <c r="A19" s="99">
        <v>14</v>
      </c>
      <c r="B19" s="100" t="s">
        <v>39</v>
      </c>
      <c r="C19" s="101" t="s">
        <v>40</v>
      </c>
      <c r="D19" s="102">
        <v>0.03</v>
      </c>
      <c r="E19" s="29">
        <v>125</v>
      </c>
      <c r="F19" s="103">
        <v>60500</v>
      </c>
      <c r="G19" s="29">
        <f>E19*F19*97%</f>
      </c>
      <c r="H19" s="104">
        <f>70+100</f>
      </c>
      <c r="I19" s="105">
        <v>79500</v>
      </c>
      <c r="J19" s="104">
        <f>H19*I19</f>
      </c>
      <c r="K19" s="102">
        <v>0.03</v>
      </c>
      <c r="L19" s="29">
        <f>13+385</f>
      </c>
      <c r="M19" s="103">
        <v>60500</v>
      </c>
      <c r="N19" s="29">
        <f>L19*M19*97%</f>
      </c>
      <c r="O19" s="104">
        <f>100+100</f>
      </c>
      <c r="P19" s="105">
        <v>79500</v>
      </c>
      <c r="Q19" s="104">
        <f>O19*P19</f>
      </c>
      <c r="R19" s="102">
        <v>0.03</v>
      </c>
      <c r="S19" s="29">
        <v>100</v>
      </c>
      <c r="T19" s="103">
        <v>60500</v>
      </c>
      <c r="U19" s="29">
        <f>S19*T19*97%</f>
      </c>
      <c r="V19" s="104">
        <f>40+132</f>
      </c>
      <c r="W19" s="105">
        <v>79500</v>
      </c>
      <c r="X19" s="104">
        <f>V19*W19</f>
      </c>
      <c r="Y19" s="29">
        <v>390</v>
      </c>
      <c r="Z19" s="103">
        <v>60500</v>
      </c>
      <c r="AA19" s="29">
        <f>Y19*Z19</f>
      </c>
      <c r="AB19" s="104">
        <v>168</v>
      </c>
      <c r="AC19" s="105">
        <v>79500</v>
      </c>
      <c r="AD19" s="104">
        <f>AB19*AC19</f>
      </c>
      <c r="AE19" s="29">
        <v>345</v>
      </c>
      <c r="AF19" s="103">
        <v>63600</v>
      </c>
      <c r="AG19" s="29">
        <f>AE19*AF19</f>
      </c>
      <c r="AH19" s="104">
        <f>84+129</f>
      </c>
      <c r="AI19" s="105">
        <v>79500</v>
      </c>
      <c r="AJ19" s="104">
        <f>AH19*AI19</f>
      </c>
      <c r="AK19" s="29">
        <v>65</v>
      </c>
      <c r="AL19" s="103">
        <v>63600</v>
      </c>
      <c r="AM19" s="29">
        <f>AK19*AL19</f>
      </c>
      <c r="AN19" s="104">
        <f>160+120+30</f>
      </c>
      <c r="AO19" s="109" t="s">
        <v>83</v>
      </c>
      <c r="AP19" s="104">
        <f>22260000+2490000</f>
      </c>
      <c r="AQ19" s="106">
        <v>160</v>
      </c>
      <c r="AR19" s="107">
        <v>63600</v>
      </c>
      <c r="AS19" s="106">
        <f>AQ19*AR19</f>
      </c>
      <c r="AT19" s="106">
        <v>90</v>
      </c>
      <c r="AU19" s="107">
        <v>63600</v>
      </c>
      <c r="AV19" s="106">
        <f>AT19*AU19</f>
      </c>
      <c r="AW19" s="106">
        <f>50+250</f>
      </c>
      <c r="AX19" s="108" t="s">
        <v>84</v>
      </c>
      <c r="AY19" s="106">
        <f>3500000+18375000</f>
      </c>
      <c r="AZ19" s="106">
        <v>100</v>
      </c>
      <c r="BA19" s="107">
        <v>79500</v>
      </c>
      <c r="BB19" s="106">
        <f>AZ19*BA19</f>
      </c>
      <c r="BC19" s="106">
        <v>60</v>
      </c>
      <c r="BD19" s="107">
        <v>79500</v>
      </c>
      <c r="BE19" s="106">
        <f>BC19*BD19</f>
      </c>
      <c r="BF19" s="106">
        <f>100+40</f>
      </c>
      <c r="BG19" s="107">
        <v>79500</v>
      </c>
      <c r="BH19" s="106">
        <f>BF19*BG19</f>
      </c>
      <c r="BI19" s="3"/>
      <c r="BJ19" s="3"/>
      <c r="BK19" s="3"/>
    </row>
    <row x14ac:dyDescent="0.25" r="20" customHeight="1" ht="33">
      <c r="A20" s="29">
        <v>15</v>
      </c>
      <c r="B20" s="112" t="s">
        <v>41</v>
      </c>
      <c r="C20" s="113" t="s">
        <v>42</v>
      </c>
      <c r="D20" s="102">
        <v>0.03</v>
      </c>
      <c r="E20" s="29">
        <v>178</v>
      </c>
      <c r="F20" s="103">
        <v>82500</v>
      </c>
      <c r="G20" s="29">
        <f>E20*F20*97%</f>
      </c>
      <c r="H20" s="104">
        <f>20+50</f>
      </c>
      <c r="I20" s="105">
        <v>115000</v>
      </c>
      <c r="J20" s="104">
        <f>H20*I20</f>
      </c>
      <c r="K20" s="102">
        <v>0.03</v>
      </c>
      <c r="L20" s="29">
        <v>42</v>
      </c>
      <c r="M20" s="103">
        <v>82500</v>
      </c>
      <c r="N20" s="29">
        <f>L20*M20*97%</f>
      </c>
      <c r="O20" s="104">
        <f>30+150</f>
      </c>
      <c r="P20" s="105">
        <v>115000</v>
      </c>
      <c r="Q20" s="104">
        <f>O20*P20</f>
      </c>
      <c r="R20" s="102">
        <v>0.03</v>
      </c>
      <c r="S20" s="29"/>
      <c r="T20" s="103">
        <v>82500</v>
      </c>
      <c r="U20" s="29">
        <f>S20*T20*97%</f>
      </c>
      <c r="V20" s="104">
        <v>20</v>
      </c>
      <c r="W20" s="105">
        <v>115000</v>
      </c>
      <c r="X20" s="104">
        <f>V20*W20</f>
      </c>
      <c r="Y20" s="29">
        <v>175</v>
      </c>
      <c r="Z20" s="103">
        <v>82500</v>
      </c>
      <c r="AA20" s="29">
        <f>Y20*Z20</f>
      </c>
      <c r="AB20" s="104">
        <v>60</v>
      </c>
      <c r="AC20" s="105">
        <v>115000</v>
      </c>
      <c r="AD20" s="104">
        <f>AB20*AC20</f>
      </c>
      <c r="AE20" s="29">
        <v>375</v>
      </c>
      <c r="AF20" s="103">
        <v>86700</v>
      </c>
      <c r="AG20" s="29">
        <f>AE20*AF20</f>
      </c>
      <c r="AH20" s="104">
        <v>60</v>
      </c>
      <c r="AI20" s="105">
        <v>115000</v>
      </c>
      <c r="AJ20" s="104">
        <f>AH20*AI20</f>
      </c>
      <c r="AK20" s="29"/>
      <c r="AL20" s="103">
        <v>86700</v>
      </c>
      <c r="AM20" s="29">
        <f>AK20*AL20</f>
      </c>
      <c r="AN20" s="104">
        <f>100</f>
      </c>
      <c r="AO20" s="105">
        <v>115000</v>
      </c>
      <c r="AP20" s="104">
        <f>AN20*AO20</f>
      </c>
      <c r="AQ20" s="106">
        <v>40</v>
      </c>
      <c r="AR20" s="107">
        <v>86700</v>
      </c>
      <c r="AS20" s="106">
        <f>AQ20*AR20</f>
      </c>
      <c r="AT20" s="106">
        <v>60</v>
      </c>
      <c r="AU20" s="107">
        <v>86700</v>
      </c>
      <c r="AV20" s="106">
        <f>AT20*AU20</f>
      </c>
      <c r="AW20" s="106"/>
      <c r="AX20" s="107">
        <v>86700</v>
      </c>
      <c r="AY20" s="106">
        <f>AW20*AX20</f>
      </c>
      <c r="AZ20" s="106">
        <v>110</v>
      </c>
      <c r="BA20" s="107">
        <v>115000</v>
      </c>
      <c r="BB20" s="106">
        <f>AZ20*BA20</f>
      </c>
      <c r="BC20" s="106">
        <v>20</v>
      </c>
      <c r="BD20" s="107">
        <v>115000</v>
      </c>
      <c r="BE20" s="106">
        <f>BC20*BD20</f>
      </c>
      <c r="BF20" s="106"/>
      <c r="BG20" s="107">
        <v>115000</v>
      </c>
      <c r="BH20" s="106">
        <f>BF20*BG20</f>
      </c>
      <c r="BI20" s="3"/>
      <c r="BJ20" s="3"/>
      <c r="BK20" s="3"/>
    </row>
    <row x14ac:dyDescent="0.25" r="21" customHeight="1" ht="33">
      <c r="A21" s="29">
        <v>16</v>
      </c>
      <c r="B21" s="112" t="s">
        <v>43</v>
      </c>
      <c r="C21" s="113" t="s">
        <v>44</v>
      </c>
      <c r="D21" s="102"/>
      <c r="E21" s="29"/>
      <c r="F21" s="103"/>
      <c r="G21" s="29">
        <f>E21*F21*97%</f>
      </c>
      <c r="H21" s="104">
        <f>30</f>
      </c>
      <c r="I21" s="105">
        <v>113500</v>
      </c>
      <c r="J21" s="104">
        <f>H21*I21</f>
      </c>
      <c r="K21" s="102"/>
      <c r="L21" s="29"/>
      <c r="M21" s="103"/>
      <c r="N21" s="29">
        <f>L21*M21*97%</f>
      </c>
      <c r="O21" s="104"/>
      <c r="P21" s="105">
        <v>113500</v>
      </c>
      <c r="Q21" s="104">
        <f>O21*P21</f>
      </c>
      <c r="R21" s="102">
        <v>0.03</v>
      </c>
      <c r="S21" s="29">
        <v>30</v>
      </c>
      <c r="T21" s="103">
        <v>88000</v>
      </c>
      <c r="U21" s="29">
        <f>S21*T21*97%</f>
      </c>
      <c r="V21" s="104">
        <v>50</v>
      </c>
      <c r="W21" s="105">
        <v>113500</v>
      </c>
      <c r="X21" s="104">
        <f>V21*W21</f>
      </c>
      <c r="Y21" s="29">
        <v>50</v>
      </c>
      <c r="Z21" s="103">
        <v>88000</v>
      </c>
      <c r="AA21" s="29">
        <f>Y21*Z21</f>
      </c>
      <c r="AB21" s="104"/>
      <c r="AC21" s="105">
        <v>113500</v>
      </c>
      <c r="AD21" s="104">
        <f>AB21*AC21</f>
      </c>
      <c r="AE21" s="29"/>
      <c r="AF21" s="103">
        <v>92400</v>
      </c>
      <c r="AG21" s="29">
        <f>AE21*AF21</f>
      </c>
      <c r="AH21" s="104">
        <v>20</v>
      </c>
      <c r="AI21" s="105">
        <v>113500</v>
      </c>
      <c r="AJ21" s="104">
        <f>AH21*AI21</f>
      </c>
      <c r="AK21" s="29"/>
      <c r="AL21" s="103">
        <v>92400</v>
      </c>
      <c r="AM21" s="29">
        <f>AK21*AL21</f>
      </c>
      <c r="AN21" s="104">
        <v>50</v>
      </c>
      <c r="AO21" s="105">
        <v>113500</v>
      </c>
      <c r="AP21" s="104">
        <f>AN21*AO21</f>
      </c>
      <c r="AQ21" s="106"/>
      <c r="AR21" s="107">
        <v>92400</v>
      </c>
      <c r="AS21" s="106">
        <f>AQ21*AR21</f>
      </c>
      <c r="AT21" s="106"/>
      <c r="AU21" s="107">
        <v>92400</v>
      </c>
      <c r="AV21" s="106">
        <f>AT21*AU21</f>
      </c>
      <c r="AW21" s="106">
        <v>70</v>
      </c>
      <c r="AX21" s="107">
        <v>102000</v>
      </c>
      <c r="AY21" s="106">
        <f>AW21*AX21</f>
      </c>
      <c r="AZ21" s="106">
        <v>10</v>
      </c>
      <c r="BA21" s="107">
        <v>113500</v>
      </c>
      <c r="BB21" s="106">
        <f>AZ21*BA21</f>
      </c>
      <c r="BC21" s="106"/>
      <c r="BD21" s="107">
        <v>113500</v>
      </c>
      <c r="BE21" s="106">
        <f>BC21*BD21</f>
      </c>
      <c r="BF21" s="106"/>
      <c r="BG21" s="107">
        <v>113500</v>
      </c>
      <c r="BH21" s="106">
        <f>BF21*BG21</f>
      </c>
      <c r="BI21" s="3"/>
      <c r="BJ21" s="3"/>
      <c r="BK21" s="3"/>
    </row>
    <row x14ac:dyDescent="0.25" r="22" customHeight="1" ht="33">
      <c r="A22" s="29">
        <v>17</v>
      </c>
      <c r="B22" s="112" t="s">
        <v>45</v>
      </c>
      <c r="C22" s="113" t="s">
        <v>46</v>
      </c>
      <c r="D22" s="102">
        <v>0.03</v>
      </c>
      <c r="E22" s="29"/>
      <c r="F22" s="103">
        <v>90000</v>
      </c>
      <c r="G22" s="29">
        <f>E22*F22*97%</f>
      </c>
      <c r="H22" s="104">
        <f>10</f>
      </c>
      <c r="I22" s="105">
        <v>121000</v>
      </c>
      <c r="J22" s="104">
        <f>H22*I22</f>
      </c>
      <c r="K22" s="102">
        <v>0.03</v>
      </c>
      <c r="L22" s="29">
        <f>80</f>
      </c>
      <c r="M22" s="103">
        <v>90000</v>
      </c>
      <c r="N22" s="29">
        <f>L22*M22*97%</f>
      </c>
      <c r="O22" s="104">
        <v>20</v>
      </c>
      <c r="P22" s="105">
        <v>121000</v>
      </c>
      <c r="Q22" s="104">
        <f>O22*P22</f>
      </c>
      <c r="R22" s="102">
        <v>0.03</v>
      </c>
      <c r="S22" s="29"/>
      <c r="T22" s="103">
        <v>90000</v>
      </c>
      <c r="U22" s="29">
        <f>S22*T22*97%</f>
      </c>
      <c r="V22" s="104">
        <f>50+50</f>
      </c>
      <c r="W22" s="105">
        <v>121000</v>
      </c>
      <c r="X22" s="104">
        <f>V22*W22</f>
      </c>
      <c r="Y22" s="29">
        <v>50</v>
      </c>
      <c r="Z22" s="103">
        <v>90000</v>
      </c>
      <c r="AA22" s="29">
        <f>Y22*Z22</f>
      </c>
      <c r="AB22" s="104"/>
      <c r="AC22" s="105">
        <v>121000</v>
      </c>
      <c r="AD22" s="104">
        <f>AB22*AC22</f>
      </c>
      <c r="AE22" s="29"/>
      <c r="AF22" s="103">
        <v>94500</v>
      </c>
      <c r="AG22" s="29">
        <f>AE22*AF22</f>
      </c>
      <c r="AH22" s="104">
        <v>40</v>
      </c>
      <c r="AI22" s="105">
        <v>121000</v>
      </c>
      <c r="AJ22" s="104">
        <f>AH22*AI22</f>
      </c>
      <c r="AK22" s="29"/>
      <c r="AL22" s="103">
        <v>94500</v>
      </c>
      <c r="AM22" s="29">
        <f>AK22*AL22</f>
      </c>
      <c r="AN22" s="104">
        <v>5</v>
      </c>
      <c r="AO22" s="105">
        <v>121000</v>
      </c>
      <c r="AP22" s="104">
        <f>AN22*AO22</f>
      </c>
      <c r="AQ22" s="106"/>
      <c r="AR22" s="107">
        <v>94500</v>
      </c>
      <c r="AS22" s="106">
        <f>AQ22*AR22</f>
      </c>
      <c r="AT22" s="106"/>
      <c r="AU22" s="107">
        <v>94500</v>
      </c>
      <c r="AV22" s="106">
        <f>AT22*AU22</f>
      </c>
      <c r="AW22" s="106">
        <f>70+20</f>
      </c>
      <c r="AX22" s="108" t="s">
        <v>85</v>
      </c>
      <c r="AY22" s="106">
        <f>7280000+2200000</f>
      </c>
      <c r="AZ22" s="106">
        <v>10</v>
      </c>
      <c r="BA22" s="107">
        <v>121000</v>
      </c>
      <c r="BB22" s="106">
        <f>AZ22*BA22</f>
      </c>
      <c r="BC22" s="106"/>
      <c r="BD22" s="107">
        <v>121000</v>
      </c>
      <c r="BE22" s="106">
        <f>BC22*BD22</f>
      </c>
      <c r="BF22" s="106"/>
      <c r="BG22" s="107">
        <v>121000</v>
      </c>
      <c r="BH22" s="106">
        <f>BF22*BG22</f>
      </c>
      <c r="BI22" s="3"/>
      <c r="BJ22" s="3"/>
      <c r="BK22" s="3"/>
    </row>
    <row x14ac:dyDescent="0.25" r="23" customHeight="1" ht="33">
      <c r="A23" s="29">
        <v>18</v>
      </c>
      <c r="B23" s="112" t="s">
        <v>47</v>
      </c>
      <c r="C23" s="113" t="s">
        <v>48</v>
      </c>
      <c r="D23" s="102"/>
      <c r="E23" s="29"/>
      <c r="F23" s="103"/>
      <c r="G23" s="29">
        <f>E23*F23*97%</f>
      </c>
      <c r="H23" s="104"/>
      <c r="I23" s="105">
        <v>51000</v>
      </c>
      <c r="J23" s="104">
        <f>H23*I23</f>
      </c>
      <c r="K23" s="102"/>
      <c r="L23" s="29"/>
      <c r="M23" s="103"/>
      <c r="N23" s="29">
        <f>L23*M23*97%</f>
      </c>
      <c r="O23" s="104"/>
      <c r="P23" s="105">
        <v>51000</v>
      </c>
      <c r="Q23" s="104">
        <f>O23*P23</f>
      </c>
      <c r="R23" s="102">
        <v>0.03</v>
      </c>
      <c r="S23" s="29"/>
      <c r="T23" s="103">
        <v>39000</v>
      </c>
      <c r="U23" s="29">
        <f>S23*T23*97%</f>
      </c>
      <c r="V23" s="104"/>
      <c r="W23" s="105">
        <v>51000</v>
      </c>
      <c r="X23" s="104">
        <f>V23*W23</f>
      </c>
      <c r="Y23" s="29"/>
      <c r="Z23" s="103">
        <v>39000</v>
      </c>
      <c r="AA23" s="29">
        <f>Y23*Z23</f>
      </c>
      <c r="AB23" s="104"/>
      <c r="AC23" s="105">
        <v>51000</v>
      </c>
      <c r="AD23" s="104">
        <f>AB23*AC23</f>
      </c>
      <c r="AE23" s="29"/>
      <c r="AF23" s="103">
        <v>41000</v>
      </c>
      <c r="AG23" s="29">
        <f>AE23*AF23</f>
      </c>
      <c r="AH23" s="104">
        <v>9</v>
      </c>
      <c r="AI23" s="105">
        <v>51000</v>
      </c>
      <c r="AJ23" s="104">
        <f>AH23*AI23</f>
      </c>
      <c r="AK23" s="29"/>
      <c r="AL23" s="103">
        <v>41000</v>
      </c>
      <c r="AM23" s="29">
        <f>AK23*AL23</f>
      </c>
      <c r="AN23" s="104"/>
      <c r="AO23" s="105">
        <v>51000</v>
      </c>
      <c r="AP23" s="104">
        <f>AN23*AO23</f>
      </c>
      <c r="AQ23" s="106"/>
      <c r="AR23" s="107">
        <v>41000</v>
      </c>
      <c r="AS23" s="106">
        <f>AQ23*AR23</f>
      </c>
      <c r="AT23" s="106"/>
      <c r="AU23" s="107">
        <v>41000</v>
      </c>
      <c r="AV23" s="106">
        <f>AT23*AU23</f>
      </c>
      <c r="AW23" s="106">
        <v>20</v>
      </c>
      <c r="AX23" s="107">
        <v>46000</v>
      </c>
      <c r="AY23" s="106">
        <f>AW23*AX23</f>
      </c>
      <c r="AZ23" s="106">
        <v>40</v>
      </c>
      <c r="BA23" s="107">
        <v>51000</v>
      </c>
      <c r="BB23" s="106">
        <f>AZ23*BA23</f>
      </c>
      <c r="BC23" s="106"/>
      <c r="BD23" s="107">
        <v>51000</v>
      </c>
      <c r="BE23" s="106">
        <f>BC23*BD23</f>
      </c>
      <c r="BF23" s="106"/>
      <c r="BG23" s="107">
        <v>51000</v>
      </c>
      <c r="BH23" s="106">
        <f>BF23*BG23</f>
      </c>
      <c r="BI23" s="3"/>
      <c r="BJ23" s="3"/>
      <c r="BK23" s="3"/>
    </row>
    <row x14ac:dyDescent="0.25" r="24" customHeight="1" ht="33">
      <c r="A24" s="99">
        <v>19</v>
      </c>
      <c r="B24" s="100" t="s">
        <v>49</v>
      </c>
      <c r="C24" s="101" t="s">
        <v>50</v>
      </c>
      <c r="D24" s="102">
        <v>0.03</v>
      </c>
      <c r="E24" s="29">
        <v>50</v>
      </c>
      <c r="F24" s="103">
        <v>90000</v>
      </c>
      <c r="G24" s="29">
        <f>E24*F24*97%</f>
      </c>
      <c r="H24" s="104"/>
      <c r="I24" s="105">
        <v>120000</v>
      </c>
      <c r="J24" s="104">
        <f>H24*I24</f>
      </c>
      <c r="K24" s="102">
        <v>0.03</v>
      </c>
      <c r="L24" s="29"/>
      <c r="M24" s="103">
        <v>90000</v>
      </c>
      <c r="N24" s="29">
        <f>L24*M24*97%</f>
      </c>
      <c r="O24" s="104"/>
      <c r="P24" s="105">
        <v>120000</v>
      </c>
      <c r="Q24" s="104">
        <f>O24*P24</f>
      </c>
      <c r="R24" s="102">
        <v>0.03</v>
      </c>
      <c r="S24" s="29"/>
      <c r="T24" s="103">
        <v>90000</v>
      </c>
      <c r="U24" s="29">
        <f>S24*T24*97%</f>
      </c>
      <c r="V24" s="104">
        <f>30</f>
      </c>
      <c r="W24" s="105">
        <v>120000</v>
      </c>
      <c r="X24" s="104">
        <f>V24*W24</f>
      </c>
      <c r="Y24" s="29"/>
      <c r="Z24" s="103">
        <v>90000</v>
      </c>
      <c r="AA24" s="29">
        <f>Y24*Z24</f>
      </c>
      <c r="AB24" s="104"/>
      <c r="AC24" s="105">
        <v>120000</v>
      </c>
      <c r="AD24" s="104">
        <f>AB24*AC24</f>
      </c>
      <c r="AE24" s="29"/>
      <c r="AF24" s="103">
        <v>94500</v>
      </c>
      <c r="AG24" s="29">
        <f>AE24*AF24</f>
      </c>
      <c r="AH24" s="104"/>
      <c r="AI24" s="105">
        <v>120000</v>
      </c>
      <c r="AJ24" s="104">
        <f>AH24*AI24</f>
      </c>
      <c r="AK24" s="29"/>
      <c r="AL24" s="103">
        <v>94500</v>
      </c>
      <c r="AM24" s="29">
        <f>AK24*AL24</f>
      </c>
      <c r="AN24" s="104"/>
      <c r="AO24" s="105">
        <v>120000</v>
      </c>
      <c r="AP24" s="104">
        <f>AN24*AO24</f>
      </c>
      <c r="AQ24" s="106"/>
      <c r="AR24" s="107">
        <v>94500</v>
      </c>
      <c r="AS24" s="106">
        <f>AQ24*AR24</f>
      </c>
      <c r="AT24" s="106"/>
      <c r="AU24" s="107">
        <v>94500</v>
      </c>
      <c r="AV24" s="106">
        <f>AT24*AU24</f>
      </c>
      <c r="AW24" s="106"/>
      <c r="AX24" s="107">
        <v>104000</v>
      </c>
      <c r="AY24" s="106">
        <f>AW24*AX24</f>
      </c>
      <c r="AZ24" s="106"/>
      <c r="BA24" s="107">
        <v>120000</v>
      </c>
      <c r="BB24" s="106">
        <f>AZ24*BA24</f>
      </c>
      <c r="BC24" s="106">
        <v>20</v>
      </c>
      <c r="BD24" s="107">
        <v>120000</v>
      </c>
      <c r="BE24" s="106">
        <f>BC24*BD24</f>
      </c>
      <c r="BF24" s="106"/>
      <c r="BG24" s="107">
        <v>120000</v>
      </c>
      <c r="BH24" s="106">
        <f>BF24*BG24</f>
      </c>
      <c r="BI24" s="3"/>
      <c r="BJ24" s="3"/>
      <c r="BK24" s="3"/>
    </row>
    <row x14ac:dyDescent="0.25" r="25" customHeight="1" ht="33">
      <c r="A25" s="99">
        <v>20</v>
      </c>
      <c r="B25" s="100" t="s">
        <v>51</v>
      </c>
      <c r="C25" s="101" t="s">
        <v>52</v>
      </c>
      <c r="D25" s="102">
        <v>0.03</v>
      </c>
      <c r="E25" s="29">
        <v>50</v>
      </c>
      <c r="F25" s="103">
        <v>90000</v>
      </c>
      <c r="G25" s="29">
        <f>E25*F25*97%</f>
      </c>
      <c r="H25" s="104"/>
      <c r="I25" s="105">
        <v>120000</v>
      </c>
      <c r="J25" s="104">
        <f>H25*I25</f>
      </c>
      <c r="K25" s="102">
        <v>0.03</v>
      </c>
      <c r="L25" s="29"/>
      <c r="M25" s="103">
        <v>90000</v>
      </c>
      <c r="N25" s="29">
        <f>L25*M25*97%</f>
      </c>
      <c r="O25" s="104"/>
      <c r="P25" s="105">
        <v>120000</v>
      </c>
      <c r="Q25" s="104">
        <f>O25*P25</f>
      </c>
      <c r="R25" s="102">
        <v>0.03</v>
      </c>
      <c r="S25" s="29"/>
      <c r="T25" s="103">
        <v>90000</v>
      </c>
      <c r="U25" s="29">
        <f>S25*T25*97%</f>
      </c>
      <c r="V25" s="104"/>
      <c r="W25" s="105">
        <v>120000</v>
      </c>
      <c r="X25" s="104">
        <f>V25*W25</f>
      </c>
      <c r="Y25" s="29"/>
      <c r="Z25" s="103">
        <v>90000</v>
      </c>
      <c r="AA25" s="29">
        <f>Y25*Z25</f>
      </c>
      <c r="AB25" s="104"/>
      <c r="AC25" s="105">
        <v>120000</v>
      </c>
      <c r="AD25" s="104">
        <f>AB25*AC25</f>
      </c>
      <c r="AE25" s="29"/>
      <c r="AF25" s="103">
        <v>94500</v>
      </c>
      <c r="AG25" s="29">
        <f>AE25*AF25</f>
      </c>
      <c r="AH25" s="104"/>
      <c r="AI25" s="105">
        <v>120000</v>
      </c>
      <c r="AJ25" s="104">
        <f>AH25*AI25</f>
      </c>
      <c r="AK25" s="29"/>
      <c r="AL25" s="103">
        <v>94500</v>
      </c>
      <c r="AM25" s="29">
        <f>AK25*AL25</f>
      </c>
      <c r="AN25" s="104"/>
      <c r="AO25" s="105">
        <v>120000</v>
      </c>
      <c r="AP25" s="104">
        <f>AN25*AO25</f>
      </c>
      <c r="AQ25" s="106"/>
      <c r="AR25" s="107">
        <v>94500</v>
      </c>
      <c r="AS25" s="106">
        <f>AQ25*AR25</f>
      </c>
      <c r="AT25" s="106"/>
      <c r="AU25" s="107">
        <v>94500</v>
      </c>
      <c r="AV25" s="106">
        <f>AT25*AU25</f>
      </c>
      <c r="AW25" s="106">
        <v>30</v>
      </c>
      <c r="AX25" s="107">
        <v>104000</v>
      </c>
      <c r="AY25" s="106">
        <f>AW25*AX25</f>
      </c>
      <c r="AZ25" s="106">
        <v>20</v>
      </c>
      <c r="BA25" s="107">
        <v>120000</v>
      </c>
      <c r="BB25" s="106">
        <f>AZ25*BA25</f>
      </c>
      <c r="BC25" s="106"/>
      <c r="BD25" s="107">
        <v>120000</v>
      </c>
      <c r="BE25" s="106">
        <f>BC25*BD25</f>
      </c>
      <c r="BF25" s="106"/>
      <c r="BG25" s="107">
        <v>120000</v>
      </c>
      <c r="BH25" s="106">
        <f>BF25*BG25</f>
      </c>
      <c r="BI25" s="3"/>
      <c r="BJ25" s="3"/>
      <c r="BK25" s="3"/>
    </row>
    <row x14ac:dyDescent="0.25" r="26" customHeight="1" ht="33">
      <c r="A26" s="29">
        <v>21</v>
      </c>
      <c r="B26" s="112" t="s">
        <v>53</v>
      </c>
      <c r="C26" s="113" t="s">
        <v>54</v>
      </c>
      <c r="D26" s="102"/>
      <c r="E26" s="29"/>
      <c r="F26" s="103"/>
      <c r="G26" s="29">
        <f>E26*F26*97%</f>
      </c>
      <c r="H26" s="104"/>
      <c r="I26" s="105"/>
      <c r="J26" s="104"/>
      <c r="K26" s="102"/>
      <c r="L26" s="29"/>
      <c r="M26" s="103"/>
      <c r="N26" s="29">
        <f>L26*M26*97%</f>
      </c>
      <c r="O26" s="104"/>
      <c r="P26" s="105">
        <v>35000</v>
      </c>
      <c r="Q26" s="104">
        <f>O26*P26</f>
      </c>
      <c r="R26" s="102"/>
      <c r="S26" s="29"/>
      <c r="T26" s="103"/>
      <c r="U26" s="29">
        <f>S26*T26*97%</f>
      </c>
      <c r="V26" s="104"/>
      <c r="W26" s="105">
        <v>35000</v>
      </c>
      <c r="X26" s="104">
        <f>V26*W26</f>
      </c>
      <c r="Y26" s="29"/>
      <c r="Z26" s="103"/>
      <c r="AA26" s="29">
        <f>Y26*Z26</f>
      </c>
      <c r="AB26" s="104"/>
      <c r="AC26" s="105">
        <v>35000</v>
      </c>
      <c r="AD26" s="104">
        <f>AB26*AC26</f>
      </c>
      <c r="AE26" s="29"/>
      <c r="AF26" s="103"/>
      <c r="AG26" s="29">
        <f>AE26*AF26</f>
      </c>
      <c r="AH26" s="104"/>
      <c r="AI26" s="105">
        <v>35000</v>
      </c>
      <c r="AJ26" s="104">
        <f>AH26*AI26</f>
      </c>
      <c r="AK26" s="29"/>
      <c r="AL26" s="103"/>
      <c r="AM26" s="29">
        <f>AK26*AL26</f>
      </c>
      <c r="AN26" s="104"/>
      <c r="AO26" s="105">
        <v>35000</v>
      </c>
      <c r="AP26" s="104">
        <f>AN26*AO26</f>
      </c>
      <c r="AQ26" s="106"/>
      <c r="AR26" s="107"/>
      <c r="AS26" s="106"/>
      <c r="AT26" s="106"/>
      <c r="AU26" s="107"/>
      <c r="AV26" s="106"/>
      <c r="AW26" s="106"/>
      <c r="AX26" s="107"/>
      <c r="AY26" s="106"/>
      <c r="AZ26" s="106"/>
      <c r="BA26" s="107"/>
      <c r="BB26" s="106"/>
      <c r="BC26" s="106"/>
      <c r="BD26" s="107"/>
      <c r="BE26" s="106"/>
      <c r="BF26" s="106"/>
      <c r="BG26" s="107"/>
      <c r="BH26" s="106"/>
      <c r="BI26" s="3"/>
      <c r="BJ26" s="3"/>
      <c r="BK26" s="3"/>
    </row>
    <row x14ac:dyDescent="0.25" r="27" customHeight="1" ht="33">
      <c r="A27" s="99">
        <v>22</v>
      </c>
      <c r="B27" s="100" t="s">
        <v>55</v>
      </c>
      <c r="C27" s="101" t="s">
        <v>56</v>
      </c>
      <c r="D27" s="102">
        <v>0.03</v>
      </c>
      <c r="E27" s="29"/>
      <c r="F27" s="103">
        <v>70000</v>
      </c>
      <c r="G27" s="29">
        <f>E27*F27*97%</f>
      </c>
      <c r="H27" s="104"/>
      <c r="I27" s="105">
        <v>89000</v>
      </c>
      <c r="J27" s="104">
        <f>H27*I27</f>
      </c>
      <c r="K27" s="102">
        <v>0.03</v>
      </c>
      <c r="L27" s="29"/>
      <c r="M27" s="103">
        <v>70000</v>
      </c>
      <c r="N27" s="29">
        <f>L27*M27*97%</f>
      </c>
      <c r="O27" s="104">
        <v>10</v>
      </c>
      <c r="P27" s="105">
        <v>89000</v>
      </c>
      <c r="Q27" s="104">
        <f>O27*P27</f>
      </c>
      <c r="R27" s="102">
        <v>0.03</v>
      </c>
      <c r="S27" s="29"/>
      <c r="T27" s="103">
        <v>70000</v>
      </c>
      <c r="U27" s="29">
        <f>S27*T27*97%</f>
      </c>
      <c r="V27" s="104">
        <v>10</v>
      </c>
      <c r="W27" s="105">
        <v>89000</v>
      </c>
      <c r="X27" s="104">
        <f>V27*W27</f>
      </c>
      <c r="Y27" s="29">
        <v>50</v>
      </c>
      <c r="Z27" s="103">
        <v>70000</v>
      </c>
      <c r="AA27" s="29">
        <f>Y27*Z27</f>
      </c>
      <c r="AB27" s="104"/>
      <c r="AC27" s="105">
        <v>89000</v>
      </c>
      <c r="AD27" s="104">
        <f>AB27*AC27</f>
      </c>
      <c r="AE27" s="29">
        <v>30</v>
      </c>
      <c r="AF27" s="103">
        <v>73500</v>
      </c>
      <c r="AG27" s="29">
        <f>AE27*AF27</f>
      </c>
      <c r="AH27" s="104"/>
      <c r="AI27" s="105">
        <v>89000</v>
      </c>
      <c r="AJ27" s="104">
        <f>AH27*AI27</f>
      </c>
      <c r="AK27" s="29"/>
      <c r="AL27" s="103">
        <v>73500</v>
      </c>
      <c r="AM27" s="29">
        <f>AK27*AL27</f>
      </c>
      <c r="AN27" s="104"/>
      <c r="AO27" s="105">
        <v>89000</v>
      </c>
      <c r="AP27" s="104">
        <f>AN27*AO27</f>
      </c>
      <c r="AQ27" s="106"/>
      <c r="AR27" s="107">
        <v>73500</v>
      </c>
      <c r="AS27" s="106">
        <f>AQ27*AR27</f>
      </c>
      <c r="AT27" s="106"/>
      <c r="AU27" s="107">
        <v>73500</v>
      </c>
      <c r="AV27" s="106">
        <f>AT27*AU27</f>
      </c>
      <c r="AW27" s="106"/>
      <c r="AX27" s="107">
        <v>81000</v>
      </c>
      <c r="AY27" s="106">
        <f>AW27*AX27</f>
      </c>
      <c r="AZ27" s="106">
        <v>50</v>
      </c>
      <c r="BA27" s="107">
        <v>89000</v>
      </c>
      <c r="BB27" s="106">
        <f>AZ27*BA27</f>
      </c>
      <c r="BC27" s="106"/>
      <c r="BD27" s="107">
        <v>89000</v>
      </c>
      <c r="BE27" s="106">
        <f>BC27*BD27</f>
      </c>
      <c r="BF27" s="106">
        <v>20</v>
      </c>
      <c r="BG27" s="107">
        <v>89000</v>
      </c>
      <c r="BH27" s="106">
        <f>BF27*BG27</f>
      </c>
      <c r="BI27" s="3"/>
      <c r="BJ27" s="3"/>
      <c r="BK27" s="3"/>
    </row>
    <row x14ac:dyDescent="0.25" r="28" customHeight="1" ht="33">
      <c r="A28" s="32">
        <v>23</v>
      </c>
      <c r="B28" s="30" t="s">
        <v>57</v>
      </c>
      <c r="C28" s="31" t="s">
        <v>58</v>
      </c>
      <c r="D28" s="114"/>
      <c r="E28" s="28"/>
      <c r="F28" s="103"/>
      <c r="G28" s="28"/>
      <c r="H28" s="104"/>
      <c r="I28" s="105"/>
      <c r="J28" s="104"/>
      <c r="K28" s="114"/>
      <c r="L28" s="28"/>
      <c r="M28" s="103"/>
      <c r="N28" s="28"/>
      <c r="O28" s="104"/>
      <c r="P28" s="105">
        <v>90000</v>
      </c>
      <c r="Q28" s="104">
        <f>O28*P28</f>
      </c>
      <c r="R28" s="114"/>
      <c r="S28" s="28"/>
      <c r="T28" s="103"/>
      <c r="U28" s="28"/>
      <c r="V28" s="104"/>
      <c r="W28" s="105">
        <v>90000</v>
      </c>
      <c r="X28" s="104">
        <f>V28*W28</f>
      </c>
      <c r="Y28" s="28"/>
      <c r="Z28" s="103"/>
      <c r="AA28" s="28"/>
      <c r="AB28" s="104"/>
      <c r="AC28" s="105">
        <v>90000</v>
      </c>
      <c r="AD28" s="104">
        <f>AB28*AC28</f>
      </c>
      <c r="AE28" s="28"/>
      <c r="AF28" s="103"/>
      <c r="AG28" s="28"/>
      <c r="AH28" s="104"/>
      <c r="AI28" s="105">
        <v>90000</v>
      </c>
      <c r="AJ28" s="104">
        <f>AH28*AI28</f>
      </c>
      <c r="AK28" s="28"/>
      <c r="AL28" s="103"/>
      <c r="AM28" s="28"/>
      <c r="AN28" s="104"/>
      <c r="AO28" s="105">
        <v>90000</v>
      </c>
      <c r="AP28" s="104">
        <f>AN28*AO28</f>
      </c>
      <c r="AQ28" s="106"/>
      <c r="AR28" s="107"/>
      <c r="AS28" s="106"/>
      <c r="AT28" s="106"/>
      <c r="AU28" s="107"/>
      <c r="AV28" s="106"/>
      <c r="AW28" s="106"/>
      <c r="AX28" s="107"/>
      <c r="AY28" s="106"/>
      <c r="AZ28" s="106"/>
      <c r="BA28" s="107"/>
      <c r="BB28" s="106"/>
      <c r="BC28" s="106"/>
      <c r="BD28" s="107"/>
      <c r="BE28" s="106"/>
      <c r="BF28" s="106"/>
      <c r="BG28" s="107"/>
      <c r="BH28" s="106"/>
      <c r="BI28" s="5"/>
      <c r="BJ28" s="3"/>
      <c r="BK28" s="3"/>
    </row>
    <row x14ac:dyDescent="0.25" r="29" customHeight="1" ht="33">
      <c r="A29" s="29">
        <v>24</v>
      </c>
      <c r="B29" s="112" t="s">
        <v>59</v>
      </c>
      <c r="C29" s="115" t="s">
        <v>60</v>
      </c>
      <c r="D29" s="102">
        <v>0.03</v>
      </c>
      <c r="E29" s="29"/>
      <c r="F29" s="103"/>
      <c r="G29" s="29">
        <f>E29*F29*97%</f>
      </c>
      <c r="H29" s="104"/>
      <c r="I29" s="105">
        <v>94000</v>
      </c>
      <c r="J29" s="104">
        <f>H29*I29</f>
      </c>
      <c r="K29" s="102">
        <v>0.03</v>
      </c>
      <c r="L29" s="29">
        <v>80</v>
      </c>
      <c r="M29" s="103">
        <v>72000</v>
      </c>
      <c r="N29" s="29">
        <f>L29*M29*97%</f>
      </c>
      <c r="O29" s="104">
        <f>20+50</f>
      </c>
      <c r="P29" s="105">
        <v>94000</v>
      </c>
      <c r="Q29" s="104">
        <f>O29*P29</f>
      </c>
      <c r="R29" s="102">
        <v>0.03</v>
      </c>
      <c r="S29" s="29">
        <v>174</v>
      </c>
      <c r="T29" s="103">
        <v>72000</v>
      </c>
      <c r="U29" s="29">
        <f>S29*T29*97%</f>
      </c>
      <c r="V29" s="104">
        <f>10+50</f>
      </c>
      <c r="W29" s="105">
        <v>94000</v>
      </c>
      <c r="X29" s="104">
        <f>V29*W29</f>
      </c>
      <c r="Y29" s="29"/>
      <c r="Z29" s="103">
        <v>72000</v>
      </c>
      <c r="AA29" s="29">
        <f>Y29*Z29</f>
      </c>
      <c r="AB29" s="104">
        <v>70</v>
      </c>
      <c r="AC29" s="105">
        <v>94000</v>
      </c>
      <c r="AD29" s="104">
        <f>AB29*AC29</f>
      </c>
      <c r="AE29" s="29"/>
      <c r="AF29" s="103">
        <v>75600</v>
      </c>
      <c r="AG29" s="29">
        <f>AE29*AF29</f>
      </c>
      <c r="AH29" s="104"/>
      <c r="AI29" s="105">
        <v>94000</v>
      </c>
      <c r="AJ29" s="104">
        <f>AH29*AI29</f>
      </c>
      <c r="AK29" s="29"/>
      <c r="AL29" s="103">
        <v>75600</v>
      </c>
      <c r="AM29" s="29">
        <f>AK29*AL29</f>
      </c>
      <c r="AN29" s="104">
        <f>80+50</f>
      </c>
      <c r="AO29" s="105">
        <v>94000</v>
      </c>
      <c r="AP29" s="104">
        <f>AN29*AO29</f>
      </c>
      <c r="AQ29" s="106"/>
      <c r="AR29" s="107">
        <v>75600</v>
      </c>
      <c r="AS29" s="106">
        <f>AQ29*AR29</f>
      </c>
      <c r="AT29" s="106">
        <v>50</v>
      </c>
      <c r="AU29" s="107">
        <v>75600</v>
      </c>
      <c r="AV29" s="106">
        <f>AT29*AU29</f>
      </c>
      <c r="AW29" s="106"/>
      <c r="AX29" s="107">
        <v>84000</v>
      </c>
      <c r="AY29" s="106">
        <f>AW29*AX29</f>
      </c>
      <c r="AZ29" s="106"/>
      <c r="BA29" s="107">
        <v>94000</v>
      </c>
      <c r="BB29" s="106">
        <f>AZ29*BA29</f>
      </c>
      <c r="BC29" s="106">
        <f>50+20</f>
      </c>
      <c r="BD29" s="107">
        <v>94000</v>
      </c>
      <c r="BE29" s="106">
        <f>BC29*BD29</f>
      </c>
      <c r="BF29" s="106">
        <v>50</v>
      </c>
      <c r="BG29" s="107">
        <v>94000</v>
      </c>
      <c r="BH29" s="106">
        <f>BF29*BG29</f>
      </c>
      <c r="BI29" s="3"/>
      <c r="BJ29" s="3"/>
      <c r="BK29" s="3"/>
    </row>
    <row x14ac:dyDescent="0.25" r="30" customHeight="1" ht="33">
      <c r="A30" s="28">
        <v>25</v>
      </c>
      <c r="B30" s="30" t="s">
        <v>61</v>
      </c>
      <c r="C30" s="33" t="s">
        <v>62</v>
      </c>
      <c r="D30" s="114"/>
      <c r="E30" s="28"/>
      <c r="F30" s="103"/>
      <c r="G30" s="28"/>
      <c r="H30" s="104"/>
      <c r="I30" s="105">
        <v>46000</v>
      </c>
      <c r="J30" s="104">
        <f>H30*I30</f>
      </c>
      <c r="K30" s="114"/>
      <c r="L30" s="28"/>
      <c r="M30" s="103"/>
      <c r="N30" s="28"/>
      <c r="O30" s="104"/>
      <c r="P30" s="105">
        <v>46000</v>
      </c>
      <c r="Q30" s="104">
        <f>O30*P30</f>
      </c>
      <c r="R30" s="114"/>
      <c r="S30" s="28"/>
      <c r="T30" s="103"/>
      <c r="U30" s="28"/>
      <c r="V30" s="104">
        <v>100</v>
      </c>
      <c r="W30" s="105">
        <v>46000</v>
      </c>
      <c r="X30" s="104">
        <f>V30*W30</f>
      </c>
      <c r="Y30" s="28"/>
      <c r="Z30" s="103"/>
      <c r="AA30" s="28"/>
      <c r="AB30" s="104">
        <v>50</v>
      </c>
      <c r="AC30" s="105">
        <v>46000</v>
      </c>
      <c r="AD30" s="104">
        <f>AB30*AC30</f>
      </c>
      <c r="AE30" s="28"/>
      <c r="AF30" s="103"/>
      <c r="AG30" s="28"/>
      <c r="AH30" s="104"/>
      <c r="AI30" s="105">
        <v>46000</v>
      </c>
      <c r="AJ30" s="104">
        <f>AH30*AI30</f>
      </c>
      <c r="AK30" s="28"/>
      <c r="AL30" s="103"/>
      <c r="AM30" s="28"/>
      <c r="AN30" s="104"/>
      <c r="AO30" s="105">
        <v>46000</v>
      </c>
      <c r="AP30" s="104">
        <f>AN30*AO30</f>
      </c>
      <c r="AQ30" s="106"/>
      <c r="AR30" s="107"/>
      <c r="AS30" s="106"/>
      <c r="AT30" s="106"/>
      <c r="AU30" s="107"/>
      <c r="AV30" s="106"/>
      <c r="AW30" s="106"/>
      <c r="AX30" s="107"/>
      <c r="AY30" s="106"/>
      <c r="AZ30" s="106"/>
      <c r="BA30" s="107"/>
      <c r="BB30" s="106"/>
      <c r="BC30" s="106"/>
      <c r="BD30" s="107"/>
      <c r="BE30" s="106"/>
      <c r="BF30" s="106">
        <f>100+50</f>
      </c>
      <c r="BG30" s="107">
        <v>46000</v>
      </c>
      <c r="BH30" s="106">
        <f>BF30*BG30</f>
      </c>
      <c r="BI30" s="3"/>
      <c r="BJ30" s="3"/>
      <c r="BK30" s="3"/>
    </row>
    <row x14ac:dyDescent="0.25" r="31" customHeight="1" ht="33">
      <c r="A31" s="20" t="s">
        <v>63</v>
      </c>
      <c r="B31" s="116"/>
      <c r="C31" s="92"/>
      <c r="D31" s="96"/>
      <c r="E31" s="20">
        <f>SUM(E6:E30)</f>
      </c>
      <c r="F31" s="97"/>
      <c r="G31" s="20">
        <f>SUM(G6:G30)</f>
      </c>
      <c r="H31" s="94">
        <f>SUM(H6:H30)</f>
      </c>
      <c r="I31" s="94"/>
      <c r="J31" s="94">
        <f>SUM(J6:J30)</f>
      </c>
      <c r="K31" s="96"/>
      <c r="L31" s="20">
        <f>SUM(L6:L30)</f>
      </c>
      <c r="M31" s="97"/>
      <c r="N31" s="20">
        <f>SUM(N6:N30)</f>
      </c>
      <c r="O31" s="94">
        <f>SUM(O6:O30)</f>
      </c>
      <c r="P31" s="94"/>
      <c r="Q31" s="94">
        <f>SUM(Q6:Q30)</f>
      </c>
      <c r="R31" s="96"/>
      <c r="S31" s="20">
        <f>SUM(S6:S30)</f>
      </c>
      <c r="T31" s="97"/>
      <c r="U31" s="20">
        <f>SUM(U6:U30)</f>
      </c>
      <c r="V31" s="94">
        <f>SUM(V6:V30)</f>
      </c>
      <c r="W31" s="94"/>
      <c r="X31" s="94">
        <f>SUM(X6:X30)</f>
      </c>
      <c r="Y31" s="20">
        <f>SUM(Y6:Y30)</f>
      </c>
      <c r="Z31" s="97"/>
      <c r="AA31" s="20">
        <f>SUM(AA6:AA30)</f>
      </c>
      <c r="AB31" s="94">
        <f>SUM(AB6:AB30)</f>
      </c>
      <c r="AC31" s="94"/>
      <c r="AD31" s="94">
        <f>SUM(AD6:AD30)</f>
      </c>
      <c r="AE31" s="20">
        <f>SUM(AE6:AE30)</f>
      </c>
      <c r="AF31" s="97"/>
      <c r="AG31" s="20">
        <f>SUM(AG6:AG30)</f>
      </c>
      <c r="AH31" s="94">
        <f>SUM(AH6:AH30)</f>
      </c>
      <c r="AI31" s="94"/>
      <c r="AJ31" s="94">
        <f>SUM(AJ6:AJ30)</f>
      </c>
      <c r="AK31" s="20">
        <f>SUM(AK6:AK30)</f>
      </c>
      <c r="AL31" s="97"/>
      <c r="AM31" s="20">
        <f>SUM(AM6:AM30)</f>
      </c>
      <c r="AN31" s="94">
        <f>SUM(AN6:AN30)</f>
      </c>
      <c r="AO31" s="94"/>
      <c r="AP31" s="117">
        <f>SUM(AP6:AP30)</f>
      </c>
      <c r="AQ31" s="118">
        <f>SUM(AQ6:AQ29)</f>
      </c>
      <c r="AR31" s="119"/>
      <c r="AS31" s="118">
        <f>SUM(AS6:AS29)</f>
      </c>
      <c r="AT31" s="118">
        <f>SUM(AT6:AT29)</f>
      </c>
      <c r="AU31" s="119"/>
      <c r="AV31" s="118">
        <f>SUM(AV6:AV29)</f>
      </c>
      <c r="AW31" s="118">
        <f>SUM(AW6:AW29)</f>
      </c>
      <c r="AX31" s="119"/>
      <c r="AY31" s="118">
        <f>SUM(AY6:AY29)</f>
      </c>
      <c r="AZ31" s="118">
        <f>SUM(AZ6:AZ29)</f>
      </c>
      <c r="BA31" s="119"/>
      <c r="BB31" s="118">
        <f>SUM(BB6:BB29)</f>
      </c>
      <c r="BC31" s="118">
        <f>SUM(BC6:BC29)</f>
      </c>
      <c r="BD31" s="119"/>
      <c r="BE31" s="118">
        <f>SUM(BE6:BE29)</f>
      </c>
      <c r="BF31" s="118">
        <f>SUM(BF6:BF30)</f>
      </c>
      <c r="BG31" s="119"/>
      <c r="BH31" s="118">
        <f>SUM(BH6:BH30)</f>
      </c>
      <c r="BI31" s="3"/>
      <c r="BJ31" s="3"/>
      <c r="BK31" s="3"/>
    </row>
    <row x14ac:dyDescent="0.25" r="32" customHeight="1" ht="33">
      <c r="A32" s="1"/>
      <c r="B32" s="2"/>
      <c r="C32" s="3"/>
      <c r="D32" s="73"/>
      <c r="E32" s="74"/>
      <c r="F32" s="74"/>
      <c r="G32" s="74"/>
      <c r="H32" s="1"/>
      <c r="I32" s="1"/>
      <c r="J32" s="1"/>
      <c r="K32" s="82"/>
      <c r="L32" s="74"/>
      <c r="M32" s="74"/>
      <c r="N32" s="74"/>
      <c r="O32" s="120"/>
      <c r="P32" s="120"/>
      <c r="Q32" s="120"/>
      <c r="R32" s="82"/>
      <c r="S32" s="74"/>
      <c r="T32" s="74"/>
      <c r="U32" s="74"/>
      <c r="V32" s="1"/>
      <c r="W32" s="1"/>
      <c r="X32" s="1"/>
      <c r="Y32" s="6"/>
      <c r="Z32" s="76"/>
      <c r="AA32" s="7"/>
      <c r="AB32" s="1"/>
      <c r="AC32" s="1"/>
      <c r="AD32" s="1"/>
      <c r="AE32" s="74"/>
      <c r="AF32" s="74"/>
      <c r="AG32" s="74"/>
      <c r="AH32" s="1"/>
      <c r="AI32" s="1"/>
      <c r="AJ32" s="1"/>
      <c r="AK32" s="6"/>
      <c r="AL32" s="76"/>
      <c r="AM32" s="7"/>
      <c r="AN32" s="1"/>
      <c r="AO32" s="1"/>
      <c r="AP32" s="1"/>
      <c r="AQ32" s="121"/>
      <c r="AR32" s="122"/>
      <c r="AS32" s="12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21"/>
      <c r="BG32" s="122"/>
      <c r="BH32" s="121"/>
      <c r="BI32" s="3"/>
      <c r="BJ32" s="3"/>
      <c r="BK32" s="3"/>
    </row>
    <row x14ac:dyDescent="0.25" r="33" customHeight="1" ht="33">
      <c r="A33" s="1"/>
      <c r="B33" s="6"/>
      <c r="C33" s="3"/>
      <c r="D33" s="73"/>
      <c r="E33" s="6"/>
      <c r="F33" s="76"/>
      <c r="G33" s="6"/>
      <c r="H33" s="120"/>
      <c r="I33" s="120"/>
      <c r="J33" s="120"/>
      <c r="K33" s="75"/>
      <c r="L33" s="6"/>
      <c r="M33" s="76"/>
      <c r="N33" s="6"/>
      <c r="O33" s="120"/>
      <c r="P33" s="120"/>
      <c r="Q33" s="120"/>
      <c r="R33" s="75"/>
      <c r="S33" s="6"/>
      <c r="T33" s="76"/>
      <c r="U33" s="6"/>
      <c r="V33" s="120"/>
      <c r="W33" s="120"/>
      <c r="X33" s="120"/>
      <c r="Y33" s="6"/>
      <c r="Z33" s="76"/>
      <c r="AA33" s="6"/>
      <c r="AB33" s="120"/>
      <c r="AC33" s="120"/>
      <c r="AD33" s="120"/>
      <c r="AE33" s="6"/>
      <c r="AF33" s="76"/>
      <c r="AG33" s="6"/>
      <c r="AH33" s="120"/>
      <c r="AI33" s="123"/>
      <c r="AJ33" s="120"/>
      <c r="AK33" s="6"/>
      <c r="AL33" s="76"/>
      <c r="AM33" s="6"/>
      <c r="AN33" s="120"/>
      <c r="AO33" s="120"/>
      <c r="AP33" s="120"/>
      <c r="AQ33" s="1"/>
      <c r="AR33" s="124"/>
      <c r="AS33" s="1"/>
      <c r="AT33" s="1"/>
      <c r="AU33" s="124"/>
      <c r="AV33" s="1"/>
      <c r="AW33" s="1"/>
      <c r="AX33" s="124"/>
      <c r="AY33" s="1"/>
      <c r="AZ33" s="1"/>
      <c r="BA33" s="124"/>
      <c r="BB33" s="1"/>
      <c r="BC33" s="1"/>
      <c r="BD33" s="124"/>
      <c r="BE33" s="1"/>
      <c r="BF33" s="1"/>
      <c r="BG33" s="124"/>
      <c r="BH33" s="1"/>
      <c r="BI33" s="3"/>
      <c r="BJ33" s="3"/>
      <c r="BK33" s="3"/>
    </row>
    <row x14ac:dyDescent="0.25" r="34" customHeight="1" ht="33">
      <c r="A34" s="1"/>
      <c r="B34" s="125"/>
      <c r="C34" s="3"/>
      <c r="D34" s="126"/>
      <c r="E34" s="6"/>
      <c r="F34" s="76"/>
      <c r="G34" s="6"/>
      <c r="H34" s="1"/>
      <c r="I34" s="1"/>
      <c r="J34" s="1"/>
      <c r="K34" s="6"/>
      <c r="L34" s="6"/>
      <c r="M34" s="76"/>
      <c r="N34" s="6"/>
      <c r="O34" s="1"/>
      <c r="P34" s="1"/>
      <c r="Q34" s="1"/>
      <c r="R34" s="6"/>
      <c r="S34" s="6"/>
      <c r="T34" s="76"/>
      <c r="U34" s="6"/>
      <c r="V34" s="1"/>
      <c r="W34" s="1"/>
      <c r="X34" s="1"/>
      <c r="Y34" s="6"/>
      <c r="Z34" s="76"/>
      <c r="AA34" s="6"/>
      <c r="AB34" s="1"/>
      <c r="AC34" s="1"/>
      <c r="AD34" s="1"/>
      <c r="AE34" s="6"/>
      <c r="AF34" s="76"/>
      <c r="AG34" s="6"/>
      <c r="AH34" s="1"/>
      <c r="AI34" s="1"/>
      <c r="AJ34" s="1"/>
      <c r="AK34" s="6"/>
      <c r="AL34" s="76"/>
      <c r="AM34" s="6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3"/>
      <c r="BJ34" s="3"/>
      <c r="BK34" s="7"/>
    </row>
  </sheetData>
  <mergeCells count="50">
    <mergeCell ref="A2:G2"/>
    <mergeCell ref="O2:Q2"/>
    <mergeCell ref="V2:X2"/>
    <mergeCell ref="AB2:AD2"/>
    <mergeCell ref="AH2:AJ2"/>
    <mergeCell ref="AN2:AP2"/>
    <mergeCell ref="AQ2:BH2"/>
    <mergeCell ref="A3:A5"/>
    <mergeCell ref="B3:B5"/>
    <mergeCell ref="C3:C5"/>
    <mergeCell ref="D3:G3"/>
    <mergeCell ref="H3:J3"/>
    <mergeCell ref="K3:N3"/>
    <mergeCell ref="O3:Q3"/>
    <mergeCell ref="R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D4:D5"/>
    <mergeCell ref="E4:G4"/>
    <mergeCell ref="H4:J4"/>
    <mergeCell ref="K4:K5"/>
    <mergeCell ref="L4:N4"/>
    <mergeCell ref="O4:Q4"/>
    <mergeCell ref="R4:R5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A31:C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"/>
  <sheetViews>
    <sheetView workbookViewId="0" tabSelected="1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38" width="8.719285714285713" customWidth="1" bestFit="1"/>
    <col min="5" max="5" style="35" width="14.43357142857143" customWidth="1" bestFit="1"/>
    <col min="6" max="6" style="35" width="5.719285714285714" customWidth="1" bestFit="1"/>
    <col min="7" max="7" style="35" width="13.147857142857141" customWidth="1" bestFit="1"/>
    <col min="8" max="8" style="35" width="9.43357142857143" customWidth="1" bestFit="1"/>
    <col min="9" max="9" style="35" width="15.862142857142858" customWidth="1" bestFit="1"/>
    <col min="10" max="10" style="35" width="9.290714285714287" customWidth="1" bestFit="1"/>
    <col min="11" max="11" style="35" width="12.576428571428572" customWidth="1" bestFit="1"/>
    <col min="12" max="12" style="37" width="13.576428571428572" customWidth="1" bestFit="1"/>
  </cols>
  <sheetData>
    <row x14ac:dyDescent="0.25" r="1" customHeight="1" ht="28.5">
      <c r="A1" s="1"/>
      <c r="B1" s="2"/>
      <c r="C1" s="3"/>
      <c r="D1" s="4"/>
      <c r="E1" s="5"/>
      <c r="F1" s="6"/>
      <c r="G1" s="7"/>
      <c r="H1" s="4"/>
      <c r="I1" s="5"/>
      <c r="J1" s="6"/>
      <c r="K1" s="7"/>
      <c r="L1" s="3"/>
    </row>
    <row x14ac:dyDescent="0.25" r="2" customHeight="1" ht="28.5">
      <c r="A2" s="8" t="s">
        <v>66</v>
      </c>
      <c r="B2" s="9"/>
      <c r="C2" s="10"/>
      <c r="D2" s="8"/>
      <c r="E2" s="8"/>
      <c r="F2" s="8"/>
      <c r="G2" s="8"/>
      <c r="H2" s="8"/>
      <c r="I2" s="8"/>
      <c r="J2" s="8"/>
      <c r="K2" s="8"/>
      <c r="L2" s="3"/>
    </row>
    <row x14ac:dyDescent="0.25" r="3" customHeight="1" ht="28.5">
      <c r="A3" s="70"/>
      <c r="B3" s="71"/>
      <c r="C3" s="72"/>
      <c r="D3" s="70"/>
      <c r="E3" s="70"/>
      <c r="F3" s="70"/>
      <c r="G3" s="70"/>
      <c r="H3" s="70"/>
      <c r="I3" s="14" t="s">
        <v>1</v>
      </c>
      <c r="J3" s="14"/>
      <c r="K3" s="14"/>
      <c r="L3" s="3"/>
    </row>
    <row x14ac:dyDescent="0.25" r="4" customHeight="1" ht="28.5">
      <c r="A4" s="15" t="s">
        <v>2</v>
      </c>
      <c r="B4" s="16" t="s">
        <v>3</v>
      </c>
      <c r="C4" s="17" t="s">
        <v>4</v>
      </c>
      <c r="D4" s="18" t="s">
        <v>67</v>
      </c>
      <c r="E4" s="19"/>
      <c r="F4" s="20" t="s">
        <v>68</v>
      </c>
      <c r="G4" s="21"/>
      <c r="H4" s="18" t="s">
        <v>68</v>
      </c>
      <c r="I4" s="19"/>
      <c r="J4" s="20" t="s">
        <v>68</v>
      </c>
      <c r="K4" s="21"/>
      <c r="L4" s="3"/>
    </row>
    <row x14ac:dyDescent="0.25" r="5" customHeight="1" ht="28.5">
      <c r="A5" s="18"/>
      <c r="B5" s="18"/>
      <c r="C5" s="22"/>
      <c r="D5" s="18" t="s">
        <v>7</v>
      </c>
      <c r="E5" s="18"/>
      <c r="F5" s="23" t="s">
        <v>8</v>
      </c>
      <c r="G5" s="24"/>
      <c r="H5" s="18" t="s">
        <v>9</v>
      </c>
      <c r="I5" s="18"/>
      <c r="J5" s="20" t="s">
        <v>10</v>
      </c>
      <c r="K5" s="20"/>
      <c r="L5" s="3"/>
    </row>
    <row x14ac:dyDescent="0.25" r="6" customHeight="1" ht="28.5">
      <c r="A6" s="18"/>
      <c r="B6" s="18"/>
      <c r="C6" s="22"/>
      <c r="D6" s="18" t="s">
        <v>11</v>
      </c>
      <c r="E6" s="18" t="s">
        <v>12</v>
      </c>
      <c r="F6" s="20" t="s">
        <v>11</v>
      </c>
      <c r="G6" s="20" t="s">
        <v>12</v>
      </c>
      <c r="H6" s="18" t="s">
        <v>11</v>
      </c>
      <c r="I6" s="18" t="s">
        <v>12</v>
      </c>
      <c r="J6" s="20" t="s">
        <v>11</v>
      </c>
      <c r="K6" s="20" t="s">
        <v>12</v>
      </c>
      <c r="L6" s="3"/>
    </row>
    <row x14ac:dyDescent="0.25" r="7" customHeight="1" ht="28.5">
      <c r="A7" s="25">
        <v>1</v>
      </c>
      <c r="B7" s="26" t="s">
        <v>13</v>
      </c>
      <c r="C7" s="27" t="s">
        <v>14</v>
      </c>
      <c r="D7" s="28">
        <v>1815</v>
      </c>
      <c r="E7" s="28">
        <v>60547425</v>
      </c>
      <c r="F7" s="29">
        <v>2875</v>
      </c>
      <c r="G7" s="29">
        <v>96580375</v>
      </c>
      <c r="H7" s="28">
        <v>6949</v>
      </c>
      <c r="I7" s="28">
        <v>234224555</v>
      </c>
      <c r="J7" s="29">
        <v>2256</v>
      </c>
      <c r="K7" s="29">
        <v>75596520</v>
      </c>
      <c r="L7" s="5"/>
    </row>
    <row x14ac:dyDescent="0.25" r="8" customHeight="1" ht="28.5">
      <c r="A8" s="25">
        <v>2</v>
      </c>
      <c r="B8" s="26" t="s">
        <v>15</v>
      </c>
      <c r="C8" s="27" t="s">
        <v>16</v>
      </c>
      <c r="D8" s="28">
        <v>1817</v>
      </c>
      <c r="E8" s="28">
        <v>67486580</v>
      </c>
      <c r="F8" s="29">
        <v>2858</v>
      </c>
      <c r="G8" s="29">
        <v>106239170</v>
      </c>
      <c r="H8" s="28">
        <v>6745</v>
      </c>
      <c r="I8" s="28">
        <v>252047550</v>
      </c>
      <c r="J8" s="29">
        <v>2221</v>
      </c>
      <c r="K8" s="29">
        <v>82235710</v>
      </c>
      <c r="L8" s="5"/>
    </row>
    <row x14ac:dyDescent="0.25" r="9" customHeight="1" ht="28.5">
      <c r="A9" s="25">
        <v>3</v>
      </c>
      <c r="B9" s="26" t="s">
        <v>17</v>
      </c>
      <c r="C9" s="27" t="s">
        <v>18</v>
      </c>
      <c r="D9" s="28">
        <v>300</v>
      </c>
      <c r="E9" s="28">
        <v>11609000</v>
      </c>
      <c r="F9" s="29">
        <v>200</v>
      </c>
      <c r="G9" s="29">
        <v>7885000</v>
      </c>
      <c r="H9" s="28">
        <v>1280</v>
      </c>
      <c r="I9" s="28">
        <v>49438000</v>
      </c>
      <c r="J9" s="29">
        <v>100</v>
      </c>
      <c r="K9" s="29">
        <v>3990000</v>
      </c>
      <c r="L9" s="5"/>
    </row>
    <row x14ac:dyDescent="0.25" r="10" customHeight="1" ht="28.5">
      <c r="A10" s="25">
        <v>4</v>
      </c>
      <c r="B10" s="26" t="s">
        <v>19</v>
      </c>
      <c r="C10" s="27" t="s">
        <v>20</v>
      </c>
      <c r="D10" s="28">
        <v>1901</v>
      </c>
      <c r="E10" s="28">
        <v>77064800</v>
      </c>
      <c r="F10" s="29">
        <v>2367</v>
      </c>
      <c r="G10" s="29">
        <v>95579600</v>
      </c>
      <c r="H10" s="28">
        <v>5228</v>
      </c>
      <c r="I10" s="28">
        <v>211282000</v>
      </c>
      <c r="J10" s="29">
        <v>2245</v>
      </c>
      <c r="K10" s="29">
        <v>91350000</v>
      </c>
      <c r="L10" s="5"/>
    </row>
    <row x14ac:dyDescent="0.25" r="11" customHeight="1" ht="28.5">
      <c r="A11" s="25">
        <v>5</v>
      </c>
      <c r="B11" s="26" t="s">
        <v>21</v>
      </c>
      <c r="C11" s="27" t="s">
        <v>22</v>
      </c>
      <c r="D11" s="28">
        <v>507</v>
      </c>
      <c r="E11" s="28">
        <v>25777290</v>
      </c>
      <c r="F11" s="29">
        <v>701</v>
      </c>
      <c r="G11" s="29">
        <v>35915970</v>
      </c>
      <c r="H11" s="28">
        <v>1800</v>
      </c>
      <c r="I11" s="28">
        <v>92646850</v>
      </c>
      <c r="J11" s="29">
        <v>620</v>
      </c>
      <c r="K11" s="29">
        <v>31650400</v>
      </c>
      <c r="L11" s="5"/>
    </row>
    <row x14ac:dyDescent="0.25" r="12" customHeight="1" ht="28.5">
      <c r="A12" s="25">
        <v>6</v>
      </c>
      <c r="B12" s="26" t="s">
        <v>23</v>
      </c>
      <c r="C12" s="27" t="s">
        <v>24</v>
      </c>
      <c r="D12" s="28">
        <v>720</v>
      </c>
      <c r="E12" s="28">
        <v>37419200</v>
      </c>
      <c r="F12" s="29">
        <v>869</v>
      </c>
      <c r="G12" s="29">
        <v>45153160</v>
      </c>
      <c r="H12" s="28">
        <v>2490</v>
      </c>
      <c r="I12" s="28">
        <v>129685400</v>
      </c>
      <c r="J12" s="29">
        <v>716</v>
      </c>
      <c r="K12" s="29">
        <v>37389040</v>
      </c>
      <c r="L12" s="5"/>
    </row>
    <row x14ac:dyDescent="0.25" r="13" customHeight="1" ht="28.5">
      <c r="A13" s="28">
        <v>7</v>
      </c>
      <c r="B13" s="30" t="s">
        <v>25</v>
      </c>
      <c r="C13" s="31" t="s">
        <v>26</v>
      </c>
      <c r="D13" s="28">
        <v>400</v>
      </c>
      <c r="E13" s="28">
        <v>21384000</v>
      </c>
      <c r="F13" s="29">
        <v>745</v>
      </c>
      <c r="G13" s="29">
        <v>40637700</v>
      </c>
      <c r="H13" s="28">
        <v>1906</v>
      </c>
      <c r="I13" s="28">
        <v>103390560</v>
      </c>
      <c r="J13" s="29">
        <v>615</v>
      </c>
      <c r="K13" s="29">
        <v>33293700</v>
      </c>
      <c r="L13" s="5"/>
    </row>
    <row x14ac:dyDescent="0.25" r="14" customHeight="1" ht="28.5">
      <c r="A14" s="25">
        <v>8</v>
      </c>
      <c r="B14" s="26" t="s">
        <v>27</v>
      </c>
      <c r="C14" s="27" t="s">
        <v>28</v>
      </c>
      <c r="D14" s="28">
        <v>1400</v>
      </c>
      <c r="E14" s="28">
        <v>59451000</v>
      </c>
      <c r="F14" s="29">
        <v>2746</v>
      </c>
      <c r="G14" s="29">
        <v>115473540</v>
      </c>
      <c r="H14" s="28">
        <v>4365</v>
      </c>
      <c r="I14" s="28">
        <v>184768500</v>
      </c>
      <c r="J14" s="29">
        <v>3363</v>
      </c>
      <c r="K14" s="29">
        <v>141569820</v>
      </c>
      <c r="L14" s="5"/>
    </row>
    <row x14ac:dyDescent="0.25" r="15" customHeight="1" ht="28.5">
      <c r="A15" s="28">
        <v>9</v>
      </c>
      <c r="B15" s="30" t="s">
        <v>29</v>
      </c>
      <c r="C15" s="31" t="s">
        <v>30</v>
      </c>
      <c r="D15" s="28"/>
      <c r="E15" s="28"/>
      <c r="F15" s="29"/>
      <c r="G15" s="29"/>
      <c r="H15" s="28"/>
      <c r="I15" s="28"/>
      <c r="J15" s="29"/>
      <c r="K15" s="29"/>
      <c r="L15" s="5"/>
    </row>
    <row x14ac:dyDescent="0.25" r="16" customHeight="1" ht="28.5">
      <c r="A16" s="25">
        <v>10</v>
      </c>
      <c r="B16" s="26" t="s">
        <v>31</v>
      </c>
      <c r="C16" s="27" t="s">
        <v>32</v>
      </c>
      <c r="D16" s="28">
        <v>578</v>
      </c>
      <c r="E16" s="28">
        <v>33678280</v>
      </c>
      <c r="F16" s="29">
        <v>789</v>
      </c>
      <c r="G16" s="29">
        <v>45792740</v>
      </c>
      <c r="H16" s="28">
        <v>1895</v>
      </c>
      <c r="I16" s="28">
        <v>111041000</v>
      </c>
      <c r="J16" s="29">
        <v>634</v>
      </c>
      <c r="K16" s="29">
        <v>37394340</v>
      </c>
      <c r="L16" s="5"/>
    </row>
    <row x14ac:dyDescent="0.25" r="17" customHeight="1" ht="28.5">
      <c r="A17" s="28">
        <v>11</v>
      </c>
      <c r="B17" s="30" t="s">
        <v>33</v>
      </c>
      <c r="C17" s="31" t="s">
        <v>34</v>
      </c>
      <c r="D17" s="28">
        <v>145</v>
      </c>
      <c r="E17" s="28">
        <v>6352950</v>
      </c>
      <c r="F17" s="29">
        <v>434</v>
      </c>
      <c r="G17" s="29">
        <v>19602840</v>
      </c>
      <c r="H17" s="28">
        <v>1639</v>
      </c>
      <c r="I17" s="28">
        <v>71052740</v>
      </c>
      <c r="J17" s="29">
        <v>654</v>
      </c>
      <c r="K17" s="29">
        <v>28234340</v>
      </c>
      <c r="L17" s="5"/>
    </row>
    <row x14ac:dyDescent="0.25" r="18" customHeight="1" ht="28.5">
      <c r="A18" s="25">
        <v>12</v>
      </c>
      <c r="B18" s="26" t="s">
        <v>35</v>
      </c>
      <c r="C18" s="27" t="s">
        <v>36</v>
      </c>
      <c r="D18" s="28">
        <v>1014</v>
      </c>
      <c r="E18" s="28">
        <v>64684940</v>
      </c>
      <c r="F18" s="29">
        <v>1654</v>
      </c>
      <c r="G18" s="29">
        <v>103963470</v>
      </c>
      <c r="H18" s="28">
        <v>3863</v>
      </c>
      <c r="I18" s="28">
        <v>243693450</v>
      </c>
      <c r="J18" s="29">
        <v>1710</v>
      </c>
      <c r="K18" s="29">
        <v>108895700</v>
      </c>
      <c r="L18" s="5"/>
    </row>
    <row x14ac:dyDescent="0.25" r="19" customHeight="1" ht="28.5">
      <c r="A19" s="25">
        <v>13</v>
      </c>
      <c r="B19" s="26" t="s">
        <v>37</v>
      </c>
      <c r="C19" s="27" t="s">
        <v>38</v>
      </c>
      <c r="D19" s="28">
        <v>100</v>
      </c>
      <c r="E19" s="28">
        <v>4947000</v>
      </c>
      <c r="F19" s="29"/>
      <c r="G19" s="29"/>
      <c r="H19" s="28">
        <v>1096</v>
      </c>
      <c r="I19" s="28">
        <v>55909470</v>
      </c>
      <c r="J19" s="29">
        <v>380</v>
      </c>
      <c r="K19" s="29">
        <v>19104600</v>
      </c>
      <c r="L19" s="5"/>
    </row>
    <row x14ac:dyDescent="0.25" r="20" customHeight="1" ht="28.5">
      <c r="A20" s="25">
        <v>14</v>
      </c>
      <c r="B20" s="26" t="s">
        <v>39</v>
      </c>
      <c r="C20" s="27" t="s">
        <v>40</v>
      </c>
      <c r="D20" s="28">
        <v>900</v>
      </c>
      <c r="E20" s="28">
        <v>54545100</v>
      </c>
      <c r="F20" s="29">
        <v>1472</v>
      </c>
      <c r="G20" s="29">
        <v>89625645</v>
      </c>
      <c r="H20" s="28">
        <v>3900</v>
      </c>
      <c r="I20" s="28">
        <v>238387550</v>
      </c>
      <c r="J20" s="29">
        <v>1423</v>
      </c>
      <c r="K20" s="29">
        <v>86231755</v>
      </c>
      <c r="L20" s="5"/>
    </row>
    <row x14ac:dyDescent="0.25" r="21" customHeight="1" ht="28.5">
      <c r="A21" s="28">
        <v>15</v>
      </c>
      <c r="B21" s="30" t="s">
        <v>41</v>
      </c>
      <c r="C21" s="31" t="s">
        <v>42</v>
      </c>
      <c r="D21" s="28">
        <v>160</v>
      </c>
      <c r="E21" s="28">
        <v>12937500</v>
      </c>
      <c r="F21" s="29">
        <v>802</v>
      </c>
      <c r="G21" s="29">
        <v>66763800</v>
      </c>
      <c r="H21" s="28">
        <v>1566</v>
      </c>
      <c r="I21" s="28">
        <v>131212650</v>
      </c>
      <c r="J21" s="29">
        <v>770</v>
      </c>
      <c r="K21" s="29">
        <v>64555500</v>
      </c>
      <c r="L21" s="5"/>
    </row>
    <row x14ac:dyDescent="0.25" r="22" customHeight="1" ht="28.5">
      <c r="A22" s="28">
        <v>16</v>
      </c>
      <c r="B22" s="30" t="s">
        <v>43</v>
      </c>
      <c r="C22" s="31" t="s">
        <v>44</v>
      </c>
      <c r="D22" s="28">
        <v>100</v>
      </c>
      <c r="E22" s="28">
        <v>8536000</v>
      </c>
      <c r="F22" s="29">
        <v>70</v>
      </c>
      <c r="G22" s="29">
        <v>6107200</v>
      </c>
      <c r="H22" s="28">
        <v>310</v>
      </c>
      <c r="I22" s="28">
        <v>27174400</v>
      </c>
      <c r="J22" s="29">
        <v>80</v>
      </c>
      <c r="K22" s="29">
        <v>6960800</v>
      </c>
      <c r="L22" s="5"/>
    </row>
    <row x14ac:dyDescent="0.25" r="23" customHeight="1" ht="28.5">
      <c r="A23" s="28">
        <v>17</v>
      </c>
      <c r="B23" s="30" t="s">
        <v>45</v>
      </c>
      <c r="C23" s="31" t="s">
        <v>46</v>
      </c>
      <c r="D23" s="28">
        <v>176</v>
      </c>
      <c r="E23" s="28">
        <v>15832800</v>
      </c>
      <c r="F23" s="29">
        <v>213</v>
      </c>
      <c r="G23" s="29">
        <v>19089900</v>
      </c>
      <c r="H23" s="28">
        <v>674</v>
      </c>
      <c r="I23" s="28">
        <v>61207200</v>
      </c>
      <c r="J23" s="29">
        <v>130</v>
      </c>
      <c r="K23" s="29">
        <v>11484000</v>
      </c>
      <c r="L23" s="5"/>
    </row>
    <row x14ac:dyDescent="0.25" r="24" customHeight="1" ht="28.5">
      <c r="A24" s="28">
        <v>18</v>
      </c>
      <c r="B24" s="30" t="s">
        <v>47</v>
      </c>
      <c r="C24" s="31" t="s">
        <v>48</v>
      </c>
      <c r="D24" s="28">
        <v>135</v>
      </c>
      <c r="E24" s="28">
        <v>5424050</v>
      </c>
      <c r="F24" s="29">
        <v>114</v>
      </c>
      <c r="G24" s="29">
        <v>4426970</v>
      </c>
      <c r="H24" s="28">
        <v>367</v>
      </c>
      <c r="I24" s="28">
        <v>14384150</v>
      </c>
      <c r="J24" s="29"/>
      <c r="K24" s="29"/>
      <c r="L24" s="5"/>
    </row>
    <row x14ac:dyDescent="0.25" r="25" customHeight="1" ht="28.5">
      <c r="A25" s="25">
        <v>19</v>
      </c>
      <c r="B25" s="26" t="s">
        <v>49</v>
      </c>
      <c r="C25" s="27" t="s">
        <v>50</v>
      </c>
      <c r="D25" s="28"/>
      <c r="E25" s="28"/>
      <c r="F25" s="29">
        <v>30</v>
      </c>
      <c r="G25" s="29">
        <v>2790000</v>
      </c>
      <c r="H25" s="28">
        <v>180</v>
      </c>
      <c r="I25" s="28">
        <v>16501500</v>
      </c>
      <c r="J25" s="29">
        <v>50</v>
      </c>
      <c r="K25" s="29">
        <v>4365000</v>
      </c>
      <c r="L25" s="5"/>
    </row>
    <row x14ac:dyDescent="0.25" r="26" customHeight="1" ht="28.5">
      <c r="A26" s="25">
        <v>20</v>
      </c>
      <c r="B26" s="26" t="s">
        <v>51</v>
      </c>
      <c r="C26" s="27" t="s">
        <v>52</v>
      </c>
      <c r="D26" s="28"/>
      <c r="E26" s="28"/>
      <c r="F26" s="29">
        <v>20</v>
      </c>
      <c r="G26" s="29">
        <v>1746000</v>
      </c>
      <c r="H26" s="28">
        <v>270</v>
      </c>
      <c r="I26" s="28">
        <v>24156000</v>
      </c>
      <c r="J26" s="29">
        <v>50</v>
      </c>
      <c r="K26" s="29">
        <v>4365000</v>
      </c>
      <c r="L26" s="5"/>
    </row>
    <row x14ac:dyDescent="0.25" r="27" customHeight="1" ht="28.5">
      <c r="A27" s="28">
        <v>21</v>
      </c>
      <c r="B27" s="30" t="s">
        <v>53</v>
      </c>
      <c r="C27" s="31" t="s">
        <v>54</v>
      </c>
      <c r="D27" s="28"/>
      <c r="E27" s="28"/>
      <c r="F27" s="29"/>
      <c r="G27" s="29"/>
      <c r="H27" s="28"/>
      <c r="I27" s="28"/>
      <c r="J27" s="29"/>
      <c r="K27" s="29"/>
      <c r="L27" s="5"/>
    </row>
    <row x14ac:dyDescent="0.25" r="28" customHeight="1" ht="28.5">
      <c r="A28" s="25">
        <v>22</v>
      </c>
      <c r="B28" s="26" t="s">
        <v>55</v>
      </c>
      <c r="C28" s="27" t="s">
        <v>56</v>
      </c>
      <c r="D28" s="28"/>
      <c r="E28" s="28"/>
      <c r="F28" s="29">
        <v>50</v>
      </c>
      <c r="G28" s="29">
        <v>3563000</v>
      </c>
      <c r="H28" s="28">
        <v>518</v>
      </c>
      <c r="I28" s="28">
        <v>36642200</v>
      </c>
      <c r="J28" s="29">
        <v>80</v>
      </c>
      <c r="K28" s="29">
        <v>5705000</v>
      </c>
      <c r="L28" s="5"/>
    </row>
    <row x14ac:dyDescent="0.25" r="29" customHeight="1" ht="28.5">
      <c r="A29" s="32">
        <v>23</v>
      </c>
      <c r="B29" s="30" t="s">
        <v>57</v>
      </c>
      <c r="C29" s="31" t="s">
        <v>58</v>
      </c>
      <c r="D29" s="28"/>
      <c r="E29" s="28"/>
      <c r="F29" s="29"/>
      <c r="G29" s="29"/>
      <c r="H29" s="28"/>
      <c r="I29" s="28"/>
      <c r="J29" s="29"/>
      <c r="K29" s="29"/>
      <c r="L29" s="5"/>
    </row>
    <row x14ac:dyDescent="0.25" r="30" customHeight="1" ht="28.5">
      <c r="A30" s="28">
        <v>24</v>
      </c>
      <c r="B30" s="30" t="s">
        <v>59</v>
      </c>
      <c r="C30" s="33" t="s">
        <v>60</v>
      </c>
      <c r="D30" s="28">
        <v>170</v>
      </c>
      <c r="E30" s="28">
        <v>12276000</v>
      </c>
      <c r="F30" s="29">
        <v>454</v>
      </c>
      <c r="G30" s="29">
        <v>32698800</v>
      </c>
      <c r="H30" s="28">
        <v>1335</v>
      </c>
      <c r="I30" s="28">
        <v>97719120</v>
      </c>
      <c r="J30" s="29">
        <v>254</v>
      </c>
      <c r="K30" s="29">
        <v>17739360</v>
      </c>
      <c r="L30" s="5"/>
    </row>
    <row x14ac:dyDescent="0.25" r="31" customHeight="1" ht="28.5">
      <c r="A31" s="28">
        <v>25</v>
      </c>
      <c r="B31" s="30" t="s">
        <v>61</v>
      </c>
      <c r="C31" s="33" t="s">
        <v>62</v>
      </c>
      <c r="D31" s="28"/>
      <c r="E31" s="28"/>
      <c r="F31" s="29"/>
      <c r="G31" s="29"/>
      <c r="H31" s="28"/>
      <c r="I31" s="28"/>
      <c r="J31" s="29"/>
      <c r="K31" s="29"/>
      <c r="L31" s="5"/>
    </row>
    <row x14ac:dyDescent="0.25" r="32" customHeight="1" ht="28.5">
      <c r="A32" s="18" t="s">
        <v>63</v>
      </c>
      <c r="B32" s="34"/>
      <c r="C32" s="22"/>
      <c r="D32" s="18">
        <f>SUM(D7:D31)</f>
      </c>
      <c r="E32" s="18">
        <f>SUM(E7:E31)</f>
      </c>
      <c r="F32" s="29">
        <f>SUM(F7:F31)</f>
      </c>
      <c r="G32" s="29">
        <f>SUM(G7:G31)</f>
      </c>
      <c r="H32" s="18">
        <f>SUM(H7:H31)</f>
      </c>
      <c r="I32" s="18">
        <f>SUM(I7:I31)</f>
      </c>
      <c r="J32" s="20">
        <f>SUM(J7:J31)</f>
      </c>
      <c r="K32" s="20">
        <f>SUM(K7:K31)</f>
      </c>
      <c r="L32" s="5"/>
    </row>
    <row x14ac:dyDescent="0.25" r="33" customHeight="1" ht="28.5">
      <c r="A33" s="1"/>
      <c r="B33" s="2"/>
      <c r="C33" s="3"/>
      <c r="D33" s="4"/>
      <c r="E33" s="5"/>
      <c r="F33" s="6"/>
      <c r="G33" s="7"/>
      <c r="H33" s="4"/>
      <c r="I33" s="5"/>
      <c r="J33" s="6"/>
      <c r="K33" s="7"/>
      <c r="L33" s="5"/>
    </row>
    <row x14ac:dyDescent="0.25" r="34" customHeight="1" ht="28.5">
      <c r="A34" s="1"/>
      <c r="B34" s="2"/>
      <c r="C34" s="3"/>
      <c r="D34" s="4">
        <v>12338</v>
      </c>
      <c r="E34" s="5">
        <v>579953915</v>
      </c>
      <c r="F34" s="6">
        <v>19463</v>
      </c>
      <c r="G34" s="7">
        <v>939634880</v>
      </c>
      <c r="H34" s="4">
        <v>48376</v>
      </c>
      <c r="I34" s="5">
        <v>2386564845</v>
      </c>
      <c r="J34" s="6">
        <v>18351</v>
      </c>
      <c r="K34" s="6">
        <v>892110585</v>
      </c>
      <c r="L34" s="3"/>
    </row>
    <row x14ac:dyDescent="0.25" r="35" customHeight="1" ht="28.5">
      <c r="A35" s="1"/>
      <c r="B35" s="2"/>
      <c r="C35" s="3"/>
      <c r="D35" s="4"/>
      <c r="E35" s="5"/>
      <c r="F35" s="6"/>
      <c r="G35" s="6"/>
      <c r="H35" s="4"/>
      <c r="I35" s="4"/>
      <c r="J35" s="6"/>
      <c r="K35" s="6"/>
      <c r="L35" s="3"/>
    </row>
    <row x14ac:dyDescent="0.25" r="36" customHeight="1" ht="28.5">
      <c r="A36" s="1"/>
      <c r="B36" s="12"/>
      <c r="C36" s="3"/>
      <c r="D36" s="4">
        <f>D32-D34</f>
      </c>
      <c r="E36" s="4">
        <f>E32-E34</f>
      </c>
      <c r="F36" s="4">
        <f>F32-F34</f>
      </c>
      <c r="G36" s="4">
        <f>G32-G34</f>
      </c>
      <c r="H36" s="4">
        <f>H32-H34</f>
      </c>
      <c r="I36" s="4">
        <f>I32-I34</f>
      </c>
      <c r="J36" s="4">
        <f>J32-J34</f>
      </c>
      <c r="K36" s="4">
        <f>K32-K34</f>
      </c>
      <c r="L36" s="3"/>
    </row>
    <row x14ac:dyDescent="0.25" r="37" customHeight="1" ht="28.5">
      <c r="A37" s="1"/>
      <c r="B37" s="12"/>
      <c r="C37" s="3"/>
      <c r="D37" s="4"/>
      <c r="E37" s="5"/>
      <c r="F37" s="1"/>
      <c r="G37" s="1"/>
      <c r="H37" s="1"/>
      <c r="I37" s="1"/>
      <c r="J37" s="1"/>
      <c r="K37" s="1"/>
      <c r="L37" s="3"/>
    </row>
  </sheetData>
  <mergeCells count="14">
    <mergeCell ref="A2:K2"/>
    <mergeCell ref="I3:K3"/>
    <mergeCell ref="A4:A6"/>
    <mergeCell ref="B4:B6"/>
    <mergeCell ref="C4:C6"/>
    <mergeCell ref="D4:E4"/>
    <mergeCell ref="F4:G4"/>
    <mergeCell ref="H4:I4"/>
    <mergeCell ref="J4:K4"/>
    <mergeCell ref="D5:E5"/>
    <mergeCell ref="F5:G5"/>
    <mergeCell ref="H5:I5"/>
    <mergeCell ref="J5:K5"/>
    <mergeCell ref="A32:C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3"/>
  <sheetViews>
    <sheetView workbookViewId="0"/>
  </sheetViews>
  <sheetFormatPr defaultRowHeight="15" x14ac:dyDescent="0.25"/>
  <cols>
    <col min="1" max="1" style="35" width="6.719285714285714" customWidth="1" bestFit="1"/>
    <col min="2" max="2" style="36" width="8.576428571428572" customWidth="1" bestFit="1"/>
    <col min="3" max="3" style="37" width="26.005" customWidth="1" bestFit="1"/>
    <col min="4" max="4" style="35" width="11.43357142857143" customWidth="1" bestFit="1"/>
    <col min="5" max="5" style="35" width="17.576428571428572" customWidth="1" bestFit="1"/>
    <col min="6" max="6" style="35" width="11.43357142857143" customWidth="1" bestFit="1"/>
    <col min="7" max="7" style="35" width="17.576428571428572" customWidth="1" bestFit="1"/>
    <col min="8" max="8" style="35" width="11.43357142857143" customWidth="1" bestFit="1"/>
    <col min="9" max="9" style="35" width="17.576428571428572" customWidth="1" bestFit="1"/>
    <col min="10" max="10" style="35" width="11.43357142857143" customWidth="1" bestFit="1"/>
    <col min="11" max="11" style="35" width="17.576428571428572" customWidth="1" bestFit="1"/>
  </cols>
  <sheetData>
    <row x14ac:dyDescent="0.25" r="1" customHeight="1" ht="18.75">
      <c r="A1" s="1"/>
      <c r="B1" s="2"/>
      <c r="C1" s="3"/>
      <c r="D1" s="1"/>
      <c r="E1" s="1"/>
      <c r="F1" s="1"/>
      <c r="G1" s="1"/>
      <c r="H1" s="1"/>
      <c r="I1" s="1"/>
      <c r="J1" s="1"/>
      <c r="K1" s="1"/>
    </row>
    <row x14ac:dyDescent="0.25" r="2" customHeight="1" ht="24.75">
      <c r="A2" s="39" t="s">
        <v>64</v>
      </c>
      <c r="B2" s="40"/>
      <c r="C2" s="41"/>
      <c r="D2" s="39"/>
      <c r="E2" s="39"/>
      <c r="F2" s="39"/>
      <c r="G2" s="39"/>
      <c r="H2" s="39"/>
      <c r="I2" s="39"/>
      <c r="J2" s="39"/>
      <c r="K2" s="39"/>
    </row>
    <row x14ac:dyDescent="0.25" r="3" customHeight="1" ht="24.75">
      <c r="A3" s="39"/>
      <c r="B3" s="40"/>
      <c r="C3" s="41"/>
      <c r="D3" s="42"/>
      <c r="E3" s="42"/>
      <c r="F3" s="42"/>
      <c r="G3" s="42"/>
      <c r="H3" s="42"/>
      <c r="I3" s="42"/>
      <c r="J3" s="43" t="s">
        <v>1</v>
      </c>
      <c r="K3" s="43"/>
    </row>
    <row x14ac:dyDescent="0.25" r="4" customHeight="1" ht="24.75">
      <c r="A4" s="44" t="s">
        <v>2</v>
      </c>
      <c r="B4" s="45" t="s">
        <v>3</v>
      </c>
      <c r="C4" s="46" t="s">
        <v>4</v>
      </c>
      <c r="D4" s="47" t="s">
        <v>65</v>
      </c>
      <c r="E4" s="48"/>
      <c r="F4" s="47" t="s">
        <v>65</v>
      </c>
      <c r="G4" s="48"/>
      <c r="H4" s="47" t="s">
        <v>65</v>
      </c>
      <c r="I4" s="48"/>
      <c r="J4" s="47" t="s">
        <v>65</v>
      </c>
      <c r="K4" s="48"/>
    </row>
    <row x14ac:dyDescent="0.25" r="5" customHeight="1" ht="24.75">
      <c r="A5" s="49"/>
      <c r="B5" s="50"/>
      <c r="C5" s="51"/>
      <c r="D5" s="52" t="s">
        <v>7</v>
      </c>
      <c r="E5" s="53"/>
      <c r="F5" s="52" t="s">
        <v>8</v>
      </c>
      <c r="G5" s="53"/>
      <c r="H5" s="52" t="s">
        <v>9</v>
      </c>
      <c r="I5" s="53"/>
      <c r="J5" s="52" t="s">
        <v>10</v>
      </c>
      <c r="K5" s="53"/>
    </row>
    <row x14ac:dyDescent="0.25" r="6" customHeight="1" ht="24.75">
      <c r="A6" s="54"/>
      <c r="B6" s="55"/>
      <c r="C6" s="56"/>
      <c r="D6" s="47" t="s">
        <v>11</v>
      </c>
      <c r="E6" s="47" t="s">
        <v>12</v>
      </c>
      <c r="F6" s="47" t="s">
        <v>11</v>
      </c>
      <c r="G6" s="47" t="s">
        <v>12</v>
      </c>
      <c r="H6" s="47" t="s">
        <v>11</v>
      </c>
      <c r="I6" s="47" t="s">
        <v>12</v>
      </c>
      <c r="J6" s="47" t="s">
        <v>11</v>
      </c>
      <c r="K6" s="47" t="s">
        <v>12</v>
      </c>
    </row>
    <row x14ac:dyDescent="0.25" r="7" customHeight="1" ht="24.75">
      <c r="A7" s="57">
        <v>1</v>
      </c>
      <c r="B7" s="58" t="s">
        <v>13</v>
      </c>
      <c r="C7" s="59" t="s">
        <v>14</v>
      </c>
      <c r="D7" s="57">
        <v>1477</v>
      </c>
      <c r="E7" s="57">
        <v>61508000</v>
      </c>
      <c r="F7" s="57">
        <v>2270</v>
      </c>
      <c r="G7" s="57">
        <v>94450000</v>
      </c>
      <c r="H7" s="57">
        <v>6007</v>
      </c>
      <c r="I7" s="57">
        <v>248086400</v>
      </c>
      <c r="J7" s="57">
        <v>1710</v>
      </c>
      <c r="K7" s="57">
        <v>70198000</v>
      </c>
    </row>
    <row x14ac:dyDescent="0.25" r="8" customHeight="1" ht="24.75">
      <c r="A8" s="57">
        <v>2</v>
      </c>
      <c r="B8" s="58" t="s">
        <v>15</v>
      </c>
      <c r="C8" s="59" t="s">
        <v>16</v>
      </c>
      <c r="D8" s="57">
        <v>1995</v>
      </c>
      <c r="E8" s="57">
        <v>90369500</v>
      </c>
      <c r="F8" s="57">
        <v>2425</v>
      </c>
      <c r="G8" s="57">
        <v>109715500</v>
      </c>
      <c r="H8" s="57">
        <v>7014</v>
      </c>
      <c r="I8" s="57">
        <v>317182000</v>
      </c>
      <c r="J8" s="57">
        <v>1810</v>
      </c>
      <c r="K8" s="57">
        <v>80990000</v>
      </c>
    </row>
    <row x14ac:dyDescent="0.25" r="9" customHeight="1" ht="24.75">
      <c r="A9" s="57">
        <v>3</v>
      </c>
      <c r="B9" s="58" t="s">
        <v>17</v>
      </c>
      <c r="C9" s="59" t="s">
        <v>18</v>
      </c>
      <c r="D9" s="57">
        <v>1050</v>
      </c>
      <c r="E9" s="57">
        <v>50950000</v>
      </c>
      <c r="F9" s="57">
        <v>1350</v>
      </c>
      <c r="G9" s="57">
        <v>65215000</v>
      </c>
      <c r="H9" s="57">
        <v>1848</v>
      </c>
      <c r="I9" s="57">
        <v>86105000</v>
      </c>
      <c r="J9" s="57">
        <v>400</v>
      </c>
      <c r="K9" s="57">
        <v>18440000</v>
      </c>
    </row>
    <row x14ac:dyDescent="0.25" r="10" customHeight="1" ht="24.75">
      <c r="A10" s="57">
        <v>4</v>
      </c>
      <c r="B10" s="58" t="s">
        <v>19</v>
      </c>
      <c r="C10" s="59" t="s">
        <v>20</v>
      </c>
      <c r="D10" s="57">
        <v>1742</v>
      </c>
      <c r="E10" s="57">
        <v>88951500</v>
      </c>
      <c r="F10" s="57">
        <v>1895</v>
      </c>
      <c r="G10" s="57">
        <v>95015000</v>
      </c>
      <c r="H10" s="57">
        <v>7262</v>
      </c>
      <c r="I10" s="57">
        <v>364179000</v>
      </c>
      <c r="J10" s="57">
        <v>1580</v>
      </c>
      <c r="K10" s="57">
        <v>78135000</v>
      </c>
    </row>
    <row x14ac:dyDescent="0.25" r="11" customHeight="1" ht="24.75">
      <c r="A11" s="57">
        <v>5</v>
      </c>
      <c r="B11" s="58" t="s">
        <v>21</v>
      </c>
      <c r="C11" s="59" t="s">
        <v>22</v>
      </c>
      <c r="D11" s="57">
        <v>490</v>
      </c>
      <c r="E11" s="57">
        <v>30140000</v>
      </c>
      <c r="F11" s="57">
        <v>425</v>
      </c>
      <c r="G11" s="57">
        <v>26125000</v>
      </c>
      <c r="H11" s="57">
        <v>2030</v>
      </c>
      <c r="I11" s="57">
        <v>124768000</v>
      </c>
      <c r="J11" s="57">
        <v>260</v>
      </c>
      <c r="K11" s="57">
        <v>15730000</v>
      </c>
    </row>
    <row x14ac:dyDescent="0.25" r="12" customHeight="1" ht="24.75">
      <c r="A12" s="57">
        <v>6</v>
      </c>
      <c r="B12" s="60" t="s">
        <v>23</v>
      </c>
      <c r="C12" s="59" t="s">
        <v>24</v>
      </c>
      <c r="D12" s="57">
        <v>550</v>
      </c>
      <c r="E12" s="57">
        <v>35896000</v>
      </c>
      <c r="F12" s="57">
        <v>476</v>
      </c>
      <c r="G12" s="57">
        <v>30014000</v>
      </c>
      <c r="H12" s="57">
        <v>2830</v>
      </c>
      <c r="I12" s="57">
        <v>178216000</v>
      </c>
      <c r="J12" s="57">
        <v>350</v>
      </c>
      <c r="K12" s="57">
        <v>22210000</v>
      </c>
    </row>
    <row x14ac:dyDescent="0.25" r="13" customHeight="1" ht="24.75">
      <c r="A13" s="57">
        <v>7</v>
      </c>
      <c r="B13" s="60" t="s">
        <v>25</v>
      </c>
      <c r="C13" s="59" t="s">
        <v>26</v>
      </c>
      <c r="D13" s="57">
        <v>450</v>
      </c>
      <c r="E13" s="57">
        <v>31005000</v>
      </c>
      <c r="F13" s="57">
        <v>455</v>
      </c>
      <c r="G13" s="57">
        <v>32364000</v>
      </c>
      <c r="H13" s="57">
        <v>1750</v>
      </c>
      <c r="I13" s="57">
        <v>119151500</v>
      </c>
      <c r="J13" s="57">
        <v>300</v>
      </c>
      <c r="K13" s="57">
        <v>19045000</v>
      </c>
    </row>
    <row x14ac:dyDescent="0.25" r="14" customHeight="1" ht="24.75">
      <c r="A14" s="57">
        <v>8</v>
      </c>
      <c r="B14" s="60" t="s">
        <v>27</v>
      </c>
      <c r="C14" s="59" t="s">
        <v>28</v>
      </c>
      <c r="D14" s="57">
        <v>1185</v>
      </c>
      <c r="E14" s="57">
        <v>62017500</v>
      </c>
      <c r="F14" s="57">
        <v>2265</v>
      </c>
      <c r="G14" s="57">
        <v>118234500</v>
      </c>
      <c r="H14" s="57">
        <v>5832</v>
      </c>
      <c r="I14" s="57">
        <v>307831000</v>
      </c>
      <c r="J14" s="57">
        <v>2705</v>
      </c>
      <c r="K14" s="57">
        <v>138786000</v>
      </c>
    </row>
    <row x14ac:dyDescent="0.25" r="15" customHeight="1" ht="24.75">
      <c r="A15" s="57">
        <v>9</v>
      </c>
      <c r="B15" s="60" t="s">
        <v>29</v>
      </c>
      <c r="C15" s="61" t="s">
        <v>30</v>
      </c>
      <c r="D15" s="57"/>
      <c r="E15" s="57"/>
      <c r="F15" s="57"/>
      <c r="G15" s="57"/>
      <c r="H15" s="57"/>
      <c r="I15" s="57"/>
      <c r="J15" s="57"/>
      <c r="K15" s="57"/>
    </row>
    <row x14ac:dyDescent="0.25" r="16" customHeight="1" ht="24.75">
      <c r="A16" s="57">
        <v>10</v>
      </c>
      <c r="B16" s="60" t="s">
        <v>31</v>
      </c>
      <c r="C16" s="61" t="s">
        <v>32</v>
      </c>
      <c r="D16" s="57">
        <v>545</v>
      </c>
      <c r="E16" s="57">
        <v>39508500</v>
      </c>
      <c r="F16" s="57">
        <v>530</v>
      </c>
      <c r="G16" s="57">
        <v>39389000</v>
      </c>
      <c r="H16" s="57">
        <v>1667</v>
      </c>
      <c r="I16" s="57">
        <v>123617000</v>
      </c>
      <c r="J16" s="57">
        <v>370</v>
      </c>
      <c r="K16" s="57">
        <v>26430000</v>
      </c>
    </row>
    <row x14ac:dyDescent="0.25" r="17" customHeight="1" ht="24.75">
      <c r="A17" s="57">
        <v>11</v>
      </c>
      <c r="B17" s="60" t="s">
        <v>33</v>
      </c>
      <c r="C17" s="61" t="s">
        <v>34</v>
      </c>
      <c r="D17" s="57">
        <v>211</v>
      </c>
      <c r="E17" s="57">
        <v>12360000</v>
      </c>
      <c r="F17" s="57">
        <v>170</v>
      </c>
      <c r="G17" s="57">
        <v>9754000</v>
      </c>
      <c r="H17" s="57">
        <v>1435</v>
      </c>
      <c r="I17" s="57">
        <v>78096000</v>
      </c>
      <c r="J17" s="57">
        <v>370</v>
      </c>
      <c r="K17" s="57">
        <v>21325000</v>
      </c>
    </row>
    <row x14ac:dyDescent="0.25" r="18" customHeight="1" ht="24.75">
      <c r="A18" s="57">
        <v>12</v>
      </c>
      <c r="B18" s="60" t="s">
        <v>35</v>
      </c>
      <c r="C18" s="61" t="s">
        <v>36</v>
      </c>
      <c r="D18" s="57">
        <v>1179</v>
      </c>
      <c r="E18" s="57">
        <v>92775000</v>
      </c>
      <c r="F18" s="57">
        <v>1936</v>
      </c>
      <c r="G18" s="57">
        <v>150515600</v>
      </c>
      <c r="H18" s="57">
        <v>5360</v>
      </c>
      <c r="I18" s="57">
        <v>420640000</v>
      </c>
      <c r="J18" s="57">
        <v>1633</v>
      </c>
      <c r="K18" s="57">
        <v>124559000</v>
      </c>
    </row>
    <row x14ac:dyDescent="0.25" r="19" customHeight="1" ht="24.75">
      <c r="A19" s="57">
        <v>13</v>
      </c>
      <c r="B19" s="60" t="s">
        <v>37</v>
      </c>
      <c r="C19" s="59" t="s">
        <v>38</v>
      </c>
      <c r="D19" s="57"/>
      <c r="E19" s="57"/>
      <c r="F19" s="57">
        <v>180</v>
      </c>
      <c r="G19" s="57">
        <v>11358000</v>
      </c>
      <c r="H19" s="57">
        <v>705</v>
      </c>
      <c r="I19" s="57">
        <v>43818000</v>
      </c>
      <c r="J19" s="57">
        <v>50</v>
      </c>
      <c r="K19" s="57">
        <v>3250000</v>
      </c>
    </row>
    <row x14ac:dyDescent="0.25" r="20" customHeight="1" ht="24.75">
      <c r="A20" s="57">
        <v>14</v>
      </c>
      <c r="B20" s="60" t="s">
        <v>39</v>
      </c>
      <c r="C20" s="59" t="s">
        <v>40</v>
      </c>
      <c r="D20" s="57">
        <v>760</v>
      </c>
      <c r="E20" s="57">
        <v>57640000</v>
      </c>
      <c r="F20" s="57">
        <v>1465</v>
      </c>
      <c r="G20" s="57">
        <v>108773000</v>
      </c>
      <c r="H20" s="57">
        <v>4338</v>
      </c>
      <c r="I20" s="57">
        <v>325301000</v>
      </c>
      <c r="J20" s="57">
        <v>850</v>
      </c>
      <c r="K20" s="57">
        <v>61625000</v>
      </c>
    </row>
    <row x14ac:dyDescent="0.25" r="21" customHeight="1" ht="24.75">
      <c r="A21" s="57">
        <v>15</v>
      </c>
      <c r="B21" s="60" t="s">
        <v>41</v>
      </c>
      <c r="C21" s="59" t="s">
        <v>42</v>
      </c>
      <c r="D21" s="57">
        <v>263</v>
      </c>
      <c r="E21" s="57">
        <v>27421000</v>
      </c>
      <c r="F21" s="57">
        <v>400</v>
      </c>
      <c r="G21" s="57">
        <v>41804000</v>
      </c>
      <c r="H21" s="57">
        <v>829</v>
      </c>
      <c r="I21" s="57">
        <v>86300000</v>
      </c>
      <c r="J21" s="57">
        <v>230</v>
      </c>
      <c r="K21" s="57">
        <v>23620000</v>
      </c>
    </row>
    <row x14ac:dyDescent="0.25" r="22" customHeight="1" ht="24.75">
      <c r="A22" s="57">
        <v>16</v>
      </c>
      <c r="B22" s="60" t="s">
        <v>43</v>
      </c>
      <c r="C22" s="59" t="s">
        <v>44</v>
      </c>
      <c r="D22" s="57">
        <v>0</v>
      </c>
      <c r="E22" s="57">
        <v>0</v>
      </c>
      <c r="F22" s="57">
        <v>150</v>
      </c>
      <c r="G22" s="57">
        <v>16680000</v>
      </c>
      <c r="H22" s="57">
        <v>380</v>
      </c>
      <c r="I22" s="57">
        <v>41036000</v>
      </c>
      <c r="J22" s="57">
        <v>80</v>
      </c>
      <c r="K22" s="57">
        <v>8275000</v>
      </c>
    </row>
    <row x14ac:dyDescent="0.25" r="23" customHeight="1" ht="24.75">
      <c r="A23" s="57">
        <v>17</v>
      </c>
      <c r="B23" s="60" t="s">
        <v>45</v>
      </c>
      <c r="C23" s="59" t="s">
        <v>46</v>
      </c>
      <c r="D23" s="57">
        <v>195</v>
      </c>
      <c r="E23" s="57">
        <v>22447500</v>
      </c>
      <c r="F23" s="57">
        <v>280</v>
      </c>
      <c r="G23" s="57">
        <v>31995000</v>
      </c>
      <c r="H23" s="57">
        <v>850</v>
      </c>
      <c r="I23" s="57">
        <v>96945000</v>
      </c>
      <c r="J23" s="57">
        <v>100</v>
      </c>
      <c r="K23" s="57">
        <v>10690000</v>
      </c>
    </row>
    <row x14ac:dyDescent="0.25" r="24" customHeight="1" ht="24.75">
      <c r="A24" s="57">
        <v>18</v>
      </c>
      <c r="B24" s="60" t="s">
        <v>47</v>
      </c>
      <c r="C24" s="59" t="s">
        <v>48</v>
      </c>
      <c r="D24" s="57">
        <v>117</v>
      </c>
      <c r="E24" s="57">
        <v>5867000</v>
      </c>
      <c r="F24" s="57">
        <v>110</v>
      </c>
      <c r="G24" s="57">
        <v>5610000</v>
      </c>
      <c r="H24" s="57">
        <v>453</v>
      </c>
      <c r="I24" s="57">
        <v>22148000</v>
      </c>
      <c r="J24" s="57">
        <v>60</v>
      </c>
      <c r="K24" s="57">
        <v>2960000</v>
      </c>
    </row>
    <row x14ac:dyDescent="0.25" r="25" customHeight="1" ht="24.75">
      <c r="A25" s="57">
        <v>19</v>
      </c>
      <c r="B25" s="60" t="s">
        <v>49</v>
      </c>
      <c r="C25" s="59" t="s">
        <v>50</v>
      </c>
      <c r="D25" s="57"/>
      <c r="E25" s="57"/>
      <c r="F25" s="57">
        <v>60</v>
      </c>
      <c r="G25" s="57">
        <v>7200000</v>
      </c>
      <c r="H25" s="57">
        <v>260</v>
      </c>
      <c r="I25" s="57">
        <v>27410000</v>
      </c>
      <c r="J25" s="57">
        <v>20</v>
      </c>
      <c r="K25" s="57">
        <v>2400000</v>
      </c>
    </row>
    <row x14ac:dyDescent="0.25" r="26" customHeight="1" ht="24.75">
      <c r="A26" s="57">
        <v>20</v>
      </c>
      <c r="B26" s="60" t="s">
        <v>51</v>
      </c>
      <c r="C26" s="59" t="s">
        <v>52</v>
      </c>
      <c r="D26" s="57"/>
      <c r="E26" s="57"/>
      <c r="F26" s="57">
        <v>90</v>
      </c>
      <c r="G26" s="57">
        <v>9780000</v>
      </c>
      <c r="H26" s="57">
        <v>270</v>
      </c>
      <c r="I26" s="57">
        <v>29665000</v>
      </c>
      <c r="J26" s="57">
        <v>50</v>
      </c>
      <c r="K26" s="57">
        <v>5520000</v>
      </c>
    </row>
    <row x14ac:dyDescent="0.25" r="27" customHeight="1" ht="24.75">
      <c r="A27" s="57">
        <v>21</v>
      </c>
      <c r="B27" s="60" t="s">
        <v>53</v>
      </c>
      <c r="C27" s="59" t="s">
        <v>54</v>
      </c>
      <c r="D27" s="57"/>
      <c r="E27" s="57"/>
      <c r="F27" s="57"/>
      <c r="G27" s="57"/>
      <c r="H27" s="57"/>
      <c r="I27" s="57"/>
      <c r="J27" s="57"/>
      <c r="K27" s="57"/>
    </row>
    <row x14ac:dyDescent="0.25" r="28" customHeight="1" ht="24.75">
      <c r="A28" s="57">
        <v>22</v>
      </c>
      <c r="B28" s="60" t="s">
        <v>55</v>
      </c>
      <c r="C28" s="59" t="s">
        <v>56</v>
      </c>
      <c r="D28" s="57">
        <v>61</v>
      </c>
      <c r="E28" s="57">
        <v>5189000</v>
      </c>
      <c r="F28" s="57">
        <v>180</v>
      </c>
      <c r="G28" s="57">
        <v>15555000</v>
      </c>
      <c r="H28" s="57">
        <v>400</v>
      </c>
      <c r="I28" s="57">
        <v>32500000</v>
      </c>
      <c r="J28" s="57">
        <v>70</v>
      </c>
      <c r="K28" s="57">
        <v>6230000</v>
      </c>
    </row>
    <row x14ac:dyDescent="0.25" r="29" customHeight="1" ht="24.75">
      <c r="A29" s="57">
        <v>23</v>
      </c>
      <c r="B29" s="62" t="s">
        <v>57</v>
      </c>
      <c r="C29" s="63" t="s">
        <v>58</v>
      </c>
      <c r="D29" s="57"/>
      <c r="E29" s="57"/>
      <c r="F29" s="57"/>
      <c r="G29" s="57"/>
      <c r="H29" s="57"/>
      <c r="I29" s="57"/>
      <c r="J29" s="57"/>
      <c r="K29" s="57"/>
    </row>
    <row x14ac:dyDescent="0.25" r="30" customHeight="1" ht="24.75">
      <c r="A30" s="57">
        <v>24</v>
      </c>
      <c r="B30" s="62" t="s">
        <v>59</v>
      </c>
      <c r="C30" s="64" t="s">
        <v>60</v>
      </c>
      <c r="D30" s="57">
        <v>272</v>
      </c>
      <c r="E30" s="57">
        <v>23728000</v>
      </c>
      <c r="F30" s="57">
        <v>430</v>
      </c>
      <c r="G30" s="57">
        <v>38231000</v>
      </c>
      <c r="H30" s="57">
        <v>1661</v>
      </c>
      <c r="I30" s="57">
        <v>146770000</v>
      </c>
      <c r="J30" s="57">
        <v>170</v>
      </c>
      <c r="K30" s="57">
        <v>15060000</v>
      </c>
    </row>
    <row x14ac:dyDescent="0.25" r="31" customHeight="1" ht="24.75">
      <c r="A31" s="57">
        <v>25</v>
      </c>
      <c r="B31" s="60" t="s">
        <v>61</v>
      </c>
      <c r="C31" s="59" t="s">
        <v>62</v>
      </c>
      <c r="D31" s="57">
        <v>50</v>
      </c>
      <c r="E31" s="57">
        <v>2300000</v>
      </c>
      <c r="F31" s="57">
        <v>300</v>
      </c>
      <c r="G31" s="57">
        <v>13800000</v>
      </c>
      <c r="H31" s="57">
        <v>700</v>
      </c>
      <c r="I31" s="57">
        <v>32200000</v>
      </c>
      <c r="J31" s="57">
        <v>150</v>
      </c>
      <c r="K31" s="57">
        <v>6900000</v>
      </c>
    </row>
    <row x14ac:dyDescent="0.25" r="32" customHeight="1" ht="24.75">
      <c r="A32" s="65" t="s">
        <v>63</v>
      </c>
      <c r="B32" s="66"/>
      <c r="C32" s="67"/>
      <c r="D32" s="68">
        <f>SUM(D7:D31)</f>
      </c>
      <c r="E32" s="68">
        <f>SUM(E7:E31)</f>
      </c>
      <c r="F32" s="68">
        <f>SUM(F7:F31)</f>
      </c>
      <c r="G32" s="68">
        <f>SUM(G7:G31)</f>
      </c>
      <c r="H32" s="68">
        <f>SUM(H7:H31)</f>
      </c>
      <c r="I32" s="68">
        <f>SUM(I7:I31)</f>
      </c>
      <c r="J32" s="68">
        <f>SUM(J7:J31)</f>
      </c>
      <c r="K32" s="68">
        <f>SUM(K7:K31)</f>
      </c>
    </row>
    <row x14ac:dyDescent="0.25" r="33" customHeight="1" ht="24.75">
      <c r="A33" s="1"/>
      <c r="B33" s="2"/>
      <c r="C33" s="3"/>
      <c r="D33" s="69"/>
      <c r="E33" s="69"/>
      <c r="F33" s="69"/>
      <c r="G33" s="69"/>
      <c r="H33" s="69"/>
      <c r="I33" s="69"/>
      <c r="J33" s="69"/>
      <c r="K33" s="69"/>
    </row>
  </sheetData>
  <mergeCells count="14">
    <mergeCell ref="A2:K2"/>
    <mergeCell ref="J3:K3"/>
    <mergeCell ref="A4:A6"/>
    <mergeCell ref="B4:B6"/>
    <mergeCell ref="C4:C6"/>
    <mergeCell ref="D4:E4"/>
    <mergeCell ref="F4:G4"/>
    <mergeCell ref="H4:I4"/>
    <mergeCell ref="J4:K4"/>
    <mergeCell ref="D5:E5"/>
    <mergeCell ref="F5:G5"/>
    <mergeCell ref="H5:I5"/>
    <mergeCell ref="J5:K5"/>
    <mergeCell ref="A32:C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"/>
  <sheetViews>
    <sheetView workbookViewId="0"/>
  </sheetViews>
  <sheetFormatPr defaultRowHeight="15" x14ac:dyDescent="0.25"/>
  <cols>
    <col min="1" max="1" style="35" width="4.719285714285714" customWidth="1" bestFit="1"/>
    <col min="2" max="2" style="36" width="8.576428571428572" customWidth="1" bestFit="1"/>
    <col min="3" max="3" style="37" width="30.862142857142857" customWidth="1" bestFit="1"/>
    <col min="4" max="4" style="38" width="8.719285714285713" customWidth="1" bestFit="1"/>
    <col min="5" max="5" style="35" width="14.43357142857143" customWidth="1" bestFit="1"/>
    <col min="6" max="6" style="35" width="9.290714285714287" customWidth="1" bestFit="1"/>
    <col min="7" max="7" style="35" width="15.43357142857143" customWidth="1" bestFit="1"/>
    <col min="8" max="8" style="35" width="9.005" customWidth="1" bestFit="1"/>
    <col min="9" max="9" style="35" width="16.290714285714284" customWidth="1" bestFit="1"/>
    <col min="10" max="10" style="35" width="9.290714285714287" customWidth="1" bestFit="1"/>
    <col min="11" max="11" style="35" width="12.576428571428572" customWidth="1" bestFit="1"/>
    <col min="12" max="12" style="37" width="13.576428571428572" customWidth="1" bestFit="1"/>
  </cols>
  <sheetData>
    <row x14ac:dyDescent="0.25" r="1" customHeight="1" ht="18.75">
      <c r="A1" s="1"/>
      <c r="B1" s="2"/>
      <c r="C1" s="3"/>
      <c r="D1" s="4"/>
      <c r="E1" s="5"/>
      <c r="F1" s="6"/>
      <c r="G1" s="7"/>
      <c r="H1" s="4"/>
      <c r="I1" s="5"/>
      <c r="J1" s="6"/>
      <c r="K1" s="7"/>
      <c r="L1" s="3"/>
    </row>
    <row x14ac:dyDescent="0.25" r="2" customHeight="1" ht="18.75">
      <c r="A2" s="8" t="s">
        <v>0</v>
      </c>
      <c r="B2" s="9"/>
      <c r="C2" s="10"/>
      <c r="D2" s="8"/>
      <c r="E2" s="8"/>
      <c r="F2" s="8"/>
      <c r="G2" s="8"/>
      <c r="H2" s="8"/>
      <c r="I2" s="8"/>
      <c r="J2" s="8"/>
      <c r="K2" s="8"/>
      <c r="L2" s="3"/>
    </row>
    <row x14ac:dyDescent="0.25" r="3" customHeight="1" ht="18.75">
      <c r="A3" s="11"/>
      <c r="B3" s="12"/>
      <c r="C3" s="3"/>
      <c r="D3" s="11"/>
      <c r="E3" s="11"/>
      <c r="F3" s="13"/>
      <c r="G3" s="13"/>
      <c r="H3" s="11"/>
      <c r="I3" s="14" t="s">
        <v>1</v>
      </c>
      <c r="J3" s="14"/>
      <c r="K3" s="14"/>
      <c r="L3" s="3"/>
    </row>
    <row x14ac:dyDescent="0.25" r="4" customHeight="1" ht="18.75">
      <c r="A4" s="15" t="s">
        <v>2</v>
      </c>
      <c r="B4" s="16" t="s">
        <v>3</v>
      </c>
      <c r="C4" s="17" t="s">
        <v>4</v>
      </c>
      <c r="D4" s="18" t="s">
        <v>5</v>
      </c>
      <c r="E4" s="19"/>
      <c r="F4" s="20" t="s">
        <v>6</v>
      </c>
      <c r="G4" s="21"/>
      <c r="H4" s="18" t="s">
        <v>6</v>
      </c>
      <c r="I4" s="19"/>
      <c r="J4" s="20" t="s">
        <v>6</v>
      </c>
      <c r="K4" s="21"/>
      <c r="L4" s="3"/>
    </row>
    <row x14ac:dyDescent="0.25" r="5" customHeight="1" ht="18.75">
      <c r="A5" s="18"/>
      <c r="B5" s="18"/>
      <c r="C5" s="22"/>
      <c r="D5" s="18" t="s">
        <v>7</v>
      </c>
      <c r="E5" s="18"/>
      <c r="F5" s="23" t="s">
        <v>8</v>
      </c>
      <c r="G5" s="24"/>
      <c r="H5" s="18" t="s">
        <v>9</v>
      </c>
      <c r="I5" s="18"/>
      <c r="J5" s="20" t="s">
        <v>10</v>
      </c>
      <c r="K5" s="20"/>
      <c r="L5" s="3"/>
    </row>
    <row x14ac:dyDescent="0.25" r="6" customHeight="1" ht="18.75">
      <c r="A6" s="18"/>
      <c r="B6" s="18"/>
      <c r="C6" s="22"/>
      <c r="D6" s="18" t="s">
        <v>11</v>
      </c>
      <c r="E6" s="18" t="s">
        <v>12</v>
      </c>
      <c r="F6" s="20" t="s">
        <v>11</v>
      </c>
      <c r="G6" s="20" t="s">
        <v>12</v>
      </c>
      <c r="H6" s="18" t="s">
        <v>11</v>
      </c>
      <c r="I6" s="18" t="s">
        <v>12</v>
      </c>
      <c r="J6" s="20" t="s">
        <v>11</v>
      </c>
      <c r="K6" s="20" t="s">
        <v>12</v>
      </c>
      <c r="L6" s="3"/>
    </row>
    <row x14ac:dyDescent="0.25" r="7" customHeight="1" ht="18.75">
      <c r="A7" s="25">
        <v>1</v>
      </c>
      <c r="B7" s="26" t="s">
        <v>13</v>
      </c>
      <c r="C7" s="27" t="s">
        <v>14</v>
      </c>
      <c r="D7" s="28">
        <f>1870+45</f>
      </c>
      <c r="E7" s="28">
        <f>82280000+2070000</f>
      </c>
      <c r="F7" s="29">
        <v>1987</v>
      </c>
      <c r="G7" s="29">
        <v>87428000</v>
      </c>
      <c r="H7" s="28">
        <f>6089+350</f>
      </c>
      <c r="I7" s="28">
        <f>267916000+16100000</f>
      </c>
      <c r="J7" s="29">
        <v>1375</v>
      </c>
      <c r="K7" s="29">
        <v>60500000</v>
      </c>
      <c r="L7" s="5"/>
    </row>
    <row x14ac:dyDescent="0.25" r="8" customHeight="1" ht="18.75">
      <c r="A8" s="25">
        <v>2</v>
      </c>
      <c r="B8" s="26" t="s">
        <v>15</v>
      </c>
      <c r="C8" s="27" t="s">
        <v>16</v>
      </c>
      <c r="D8" s="28">
        <f>2680+75</f>
      </c>
      <c r="E8" s="28">
        <f>128640000+3750000</f>
      </c>
      <c r="F8" s="29">
        <v>2559</v>
      </c>
      <c r="G8" s="29">
        <v>122832000</v>
      </c>
      <c r="H8" s="28">
        <f>6844+240</f>
      </c>
      <c r="I8" s="28">
        <f>328512000+12000000</f>
      </c>
      <c r="J8" s="29">
        <f>1510+10</f>
      </c>
      <c r="K8" s="29">
        <f>72480000+500000</f>
      </c>
      <c r="L8" s="5"/>
    </row>
    <row x14ac:dyDescent="0.25" r="9" customHeight="1" ht="18.75">
      <c r="A9" s="25">
        <v>3</v>
      </c>
      <c r="B9" s="26" t="s">
        <v>17</v>
      </c>
      <c r="C9" s="27" t="s">
        <v>18</v>
      </c>
      <c r="D9" s="28">
        <v>765</v>
      </c>
      <c r="E9" s="28">
        <v>37485000</v>
      </c>
      <c r="F9" s="29">
        <v>300</v>
      </c>
      <c r="G9" s="29">
        <v>14700000</v>
      </c>
      <c r="H9" s="28">
        <f>1855+12</f>
      </c>
      <c r="I9" s="28">
        <f>90895000+420000</f>
      </c>
      <c r="J9" s="29">
        <v>100</v>
      </c>
      <c r="K9" s="29">
        <v>4900000</v>
      </c>
      <c r="L9" s="5"/>
    </row>
    <row x14ac:dyDescent="0.25" r="10" customHeight="1" ht="18.75">
      <c r="A10" s="25">
        <v>4</v>
      </c>
      <c r="B10" s="26" t="s">
        <v>19</v>
      </c>
      <c r="C10" s="27" t="s">
        <v>20</v>
      </c>
      <c r="D10" s="28">
        <f>2316+95</f>
      </c>
      <c r="E10" s="28">
        <f>126222000+5415000</f>
      </c>
      <c r="F10" s="29">
        <f>2470+50</f>
      </c>
      <c r="G10" s="29">
        <f>134615000+2850000</f>
      </c>
      <c r="H10" s="28">
        <f>5918+160</f>
      </c>
      <c r="I10" s="28">
        <f>322531000+9120000</f>
      </c>
      <c r="J10" s="29">
        <f>1681+60</f>
      </c>
      <c r="K10" s="29">
        <f>91614500+3420000</f>
      </c>
      <c r="L10" s="5"/>
    </row>
    <row x14ac:dyDescent="0.25" r="11" customHeight="1" ht="18.75">
      <c r="A11" s="25">
        <v>5</v>
      </c>
      <c r="B11" s="26" t="s">
        <v>21</v>
      </c>
      <c r="C11" s="27" t="s">
        <v>22</v>
      </c>
      <c r="D11" s="28">
        <f>550+70</f>
      </c>
      <c r="E11" s="28">
        <f>35750000+4760000</f>
      </c>
      <c r="F11" s="29">
        <v>596</v>
      </c>
      <c r="G11" s="29">
        <v>38740000</v>
      </c>
      <c r="H11" s="28">
        <f>2200+295</f>
      </c>
      <c r="I11" s="28">
        <f>143000000+20060000</f>
      </c>
      <c r="J11" s="29">
        <f>530+30</f>
      </c>
      <c r="K11" s="29">
        <f>34450000+2040000</f>
      </c>
      <c r="L11" s="5"/>
    </row>
    <row x14ac:dyDescent="0.25" r="12" customHeight="1" ht="18.75">
      <c r="A12" s="25">
        <v>6</v>
      </c>
      <c r="B12" s="26" t="s">
        <v>23</v>
      </c>
      <c r="C12" s="27" t="s">
        <v>24</v>
      </c>
      <c r="D12" s="28">
        <f>911+40</f>
      </c>
      <c r="E12" s="28">
        <f>61037000+2840000</f>
      </c>
      <c r="F12" s="29">
        <f>790+30</f>
      </c>
      <c r="G12" s="29">
        <f>52930000+2130000</f>
      </c>
      <c r="H12" s="28">
        <f>3263+220</f>
      </c>
      <c r="I12" s="28">
        <f>218621000+15620000</f>
      </c>
      <c r="J12" s="29">
        <f>560+100</f>
      </c>
      <c r="K12" s="29">
        <f>37520000+7100000</f>
      </c>
      <c r="L12" s="5"/>
    </row>
    <row x14ac:dyDescent="0.25" r="13" customHeight="1" ht="18.75">
      <c r="A13" s="28">
        <v>7</v>
      </c>
      <c r="B13" s="30" t="s">
        <v>25</v>
      </c>
      <c r="C13" s="31" t="s">
        <v>26</v>
      </c>
      <c r="D13" s="28">
        <v>700</v>
      </c>
      <c r="E13" s="28">
        <v>52500000</v>
      </c>
      <c r="F13" s="29">
        <v>739</v>
      </c>
      <c r="G13" s="29">
        <v>55425000</v>
      </c>
      <c r="H13" s="28">
        <v>2262</v>
      </c>
      <c r="I13" s="28">
        <v>169650000</v>
      </c>
      <c r="J13" s="29">
        <v>590</v>
      </c>
      <c r="K13" s="29">
        <v>44250000</v>
      </c>
      <c r="L13" s="5"/>
    </row>
    <row x14ac:dyDescent="0.25" r="14" customHeight="1" ht="18.75">
      <c r="A14" s="25">
        <v>8</v>
      </c>
      <c r="B14" s="26" t="s">
        <v>27</v>
      </c>
      <c r="C14" s="27" t="s">
        <v>28</v>
      </c>
      <c r="D14" s="28">
        <f>2246+65</f>
      </c>
      <c r="E14" s="28">
        <f>129145000+3932500</f>
      </c>
      <c r="F14" s="29">
        <f>2597+47</f>
      </c>
      <c r="G14" s="29">
        <f>149327500+2843500</f>
      </c>
      <c r="H14" s="28">
        <f>4342+145</f>
      </c>
      <c r="I14" s="28">
        <f>249665000+8772500</f>
      </c>
      <c r="J14" s="29">
        <f>1821+60</f>
      </c>
      <c r="K14" s="29">
        <f>104707500+3630000</f>
      </c>
      <c r="L14" s="5"/>
    </row>
    <row x14ac:dyDescent="0.25" r="15" customHeight="1" ht="18.75">
      <c r="A15" s="28">
        <v>9</v>
      </c>
      <c r="B15" s="30" t="s">
        <v>29</v>
      </c>
      <c r="C15" s="31" t="s">
        <v>30</v>
      </c>
      <c r="D15" s="28"/>
      <c r="E15" s="28"/>
      <c r="F15" s="29"/>
      <c r="G15" s="29"/>
      <c r="H15" s="28"/>
      <c r="I15" s="28"/>
      <c r="J15" s="29"/>
      <c r="K15" s="29"/>
      <c r="L15" s="5"/>
    </row>
    <row x14ac:dyDescent="0.25" r="16" customHeight="1" ht="18.75">
      <c r="A16" s="25">
        <v>10</v>
      </c>
      <c r="B16" s="26" t="s">
        <v>31</v>
      </c>
      <c r="C16" s="27" t="s">
        <v>32</v>
      </c>
      <c r="D16" s="28">
        <f>700+10</f>
      </c>
      <c r="E16" s="28">
        <f>56700000+850000</f>
      </c>
      <c r="F16" s="29">
        <v>750</v>
      </c>
      <c r="G16" s="29">
        <v>60750000</v>
      </c>
      <c r="H16" s="28">
        <v>2206</v>
      </c>
      <c r="I16" s="28">
        <v>178686000</v>
      </c>
      <c r="J16" s="29">
        <v>320</v>
      </c>
      <c r="K16" s="29">
        <v>25920000</v>
      </c>
      <c r="L16" s="5"/>
    </row>
    <row x14ac:dyDescent="0.25" r="17" customHeight="1" ht="18.75">
      <c r="A17" s="28">
        <v>11</v>
      </c>
      <c r="B17" s="30" t="s">
        <v>33</v>
      </c>
      <c r="C17" s="31" t="s">
        <v>34</v>
      </c>
      <c r="D17" s="28">
        <v>117</v>
      </c>
      <c r="E17" s="28">
        <v>7020000</v>
      </c>
      <c r="F17" s="29">
        <v>240</v>
      </c>
      <c r="G17" s="29">
        <v>14400000</v>
      </c>
      <c r="H17" s="28">
        <v>2030</v>
      </c>
      <c r="I17" s="28">
        <v>121800000</v>
      </c>
      <c r="J17" s="29">
        <v>480</v>
      </c>
      <c r="K17" s="29">
        <v>28800000</v>
      </c>
      <c r="L17" s="5"/>
    </row>
    <row x14ac:dyDescent="0.25" r="18" customHeight="1" ht="18.75">
      <c r="A18" s="25">
        <v>12</v>
      </c>
      <c r="B18" s="26" t="s">
        <v>35</v>
      </c>
      <c r="C18" s="27" t="s">
        <v>36</v>
      </c>
      <c r="D18" s="28">
        <f>1715+50</f>
      </c>
      <c r="E18" s="28">
        <f>142345000+4350000</f>
      </c>
      <c r="F18" s="29">
        <f>2297+30</f>
      </c>
      <c r="G18" s="29">
        <f>190651000+2610000</f>
      </c>
      <c r="H18" s="28">
        <f>5431+90</f>
      </c>
      <c r="I18" s="28">
        <f>450773000+7830000</f>
      </c>
      <c r="J18" s="29">
        <f>1752+45</f>
      </c>
      <c r="K18" s="29">
        <f>145416000+3915000</f>
      </c>
      <c r="L18" s="5"/>
    </row>
    <row x14ac:dyDescent="0.25" r="19" customHeight="1" ht="18.75">
      <c r="A19" s="25">
        <v>13</v>
      </c>
      <c r="B19" s="26" t="s">
        <v>37</v>
      </c>
      <c r="C19" s="27" t="s">
        <v>38</v>
      </c>
      <c r="D19" s="28">
        <v>100</v>
      </c>
      <c r="E19" s="28">
        <v>6500000</v>
      </c>
      <c r="F19" s="29">
        <v>60</v>
      </c>
      <c r="G19" s="29">
        <v>3900000</v>
      </c>
      <c r="H19" s="28">
        <f>1077+3</f>
      </c>
      <c r="I19" s="28">
        <f>70005000+144000</f>
      </c>
      <c r="J19" s="29">
        <v>50</v>
      </c>
      <c r="K19" s="29">
        <v>3250000</v>
      </c>
      <c r="L19" s="5"/>
    </row>
    <row x14ac:dyDescent="0.25" r="20" customHeight="1" ht="18.75">
      <c r="A20" s="25">
        <v>14</v>
      </c>
      <c r="B20" s="26" t="s">
        <v>39</v>
      </c>
      <c r="C20" s="27" t="s">
        <v>40</v>
      </c>
      <c r="D20" s="28">
        <f>1555+45</f>
      </c>
      <c r="E20" s="28">
        <f>123622500+3735000</f>
      </c>
      <c r="F20" s="29">
        <v>1891</v>
      </c>
      <c r="G20" s="29">
        <v>150334500</v>
      </c>
      <c r="H20" s="28">
        <f>4686+250</f>
      </c>
      <c r="I20" s="28">
        <f>372537000+20750000</f>
      </c>
      <c r="J20" s="29">
        <f>1203+30</f>
      </c>
      <c r="K20" s="29">
        <f>95638500+2490000</f>
      </c>
      <c r="L20" s="5"/>
    </row>
    <row x14ac:dyDescent="0.25" r="21" customHeight="1" ht="18.75">
      <c r="A21" s="28">
        <v>15</v>
      </c>
      <c r="B21" s="30" t="s">
        <v>41</v>
      </c>
      <c r="C21" s="31" t="s">
        <v>42</v>
      </c>
      <c r="D21" s="28">
        <v>290</v>
      </c>
      <c r="E21" s="28">
        <v>33350000</v>
      </c>
      <c r="F21" s="29">
        <v>480</v>
      </c>
      <c r="G21" s="29">
        <v>55200000</v>
      </c>
      <c r="H21" s="28">
        <v>1270</v>
      </c>
      <c r="I21" s="28">
        <v>146050000</v>
      </c>
      <c r="J21" s="29">
        <v>490</v>
      </c>
      <c r="K21" s="29">
        <v>56350000</v>
      </c>
      <c r="L21" s="5"/>
    </row>
    <row x14ac:dyDescent="0.25" r="22" customHeight="1" ht="18.75">
      <c r="A22" s="28">
        <v>16</v>
      </c>
      <c r="B22" s="30" t="s">
        <v>43</v>
      </c>
      <c r="C22" s="31" t="s">
        <v>44</v>
      </c>
      <c r="D22" s="28">
        <v>100</v>
      </c>
      <c r="E22" s="28">
        <v>11350000</v>
      </c>
      <c r="F22" s="29">
        <v>220</v>
      </c>
      <c r="G22" s="29">
        <v>24970000</v>
      </c>
      <c r="H22" s="28">
        <v>440</v>
      </c>
      <c r="I22" s="28">
        <v>49940000</v>
      </c>
      <c r="J22" s="29">
        <v>150</v>
      </c>
      <c r="K22" s="29">
        <v>17025000</v>
      </c>
      <c r="L22" s="5"/>
    </row>
    <row x14ac:dyDescent="0.25" r="23" customHeight="1" ht="24.75">
      <c r="A23" s="28">
        <v>17</v>
      </c>
      <c r="B23" s="30" t="s">
        <v>45</v>
      </c>
      <c r="C23" s="31" t="s">
        <v>46</v>
      </c>
      <c r="D23" s="28">
        <v>340</v>
      </c>
      <c r="E23" s="28">
        <v>41140000</v>
      </c>
      <c r="F23" s="29">
        <v>360</v>
      </c>
      <c r="G23" s="29">
        <v>43560000</v>
      </c>
      <c r="H23" s="28">
        <v>1019</v>
      </c>
      <c r="I23" s="28">
        <v>123299000</v>
      </c>
      <c r="J23" s="29">
        <v>175</v>
      </c>
      <c r="K23" s="29">
        <v>21175000</v>
      </c>
      <c r="L23" s="5"/>
    </row>
    <row x14ac:dyDescent="0.25" r="24" customHeight="1" ht="24.75">
      <c r="A24" s="28">
        <v>18</v>
      </c>
      <c r="B24" s="30" t="s">
        <v>47</v>
      </c>
      <c r="C24" s="31" t="s">
        <v>48</v>
      </c>
      <c r="D24" s="28">
        <v>73</v>
      </c>
      <c r="E24" s="28">
        <v>3723000</v>
      </c>
      <c r="F24" s="29">
        <v>100</v>
      </c>
      <c r="G24" s="29">
        <v>5100000</v>
      </c>
      <c r="H24" s="28">
        <v>370</v>
      </c>
      <c r="I24" s="28">
        <v>18870000</v>
      </c>
      <c r="J24" s="29">
        <v>9</v>
      </c>
      <c r="K24" s="29">
        <v>459000</v>
      </c>
      <c r="L24" s="5"/>
    </row>
    <row x14ac:dyDescent="0.25" r="25" customHeight="1" ht="24.75">
      <c r="A25" s="25">
        <v>19</v>
      </c>
      <c r="B25" s="26" t="s">
        <v>49</v>
      </c>
      <c r="C25" s="27" t="s">
        <v>50</v>
      </c>
      <c r="D25" s="28">
        <v>100</v>
      </c>
      <c r="E25" s="28">
        <v>12000000</v>
      </c>
      <c r="F25" s="29">
        <v>30</v>
      </c>
      <c r="G25" s="29">
        <v>3600000</v>
      </c>
      <c r="H25" s="28">
        <f>320+4</f>
      </c>
      <c r="I25" s="28">
        <f>38400000+360000</f>
      </c>
      <c r="J25" s="29">
        <v>30</v>
      </c>
      <c r="K25" s="29">
        <v>3600000</v>
      </c>
      <c r="L25" s="5"/>
    </row>
    <row x14ac:dyDescent="0.25" r="26" customHeight="1" ht="24.75">
      <c r="A26" s="25">
        <v>20</v>
      </c>
      <c r="B26" s="26" t="s">
        <v>51</v>
      </c>
      <c r="C26" s="27" t="s">
        <v>52</v>
      </c>
      <c r="D26" s="28">
        <v>150</v>
      </c>
      <c r="E26" s="28">
        <v>18000000</v>
      </c>
      <c r="F26" s="29">
        <v>80</v>
      </c>
      <c r="G26" s="29">
        <v>9600000</v>
      </c>
      <c r="H26" s="28">
        <f>366+5</f>
      </c>
      <c r="I26" s="28">
        <f>43920000+450000</f>
      </c>
      <c r="J26" s="29"/>
      <c r="K26" s="29"/>
      <c r="L26" s="5"/>
    </row>
    <row x14ac:dyDescent="0.25" r="27" customHeight="1" ht="24.75">
      <c r="A27" s="28">
        <v>21</v>
      </c>
      <c r="B27" s="30" t="s">
        <v>53</v>
      </c>
      <c r="C27" s="31" t="s">
        <v>54</v>
      </c>
      <c r="D27" s="28"/>
      <c r="E27" s="28"/>
      <c r="F27" s="29"/>
      <c r="G27" s="29"/>
      <c r="H27" s="28">
        <v>6</v>
      </c>
      <c r="I27" s="28">
        <v>210000</v>
      </c>
      <c r="J27" s="29"/>
      <c r="K27" s="29"/>
      <c r="L27" s="5"/>
    </row>
    <row x14ac:dyDescent="0.25" r="28" customHeight="1" ht="24.75">
      <c r="A28" s="25">
        <v>22</v>
      </c>
      <c r="B28" s="26" t="s">
        <v>55</v>
      </c>
      <c r="C28" s="27" t="s">
        <v>56</v>
      </c>
      <c r="D28" s="28">
        <v>109</v>
      </c>
      <c r="E28" s="28">
        <v>9701000</v>
      </c>
      <c r="F28" s="29">
        <v>160</v>
      </c>
      <c r="G28" s="29">
        <v>14240000</v>
      </c>
      <c r="H28" s="28">
        <f>840+5</f>
      </c>
      <c r="I28" s="28">
        <f>74760000+340000</f>
      </c>
      <c r="J28" s="29">
        <v>20</v>
      </c>
      <c r="K28" s="29">
        <v>1780000</v>
      </c>
      <c r="L28" s="5"/>
    </row>
    <row x14ac:dyDescent="0.25" r="29" customHeight="1" ht="24.75">
      <c r="A29" s="32">
        <v>23</v>
      </c>
      <c r="B29" s="30" t="s">
        <v>57</v>
      </c>
      <c r="C29" s="31" t="s">
        <v>58</v>
      </c>
      <c r="D29" s="28"/>
      <c r="E29" s="28"/>
      <c r="F29" s="29"/>
      <c r="G29" s="29"/>
      <c r="H29" s="28">
        <v>1</v>
      </c>
      <c r="I29" s="28">
        <v>90000</v>
      </c>
      <c r="J29" s="29"/>
      <c r="K29" s="29"/>
      <c r="L29" s="5"/>
    </row>
    <row x14ac:dyDescent="0.25" r="30" customHeight="1" ht="24.75">
      <c r="A30" s="28">
        <v>24</v>
      </c>
      <c r="B30" s="30" t="s">
        <v>59</v>
      </c>
      <c r="C30" s="33" t="s">
        <v>60</v>
      </c>
      <c r="D30" s="28">
        <v>360</v>
      </c>
      <c r="E30" s="28">
        <v>33840000</v>
      </c>
      <c r="F30" s="29">
        <v>578</v>
      </c>
      <c r="G30" s="29">
        <v>54332000</v>
      </c>
      <c r="H30" s="28">
        <v>2299</v>
      </c>
      <c r="I30" s="28">
        <v>216106000</v>
      </c>
      <c r="J30" s="29">
        <v>330</v>
      </c>
      <c r="K30" s="29">
        <v>31020000</v>
      </c>
      <c r="L30" s="5"/>
    </row>
    <row x14ac:dyDescent="0.25" r="31" customHeight="1" ht="24.75">
      <c r="A31" s="28">
        <v>25</v>
      </c>
      <c r="B31" s="30" t="s">
        <v>61</v>
      </c>
      <c r="C31" s="33" t="s">
        <v>62</v>
      </c>
      <c r="D31" s="28">
        <v>250</v>
      </c>
      <c r="E31" s="28">
        <v>11500000</v>
      </c>
      <c r="F31" s="29">
        <v>250</v>
      </c>
      <c r="G31" s="29">
        <v>11500000</v>
      </c>
      <c r="H31" s="28">
        <v>1000</v>
      </c>
      <c r="I31" s="28">
        <v>46000000</v>
      </c>
      <c r="J31" s="29">
        <v>150</v>
      </c>
      <c r="K31" s="29">
        <v>6900000</v>
      </c>
      <c r="L31" s="5"/>
    </row>
    <row x14ac:dyDescent="0.25" r="32" customHeight="1" ht="24.75">
      <c r="A32" s="18" t="s">
        <v>63</v>
      </c>
      <c r="B32" s="34"/>
      <c r="C32" s="22"/>
      <c r="D32" s="18">
        <f>SUM(D7:D31)</f>
      </c>
      <c r="E32" s="18">
        <f>SUM(E7:E31)</f>
      </c>
      <c r="F32" s="29">
        <f>SUM(F7:F31)</f>
      </c>
      <c r="G32" s="29">
        <f>SUM(G7:G31)</f>
      </c>
      <c r="H32" s="18">
        <f>SUM(H7:H31)</f>
      </c>
      <c r="I32" s="18">
        <f>SUM(I7:I31)</f>
      </c>
      <c r="J32" s="20">
        <f>SUM(J7:J31)</f>
      </c>
      <c r="K32" s="20">
        <f>SUM(K7:K31)</f>
      </c>
      <c r="L32" s="5"/>
    </row>
    <row x14ac:dyDescent="0.25" r="33" customHeight="1" ht="24.75">
      <c r="A33" s="1"/>
      <c r="B33" s="2"/>
      <c r="C33" s="3"/>
      <c r="D33" s="4"/>
      <c r="E33" s="5"/>
      <c r="F33" s="6"/>
      <c r="G33" s="7"/>
      <c r="H33" s="4"/>
      <c r="I33" s="5"/>
      <c r="J33" s="6"/>
      <c r="K33" s="7"/>
      <c r="L33" s="5"/>
    </row>
    <row x14ac:dyDescent="0.25" r="34" customHeight="1" ht="24.75">
      <c r="A34" s="1"/>
      <c r="B34" s="2"/>
      <c r="C34" s="3"/>
      <c r="D34" s="4"/>
      <c r="E34" s="5"/>
      <c r="F34" s="6"/>
      <c r="G34" s="7"/>
      <c r="H34" s="4"/>
      <c r="I34" s="5"/>
      <c r="J34" s="6"/>
      <c r="K34" s="6"/>
      <c r="L34" s="3"/>
    </row>
    <row x14ac:dyDescent="0.25" r="35" customHeight="1" ht="24.75">
      <c r="A35" s="1"/>
      <c r="B35" s="2"/>
      <c r="C35" s="3"/>
      <c r="D35" s="4"/>
      <c r="E35" s="5"/>
      <c r="F35" s="6"/>
      <c r="G35" s="6"/>
      <c r="H35" s="4"/>
      <c r="I35" s="4"/>
      <c r="J35" s="6"/>
      <c r="K35" s="6"/>
      <c r="L35" s="3"/>
    </row>
    <row x14ac:dyDescent="0.25" r="36" customHeight="1" ht="24.75">
      <c r="A36" s="1"/>
      <c r="B36" s="12"/>
      <c r="C36" s="3"/>
      <c r="D36" s="4"/>
      <c r="E36" s="4"/>
      <c r="F36" s="1"/>
      <c r="G36" s="1"/>
      <c r="H36" s="1"/>
      <c r="I36" s="1"/>
      <c r="J36" s="1"/>
      <c r="K36" s="1"/>
      <c r="L36" s="3"/>
    </row>
    <row x14ac:dyDescent="0.25" r="37" customHeight="1" ht="24.75">
      <c r="A37" s="1"/>
      <c r="B37" s="12"/>
      <c r="C37" s="3"/>
      <c r="D37" s="4"/>
      <c r="E37" s="5"/>
      <c r="F37" s="1"/>
      <c r="G37" s="1"/>
      <c r="H37" s="1"/>
      <c r="I37" s="1"/>
      <c r="J37" s="1"/>
      <c r="K37" s="1"/>
      <c r="L37" s="3"/>
    </row>
  </sheetData>
  <mergeCells count="14">
    <mergeCell ref="A2:K2"/>
    <mergeCell ref="I3:K3"/>
    <mergeCell ref="A4:A6"/>
    <mergeCell ref="B4:B6"/>
    <mergeCell ref="C4:C6"/>
    <mergeCell ref="D4:E4"/>
    <mergeCell ref="F4:G4"/>
    <mergeCell ref="H4:I4"/>
    <mergeCell ref="J4:K4"/>
    <mergeCell ref="D5:E5"/>
    <mergeCell ref="F5:G5"/>
    <mergeCell ref="H5:I5"/>
    <mergeCell ref="J5:K5"/>
    <mergeCell ref="A32:C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Size Code</vt:lpstr>
      <vt:lpstr>T(2021)&amp;amp;(H1-2022)Compare</vt:lpstr>
      <vt:lpstr>M(2021)&amp;amp;(H1-2022)Compare</vt:lpstr>
      <vt:lpstr>E(2021)&amp;amp;(H1-2022)Compare</vt:lpstr>
      <vt:lpstr>P(2021)&amp;amp;(H1-2022)Compare</vt:lpstr>
      <vt:lpstr>TMEP(H1-21)Compare</vt:lpstr>
      <vt:lpstr>TEMP(H2-2021)Compare</vt:lpstr>
      <vt:lpstr>TMEP(H1-22)Compare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2022-07-20T15:43:54.178Z</dcterms:created>
  <dcterms:modified xsi:type="dcterms:W3CDTF">2022-07-20T15:43:54.178Z</dcterms:modified>
</cp:coreProperties>
</file>