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evin.russell\Desktop\"/>
    </mc:Choice>
  </mc:AlternateContent>
  <xr:revisionPtr revIDLastSave="0" documentId="13_ncr:1_{D93971C6-E28E-4D91-84C4-9E5B62BC33C8}" xr6:coauthVersionLast="36" xr6:coauthVersionMax="46" xr10:uidLastSave="{00000000-0000-0000-0000-000000000000}"/>
  <bookViews>
    <workbookView xWindow="0" yWindow="0" windowWidth="10040" windowHeight="6550" tabRatio="500" xr2:uid="{00000000-000D-0000-FFFF-FFFF00000000}"/>
  </bookViews>
  <sheets>
    <sheet name="F28" sheetId="1" r:id="rId1"/>
  </sheets>
  <calcPr calcId="179021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0" i="1" l="1"/>
  <c r="I7" i="1"/>
  <c r="I4" i="1"/>
  <c r="I9" i="1"/>
  <c r="I8" i="1"/>
  <c r="I6" i="1"/>
  <c r="I5" i="1"/>
  <c r="I3" i="1"/>
  <c r="I2" i="1"/>
  <c r="C10" i="1"/>
  <c r="C9" i="1"/>
</calcChain>
</file>

<file path=xl/sharedStrings.xml><?xml version="1.0" encoding="utf-8"?>
<sst xmlns="http://schemas.openxmlformats.org/spreadsheetml/2006/main" count="89" uniqueCount="57">
  <si>
    <t>Number</t>
  </si>
  <si>
    <t>Address</t>
  </si>
  <si>
    <t>Price</t>
  </si>
  <si>
    <t>Time to Subway, mins.</t>
  </si>
  <si>
    <t>Size (Sq ft.)</t>
  </si>
  <si>
    <t>Magnolia Court</t>
  </si>
  <si>
    <t>12 Magnolia Court</t>
  </si>
  <si>
    <t>Rose Way</t>
  </si>
  <si>
    <t>77 Rose Way</t>
  </si>
  <si>
    <t>Longleaf Pine</t>
  </si>
  <si>
    <t>38 Longleaf Pine Road</t>
  </si>
  <si>
    <t>45 Sycamore Avenue</t>
  </si>
  <si>
    <t>17 Oak Terrace</t>
  </si>
  <si>
    <t>26 Ponderosa Street</t>
  </si>
  <si>
    <t>30 Date Palm Boulevard</t>
  </si>
  <si>
    <t>12 Elm Lane</t>
  </si>
  <si>
    <t>36 Sycamore Avenue</t>
  </si>
  <si>
    <t>26 Date Palm Boulevard</t>
  </si>
  <si>
    <t>45 Longleaf Pine Road</t>
  </si>
  <si>
    <t>55 Elm Lane</t>
  </si>
  <si>
    <t>54 Rose Way</t>
  </si>
  <si>
    <t>43 Date Palm Boulevard</t>
  </si>
  <si>
    <t>9 Oak Terrace</t>
  </si>
  <si>
    <t>29 Cedar Circle</t>
  </si>
  <si>
    <t>8 Daffodil Walk</t>
  </si>
  <si>
    <t>15 Hickory Forest Way</t>
  </si>
  <si>
    <t>31 Longleaf Pine Road</t>
  </si>
  <si>
    <t>24 Cedar Circle</t>
  </si>
  <si>
    <t>15 Oak Terrace</t>
  </si>
  <si>
    <t>51 Sycamore Avenue</t>
  </si>
  <si>
    <t>9 Dogwood Avenue</t>
  </si>
  <si>
    <t>42 Sycamore Avenue</t>
  </si>
  <si>
    <t>8 Magnolia Court</t>
  </si>
  <si>
    <t>21 Oak Terrace</t>
  </si>
  <si>
    <t>39 Magnolia Court</t>
  </si>
  <si>
    <t>12 Cedar Circle</t>
  </si>
  <si>
    <t>23 Sycamore Avenue</t>
  </si>
  <si>
    <t>29 Ponderosa Street</t>
  </si>
  <si>
    <t>4 Longleaf Pine Road</t>
  </si>
  <si>
    <t>48 Date Palm Boulevard</t>
  </si>
  <si>
    <t>2 Sycamore Avenue</t>
  </si>
  <si>
    <t>52 Longleaf Pine Road</t>
  </si>
  <si>
    <t>51 Oak Terrace</t>
  </si>
  <si>
    <t>List Price</t>
  </si>
  <si>
    <t>Realtor</t>
  </si>
  <si>
    <t>Ravenweyr</t>
  </si>
  <si>
    <t>Brahminton</t>
  </si>
  <si>
    <t>Homepalooza</t>
  </si>
  <si>
    <t>Ravenweyr average</t>
  </si>
  <si>
    <t>Ravenweyr st dev</t>
  </si>
  <si>
    <t>Ravenweyr coeff</t>
  </si>
  <si>
    <t>Brahminton average</t>
  </si>
  <si>
    <t>Brahminton st dev</t>
  </si>
  <si>
    <t>Brahminton coeff</t>
  </si>
  <si>
    <t>Homepalooza average</t>
  </si>
  <si>
    <t>Homepalooza stdev</t>
  </si>
  <si>
    <t>Homepalooza coeff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</si>
</sst>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12"/>
      <color rgb="FF000000"/>
      <name val="Times New Roman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3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/>
    <xf numFmtId="3" fontId="1" fillId="0" borderId="6" xfId="0" applyNumberFormat="1" applyFont="1" applyBorder="1" applyAlignment="1">
      <alignment vertical="center" wrapText="1"/>
    </xf>
    <xf numFmtId="0" fontId="2" fillId="0" borderId="5" xfId="0" applyFont="1" applyBorder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workbookViewId="0">
      <selection activeCell="I12" sqref="I12"/>
    </sheetView>
  </sheetViews>
  <sheetFormatPr defaultColWidth="10.83203125" defaultRowHeight="15.5"/>
  <cols>
    <col min="2" max="2" width="36.6640625" customWidth="1"/>
    <col min="3" max="3" width="12.6640625" customWidth="1"/>
    <col min="4" max="4" width="20.83203125" customWidth="1"/>
    <col min="5" max="5" width="16.5" customWidth="1"/>
    <col min="7" max="7" width="14.58203125" style="5" customWidth="1"/>
    <col min="8" max="8" width="20.58203125" style="5" customWidth="1"/>
    <col min="9" max="9" width="10.83203125" style="5"/>
    <col min="11" max="11" width="23.5" customWidth="1"/>
    <col min="13" max="14" width="10.83203125" customWidth="1"/>
    <col min="15" max="15" width="10.83203125" hidden="1" customWidth="1"/>
  </cols>
  <sheetData>
    <row r="1" spans="1:19" ht="16" thickBot="1">
      <c r="A1" t="s">
        <v>0</v>
      </c>
      <c r="B1" s="1" t="s">
        <v>1</v>
      </c>
      <c r="C1" s="2" t="s">
        <v>43</v>
      </c>
      <c r="D1" s="3" t="s">
        <v>3</v>
      </c>
      <c r="E1" s="3" t="s">
        <v>4</v>
      </c>
      <c r="F1" s="6" t="s">
        <v>2</v>
      </c>
      <c r="G1" s="7" t="s">
        <v>44</v>
      </c>
      <c r="R1">
        <v>1</v>
      </c>
      <c r="S1" t="s">
        <v>5</v>
      </c>
    </row>
    <row r="2" spans="1:19" ht="16" thickBot="1">
      <c r="A2">
        <v>1</v>
      </c>
      <c r="B2" s="4" t="s">
        <v>6</v>
      </c>
      <c r="C2" s="3">
        <v>350000</v>
      </c>
      <c r="D2" s="3">
        <v>43</v>
      </c>
      <c r="E2" s="3">
        <v>1750</v>
      </c>
      <c r="F2" s="6">
        <v>311300</v>
      </c>
      <c r="G2" s="7" t="s">
        <v>45</v>
      </c>
      <c r="H2" s="5" t="s">
        <v>48</v>
      </c>
      <c r="I2" s="8">
        <f>AVERAGE(F2:F16)</f>
        <v>617415.73333333328</v>
      </c>
      <c r="R2">
        <v>2</v>
      </c>
      <c r="S2" t="s">
        <v>7</v>
      </c>
    </row>
    <row r="3" spans="1:19" ht="16" thickBot="1">
      <c r="A3">
        <v>2</v>
      </c>
      <c r="B3" s="4" t="s">
        <v>8</v>
      </c>
      <c r="C3" s="3">
        <v>255300</v>
      </c>
      <c r="D3" s="3">
        <v>18</v>
      </c>
      <c r="E3" s="3">
        <v>1276</v>
      </c>
      <c r="F3" s="6">
        <v>239100</v>
      </c>
      <c r="G3" s="7" t="s">
        <v>45</v>
      </c>
      <c r="H3" s="5" t="s">
        <v>49</v>
      </c>
      <c r="I3" s="5">
        <f>STDEV(F2:F16)</f>
        <v>1009462.4332497447</v>
      </c>
      <c r="R3">
        <v>3</v>
      </c>
      <c r="S3" t="s">
        <v>9</v>
      </c>
    </row>
    <row r="4" spans="1:19" ht="16" thickBot="1">
      <c r="A4">
        <v>3</v>
      </c>
      <c r="B4" s="4" t="s">
        <v>10</v>
      </c>
      <c r="C4" s="3">
        <v>4254300</v>
      </c>
      <c r="D4" s="3">
        <v>22</v>
      </c>
      <c r="E4" s="3">
        <v>20000</v>
      </c>
      <c r="F4" s="6">
        <v>4234500</v>
      </c>
      <c r="G4" s="7" t="s">
        <v>45</v>
      </c>
      <c r="H4" s="5" t="s">
        <v>50</v>
      </c>
      <c r="I4" s="5">
        <f>I3/I2</f>
        <v>1.634980093234442</v>
      </c>
      <c r="R4">
        <v>4</v>
      </c>
    </row>
    <row r="5" spans="1:19" ht="16" thickBot="1">
      <c r="A5">
        <v>4</v>
      </c>
      <c r="B5" s="4" t="s">
        <v>11</v>
      </c>
      <c r="C5" s="3">
        <v>324500</v>
      </c>
      <c r="D5" s="3">
        <v>24</v>
      </c>
      <c r="E5" s="3">
        <v>1622</v>
      </c>
      <c r="F5" s="6">
        <v>302900</v>
      </c>
      <c r="G5" s="7" t="s">
        <v>45</v>
      </c>
      <c r="H5" s="5" t="s">
        <v>51</v>
      </c>
      <c r="I5" s="8">
        <f>AVERAGE(F17:F26)</f>
        <v>296732.59999999998</v>
      </c>
      <c r="R5">
        <v>5</v>
      </c>
    </row>
    <row r="6" spans="1:19" ht="16" thickBot="1">
      <c r="A6">
        <v>5</v>
      </c>
      <c r="B6" s="4" t="s">
        <v>12</v>
      </c>
      <c r="C6" s="3">
        <v>520100</v>
      </c>
      <c r="D6" s="3">
        <v>41</v>
      </c>
      <c r="E6" s="3">
        <v>2601</v>
      </c>
      <c r="F6" s="6">
        <v>483200</v>
      </c>
      <c r="G6" s="7" t="s">
        <v>45</v>
      </c>
      <c r="H6" s="5" t="s">
        <v>52</v>
      </c>
      <c r="I6" s="5">
        <f>STDEV(F17:F26)</f>
        <v>98154.210957610543</v>
      </c>
      <c r="R6">
        <v>6</v>
      </c>
    </row>
    <row r="7" spans="1:19" ht="16" thickBot="1">
      <c r="A7">
        <v>6</v>
      </c>
      <c r="B7" s="4" t="s">
        <v>13</v>
      </c>
      <c r="C7" s="3">
        <v>763975</v>
      </c>
      <c r="D7" s="3">
        <v>13</v>
      </c>
      <c r="E7" s="3">
        <v>3820</v>
      </c>
      <c r="F7" s="6">
        <v>752275</v>
      </c>
      <c r="G7" s="7" t="s">
        <v>45</v>
      </c>
      <c r="H7" s="5" t="s">
        <v>53</v>
      </c>
      <c r="I7" s="5">
        <f>I6/I5</f>
        <v>0.33078337519238044</v>
      </c>
      <c r="R7">
        <v>7</v>
      </c>
    </row>
    <row r="8" spans="1:19" ht="16" thickBot="1">
      <c r="A8">
        <v>7</v>
      </c>
      <c r="B8" s="4" t="s">
        <v>14</v>
      </c>
      <c r="C8" s="3">
        <v>452203</v>
      </c>
      <c r="D8" s="3">
        <v>16</v>
      </c>
      <c r="E8" s="3">
        <v>2261</v>
      </c>
      <c r="F8" s="6">
        <v>437803</v>
      </c>
      <c r="G8" s="7" t="s">
        <v>45</v>
      </c>
      <c r="H8" s="5" t="s">
        <v>54</v>
      </c>
      <c r="I8" s="8">
        <f>AVERAGE(F27:F36)</f>
        <v>347933.8</v>
      </c>
      <c r="R8">
        <v>8</v>
      </c>
    </row>
    <row r="9" spans="1:19" ht="16" thickBot="1">
      <c r="A9">
        <v>8</v>
      </c>
      <c r="B9" s="4" t="s">
        <v>15</v>
      </c>
      <c r="C9" s="3">
        <f ca="1">RANDBETWEEN(200000,500000)</f>
        <v>321703</v>
      </c>
      <c r="D9" s="3">
        <v>24</v>
      </c>
      <c r="E9" s="3">
        <v>1880</v>
      </c>
      <c r="F9" s="6">
        <v>328916</v>
      </c>
      <c r="G9" s="7" t="s">
        <v>45</v>
      </c>
      <c r="H9" s="5" t="s">
        <v>55</v>
      </c>
      <c r="I9" s="5">
        <f>STDEV(F27:F36)</f>
        <v>61931.13861163336</v>
      </c>
      <c r="R9">
        <v>9</v>
      </c>
    </row>
    <row r="10" spans="1:19" ht="16" thickBot="1">
      <c r="A10">
        <v>9</v>
      </c>
      <c r="B10" s="4" t="s">
        <v>16</v>
      </c>
      <c r="C10" s="3">
        <f ca="1">RANDBETWEEN(200000,500000)</f>
        <v>456619</v>
      </c>
      <c r="D10" s="3">
        <v>5</v>
      </c>
      <c r="E10" s="3">
        <v>1753</v>
      </c>
      <c r="F10" s="6">
        <v>302326</v>
      </c>
      <c r="G10" s="7" t="s">
        <v>45</v>
      </c>
      <c r="H10" s="5" t="s">
        <v>56</v>
      </c>
      <c r="I10" s="5">
        <f>I9/I8</f>
        <v>0.17799690231772067</v>
      </c>
      <c r="R10">
        <v>10</v>
      </c>
    </row>
    <row r="11" spans="1:19" ht="16" thickBot="1">
      <c r="A11">
        <v>10</v>
      </c>
      <c r="B11" s="4" t="s">
        <v>17</v>
      </c>
      <c r="C11" s="3">
        <v>404499</v>
      </c>
      <c r="D11" s="3">
        <v>14</v>
      </c>
      <c r="E11" s="3">
        <v>2023</v>
      </c>
      <c r="F11" s="6">
        <v>391899</v>
      </c>
      <c r="G11" s="7" t="s">
        <v>45</v>
      </c>
      <c r="R11">
        <v>11</v>
      </c>
    </row>
    <row r="12" spans="1:19" ht="16" thickBot="1">
      <c r="A12">
        <v>11</v>
      </c>
      <c r="B12" s="4" t="s">
        <v>18</v>
      </c>
      <c r="C12" s="3">
        <v>281661</v>
      </c>
      <c r="D12" s="3">
        <v>33</v>
      </c>
      <c r="E12" s="3">
        <v>1409</v>
      </c>
      <c r="F12" s="6">
        <v>251961</v>
      </c>
      <c r="G12" s="7" t="s">
        <v>45</v>
      </c>
      <c r="R12">
        <v>12</v>
      </c>
    </row>
    <row r="13" spans="1:19" ht="16" thickBot="1">
      <c r="A13">
        <v>12</v>
      </c>
      <c r="B13" s="4" t="s">
        <v>19</v>
      </c>
      <c r="C13" s="3">
        <v>226727</v>
      </c>
      <c r="D13" s="3">
        <v>19</v>
      </c>
      <c r="E13" s="3">
        <v>1133</v>
      </c>
      <c r="F13" s="6">
        <v>209627</v>
      </c>
      <c r="G13" s="7" t="s">
        <v>45</v>
      </c>
    </row>
    <row r="14" spans="1:19" ht="16" thickBot="1">
      <c r="A14">
        <v>13</v>
      </c>
      <c r="B14" s="4" t="s">
        <v>20</v>
      </c>
      <c r="C14" s="3">
        <v>279931</v>
      </c>
      <c r="D14" s="3">
        <v>28</v>
      </c>
      <c r="E14" s="3">
        <v>1400</v>
      </c>
      <c r="F14" s="6">
        <v>254731</v>
      </c>
      <c r="G14" s="7" t="s">
        <v>45</v>
      </c>
    </row>
    <row r="15" spans="1:19" ht="16" thickBot="1">
      <c r="A15">
        <v>14</v>
      </c>
      <c r="B15" s="4" t="s">
        <v>21</v>
      </c>
      <c r="C15" s="3">
        <v>423307</v>
      </c>
      <c r="D15" s="3">
        <v>17</v>
      </c>
      <c r="E15" s="3">
        <v>2116</v>
      </c>
      <c r="F15" s="6">
        <v>408007</v>
      </c>
      <c r="G15" s="7" t="s">
        <v>45</v>
      </c>
    </row>
    <row r="16" spans="1:19" ht="16" thickBot="1">
      <c r="A16">
        <v>15</v>
      </c>
      <c r="B16" s="4" t="s">
        <v>22</v>
      </c>
      <c r="C16" s="3">
        <v>365291</v>
      </c>
      <c r="D16" s="3">
        <v>14</v>
      </c>
      <c r="E16" s="3">
        <v>1827</v>
      </c>
      <c r="F16" s="6">
        <v>352691</v>
      </c>
      <c r="G16" s="7" t="s">
        <v>45</v>
      </c>
    </row>
    <row r="17" spans="1:7" ht="16" thickBot="1">
      <c r="A17">
        <v>16</v>
      </c>
      <c r="B17" s="4" t="s">
        <v>23</v>
      </c>
      <c r="C17" s="3">
        <v>229277</v>
      </c>
      <c r="D17" s="3">
        <v>10</v>
      </c>
      <c r="E17" s="3">
        <v>1146</v>
      </c>
      <c r="F17" s="6">
        <v>220277</v>
      </c>
      <c r="G17" s="7" t="s">
        <v>46</v>
      </c>
    </row>
    <row r="18" spans="1:7" ht="16" thickBot="1">
      <c r="A18">
        <v>17</v>
      </c>
      <c r="B18" s="4" t="s">
        <v>24</v>
      </c>
      <c r="C18" s="3">
        <v>358732</v>
      </c>
      <c r="D18" s="3">
        <v>9</v>
      </c>
      <c r="E18" s="3">
        <v>1794</v>
      </c>
      <c r="F18" s="6">
        <v>350632</v>
      </c>
      <c r="G18" s="7" t="s">
        <v>46</v>
      </c>
    </row>
    <row r="19" spans="1:7" ht="16" thickBot="1">
      <c r="A19">
        <v>18</v>
      </c>
      <c r="B19" s="4" t="s">
        <v>25</v>
      </c>
      <c r="C19" s="3">
        <v>343460</v>
      </c>
      <c r="D19" s="3">
        <v>29</v>
      </c>
      <c r="E19" s="3">
        <v>1717</v>
      </c>
      <c r="F19" s="6">
        <v>317360</v>
      </c>
      <c r="G19" s="7" t="s">
        <v>46</v>
      </c>
    </row>
    <row r="20" spans="1:7" ht="16" thickBot="1">
      <c r="A20">
        <v>19</v>
      </c>
      <c r="B20" s="4" t="s">
        <v>26</v>
      </c>
      <c r="C20" s="3">
        <v>275153</v>
      </c>
      <c r="D20" s="3">
        <v>7</v>
      </c>
      <c r="E20" s="3">
        <v>1376</v>
      </c>
      <c r="F20" s="6">
        <v>268853</v>
      </c>
      <c r="G20" s="7" t="s">
        <v>46</v>
      </c>
    </row>
    <row r="21" spans="1:7" ht="16" thickBot="1">
      <c r="A21">
        <v>20</v>
      </c>
      <c r="B21" s="4" t="s">
        <v>27</v>
      </c>
      <c r="C21" s="3">
        <v>465214</v>
      </c>
      <c r="D21" s="3">
        <v>25</v>
      </c>
      <c r="E21" s="3">
        <v>2327</v>
      </c>
      <c r="F21" s="6">
        <v>442714</v>
      </c>
      <c r="G21" s="7" t="s">
        <v>46</v>
      </c>
    </row>
    <row r="22" spans="1:7" ht="16" thickBot="1">
      <c r="A22">
        <v>21</v>
      </c>
      <c r="B22" s="4" t="s">
        <v>28</v>
      </c>
      <c r="C22" s="3">
        <v>486005</v>
      </c>
      <c r="D22" s="3">
        <v>13</v>
      </c>
      <c r="E22" s="3">
        <v>2430</v>
      </c>
      <c r="F22" s="6">
        <v>474305</v>
      </c>
      <c r="G22" s="7" t="s">
        <v>46</v>
      </c>
    </row>
    <row r="23" spans="1:7" ht="16" thickBot="1">
      <c r="A23">
        <v>22</v>
      </c>
      <c r="B23" s="4" t="s">
        <v>29</v>
      </c>
      <c r="C23" s="3">
        <v>274977</v>
      </c>
      <c r="D23" s="3">
        <v>43</v>
      </c>
      <c r="E23" s="3">
        <v>1375</v>
      </c>
      <c r="F23" s="6">
        <v>236277</v>
      </c>
      <c r="G23" s="7" t="s">
        <v>46</v>
      </c>
    </row>
    <row r="24" spans="1:7" ht="16" thickBot="1">
      <c r="A24">
        <v>23</v>
      </c>
      <c r="B24" s="4" t="s">
        <v>30</v>
      </c>
      <c r="C24" s="3">
        <v>267767</v>
      </c>
      <c r="D24" s="3">
        <v>24</v>
      </c>
      <c r="E24" s="3">
        <v>1339</v>
      </c>
      <c r="F24" s="6">
        <v>246167</v>
      </c>
      <c r="G24" s="7" t="s">
        <v>46</v>
      </c>
    </row>
    <row r="25" spans="1:7" ht="16" thickBot="1">
      <c r="A25">
        <v>24</v>
      </c>
      <c r="B25" s="4" t="s">
        <v>31</v>
      </c>
      <c r="C25" s="3">
        <v>202737</v>
      </c>
      <c r="D25" s="3">
        <v>22</v>
      </c>
      <c r="E25" s="3">
        <v>1014</v>
      </c>
      <c r="F25" s="6">
        <v>182937</v>
      </c>
      <c r="G25" s="7" t="s">
        <v>46</v>
      </c>
    </row>
    <row r="26" spans="1:7" ht="16" thickBot="1">
      <c r="A26">
        <v>25</v>
      </c>
      <c r="B26" s="4" t="s">
        <v>32</v>
      </c>
      <c r="C26" s="3">
        <v>251204</v>
      </c>
      <c r="D26" s="3">
        <v>26</v>
      </c>
      <c r="E26" s="3">
        <v>1256</v>
      </c>
      <c r="F26" s="6">
        <v>227804</v>
      </c>
      <c r="G26" s="7" t="s">
        <v>46</v>
      </c>
    </row>
    <row r="27" spans="1:7" ht="16" thickBot="1">
      <c r="A27">
        <v>26</v>
      </c>
      <c r="B27" s="4" t="s">
        <v>33</v>
      </c>
      <c r="C27" s="3">
        <v>426315</v>
      </c>
      <c r="D27" s="3">
        <v>8</v>
      </c>
      <c r="E27" s="3">
        <v>2132</v>
      </c>
      <c r="F27" s="6">
        <v>419115</v>
      </c>
      <c r="G27" s="7" t="s">
        <v>47</v>
      </c>
    </row>
    <row r="28" spans="1:7" ht="16" thickBot="1">
      <c r="A28">
        <v>27</v>
      </c>
      <c r="B28" s="4" t="s">
        <v>34</v>
      </c>
      <c r="C28" s="3">
        <v>325540</v>
      </c>
      <c r="D28" s="3">
        <v>11</v>
      </c>
      <c r="E28" s="3">
        <v>1628</v>
      </c>
      <c r="F28" s="6">
        <v>315640</v>
      </c>
      <c r="G28" s="7" t="s">
        <v>47</v>
      </c>
    </row>
    <row r="29" spans="1:7" ht="16" thickBot="1">
      <c r="A29">
        <v>28</v>
      </c>
      <c r="B29" s="4" t="s">
        <v>35</v>
      </c>
      <c r="C29" s="3">
        <v>386192</v>
      </c>
      <c r="D29" s="3">
        <v>13</v>
      </c>
      <c r="E29" s="3">
        <v>1931</v>
      </c>
      <c r="F29" s="6">
        <v>374492</v>
      </c>
      <c r="G29" s="7" t="s">
        <v>47</v>
      </c>
    </row>
    <row r="30" spans="1:7" ht="16" thickBot="1">
      <c r="A30">
        <v>29</v>
      </c>
      <c r="B30" s="4" t="s">
        <v>36</v>
      </c>
      <c r="C30" s="3">
        <v>369692</v>
      </c>
      <c r="D30" s="3">
        <v>19</v>
      </c>
      <c r="E30" s="3">
        <v>1848</v>
      </c>
      <c r="F30" s="6">
        <v>352592</v>
      </c>
      <c r="G30" s="7" t="s">
        <v>47</v>
      </c>
    </row>
    <row r="31" spans="1:7" ht="16" thickBot="1">
      <c r="A31">
        <v>30</v>
      </c>
      <c r="B31" s="4" t="s">
        <v>37</v>
      </c>
      <c r="C31" s="3">
        <v>322411</v>
      </c>
      <c r="D31" s="3">
        <v>22</v>
      </c>
      <c r="E31" s="3">
        <v>1612</v>
      </c>
      <c r="F31" s="6">
        <v>302611</v>
      </c>
      <c r="G31" s="7" t="s">
        <v>47</v>
      </c>
    </row>
    <row r="32" spans="1:7" ht="16" thickBot="1">
      <c r="A32">
        <v>31</v>
      </c>
      <c r="B32" s="4" t="s">
        <v>38</v>
      </c>
      <c r="C32" s="3">
        <v>302709</v>
      </c>
      <c r="D32" s="3">
        <v>31</v>
      </c>
      <c r="E32" s="3">
        <v>1514</v>
      </c>
      <c r="F32" s="6">
        <v>274809</v>
      </c>
      <c r="G32" s="7" t="s">
        <v>47</v>
      </c>
    </row>
    <row r="33" spans="1:7" ht="16" thickBot="1">
      <c r="A33">
        <v>32</v>
      </c>
      <c r="B33" s="4" t="s">
        <v>39</v>
      </c>
      <c r="C33" s="3">
        <v>404992</v>
      </c>
      <c r="D33" s="3">
        <v>25</v>
      </c>
      <c r="E33" s="3">
        <v>2025</v>
      </c>
      <c r="F33" s="6">
        <v>382492</v>
      </c>
      <c r="G33" s="7" t="s">
        <v>47</v>
      </c>
    </row>
    <row r="34" spans="1:7" ht="16" thickBot="1">
      <c r="A34">
        <v>33</v>
      </c>
      <c r="B34" s="4" t="s">
        <v>40</v>
      </c>
      <c r="C34" s="3">
        <v>452854</v>
      </c>
      <c r="D34" s="3">
        <v>30</v>
      </c>
      <c r="E34" s="3">
        <v>2264</v>
      </c>
      <c r="F34" s="6">
        <v>425854</v>
      </c>
      <c r="G34" s="7" t="s">
        <v>47</v>
      </c>
    </row>
    <row r="35" spans="1:7" ht="16" thickBot="1">
      <c r="A35">
        <v>34</v>
      </c>
      <c r="B35" s="4" t="s">
        <v>41</v>
      </c>
      <c r="C35" s="3">
        <v>272444</v>
      </c>
      <c r="D35" s="3">
        <v>34</v>
      </c>
      <c r="E35" s="3">
        <v>1363</v>
      </c>
      <c r="F35" s="6">
        <v>241844</v>
      </c>
      <c r="G35" s="7" t="s">
        <v>47</v>
      </c>
    </row>
    <row r="36" spans="1:7" ht="16" thickBot="1">
      <c r="A36">
        <v>35</v>
      </c>
      <c r="B36" s="4" t="s">
        <v>42</v>
      </c>
      <c r="C36" s="3">
        <v>412389</v>
      </c>
      <c r="D36" s="3">
        <v>25</v>
      </c>
      <c r="E36" s="3">
        <v>2061</v>
      </c>
      <c r="F36" s="6">
        <v>389889</v>
      </c>
      <c r="G36" s="7" t="s">
        <v>47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F28</vt:lpstr>
    </vt:vector>
  </TitlesOfParts>
  <Company>Rev. Dr. Joan M. Saniuk, Ph.D.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Saniuk</dc:creator>
  <cp:lastModifiedBy>Russell, Kevin</cp:lastModifiedBy>
  <dcterms:created xsi:type="dcterms:W3CDTF">2020-05-07T14:53:10Z</dcterms:created>
  <dcterms:modified xsi:type="dcterms:W3CDTF">2021-04-27T15:11:09Z</dcterms:modified>
</cp:coreProperties>
</file>