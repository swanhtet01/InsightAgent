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19425" windowHeight="10305" tabRatio="610" activeTab="1"/>
  </bookViews>
  <sheets>
    <sheet name="T(2021 &amp; H1-2022)Compare" sheetId="105" r:id="rId1"/>
    <sheet name="T (2021)&amp;(H1-2022)Summary" sheetId="103" r:id="rId2"/>
  </sheets>
  <definedNames>
    <definedName name="apple">#REF!</definedName>
  </definedNames>
  <calcPr calcId="144525"/>
  <fileRecoveryPr autoRecover="0"/>
</workbook>
</file>

<file path=xl/calcChain.xml><?xml version="1.0" encoding="utf-8"?>
<calcChain xmlns="http://schemas.openxmlformats.org/spreadsheetml/2006/main">
  <c r="F62" i="103" l="1"/>
  <c r="G62" i="103"/>
  <c r="AV59" i="105"/>
  <c r="BH58" i="105"/>
  <c r="BB58" i="105"/>
  <c r="AY58" i="105"/>
  <c r="AW58" i="105"/>
  <c r="AV58" i="105"/>
  <c r="AT58" i="105"/>
  <c r="BB56" i="105"/>
  <c r="AY56" i="105"/>
  <c r="AY55" i="105"/>
  <c r="BH54" i="105"/>
  <c r="BB54" i="105"/>
  <c r="AV54" i="105"/>
  <c r="BH52" i="105"/>
  <c r="BB52" i="105"/>
  <c r="AY52" i="105"/>
  <c r="BB50" i="105"/>
  <c r="AY50" i="105"/>
  <c r="AV50" i="105"/>
  <c r="AY49" i="105"/>
  <c r="AV49" i="105"/>
  <c r="AS49" i="105"/>
  <c r="BH48" i="105"/>
  <c r="AY48" i="105"/>
  <c r="AV48" i="105"/>
  <c r="BH47" i="105"/>
  <c r="AY46" i="105"/>
  <c r="BH45" i="105"/>
  <c r="BH44" i="105"/>
  <c r="BB44" i="105"/>
  <c r="AY44" i="105"/>
  <c r="AV44" i="105"/>
  <c r="BH43" i="105"/>
  <c r="BH42" i="105"/>
  <c r="AV42" i="105"/>
  <c r="AS42" i="105"/>
  <c r="AY41" i="105"/>
  <c r="BH40" i="105"/>
  <c r="AY40" i="105"/>
  <c r="AV40" i="105"/>
  <c r="BH39" i="105"/>
  <c r="BB39" i="105"/>
  <c r="AY39" i="105"/>
  <c r="AV39" i="105"/>
  <c r="AY38" i="105"/>
  <c r="AV38" i="105"/>
  <c r="BB37" i="105"/>
  <c r="AY37" i="105"/>
  <c r="AS37" i="105"/>
  <c r="BH36" i="105"/>
  <c r="BB36" i="105"/>
  <c r="AY36" i="105"/>
  <c r="AW36" i="105"/>
  <c r="AV36" i="105"/>
  <c r="AS36" i="105"/>
  <c r="BH35" i="105"/>
  <c r="BH34" i="105"/>
  <c r="BB34" i="105"/>
  <c r="AV34" i="105"/>
  <c r="BH33" i="105"/>
  <c r="AY33" i="105"/>
  <c r="AS33" i="105"/>
  <c r="BH32" i="105"/>
  <c r="BB32" i="105"/>
  <c r="AY32" i="105"/>
  <c r="AW32" i="105"/>
  <c r="AV32" i="105"/>
  <c r="AS32" i="105"/>
  <c r="BH31" i="105"/>
  <c r="BB31" i="105"/>
  <c r="AY31" i="105"/>
  <c r="AW31" i="105"/>
  <c r="AV31" i="105"/>
  <c r="AS31" i="105"/>
  <c r="BH30" i="105"/>
  <c r="BB30" i="105"/>
  <c r="AY30" i="105"/>
  <c r="AW30" i="105"/>
  <c r="AV30" i="105"/>
  <c r="AS30" i="105"/>
  <c r="BH29" i="105"/>
  <c r="BB29" i="105"/>
  <c r="AY29" i="105"/>
  <c r="AW29" i="105"/>
  <c r="AV29" i="105"/>
  <c r="AS29" i="105"/>
  <c r="BH26" i="105"/>
  <c r="BB26" i="105"/>
  <c r="AY26" i="105"/>
  <c r="AV26" i="105"/>
  <c r="AS26" i="105"/>
  <c r="BH25" i="105"/>
  <c r="BB25" i="105"/>
  <c r="AY25" i="105"/>
  <c r="AW25" i="105"/>
  <c r="AV25" i="105"/>
  <c r="AS25" i="105"/>
  <c r="BH24" i="105"/>
  <c r="BB24" i="105"/>
  <c r="AY24" i="105"/>
  <c r="AW24" i="105"/>
  <c r="AV24" i="105"/>
  <c r="AS24" i="105"/>
  <c r="BH23" i="105"/>
  <c r="AV23" i="105"/>
  <c r="BH22" i="105"/>
  <c r="AY22" i="105"/>
  <c r="AV22" i="105"/>
  <c r="AY20" i="105"/>
  <c r="AY19" i="105"/>
  <c r="AV19" i="105"/>
  <c r="BH18" i="105"/>
  <c r="BB18" i="105"/>
  <c r="AY18" i="105"/>
  <c r="AW18" i="105"/>
  <c r="BH17" i="105"/>
  <c r="BB17" i="105"/>
  <c r="AY17" i="105"/>
  <c r="AW17" i="105"/>
  <c r="AV17" i="105"/>
  <c r="AS17" i="105"/>
  <c r="BB16" i="105"/>
  <c r="AY16" i="105"/>
  <c r="BH15" i="105"/>
  <c r="BB15" i="105"/>
  <c r="AY15" i="105"/>
  <c r="AW15" i="105"/>
  <c r="BH14" i="105"/>
  <c r="AY14" i="105"/>
  <c r="AV14" i="105"/>
  <c r="BH13" i="105"/>
  <c r="BB13" i="105"/>
  <c r="AY13" i="105"/>
  <c r="AW13" i="105"/>
  <c r="AV13" i="105"/>
  <c r="AS13" i="105"/>
  <c r="BH12" i="105"/>
  <c r="AY12" i="105"/>
  <c r="AV12" i="105"/>
  <c r="BH11" i="105"/>
  <c r="AV11" i="105"/>
  <c r="BH10" i="105"/>
  <c r="BB10" i="105"/>
  <c r="AY10" i="105"/>
  <c r="AW10" i="105"/>
  <c r="AV10" i="105"/>
  <c r="AS10" i="105"/>
  <c r="BH9" i="105"/>
  <c r="AY9" i="105"/>
  <c r="AW9" i="105"/>
  <c r="AV9" i="105"/>
  <c r="AS9" i="105"/>
  <c r="BH7" i="105"/>
  <c r="BB7" i="105"/>
  <c r="AY7" i="105"/>
  <c r="BH6" i="105"/>
  <c r="BB6" i="105"/>
  <c r="AY6" i="105"/>
  <c r="AW6" i="105"/>
  <c r="AV6" i="105"/>
  <c r="AT6" i="105"/>
  <c r="AS6" i="105"/>
  <c r="BH5" i="105"/>
  <c r="BE5" i="105"/>
  <c r="BB5" i="105"/>
  <c r="AY5" i="105"/>
  <c r="AW5" i="105"/>
  <c r="AV5" i="105"/>
  <c r="AS5" i="105"/>
  <c r="Q37" i="105"/>
  <c r="O37" i="105"/>
  <c r="O62" i="105" s="1"/>
  <c r="AN62" i="105"/>
  <c r="AK62" i="105"/>
  <c r="AH62" i="105"/>
  <c r="AE62" i="105"/>
  <c r="AB62" i="105"/>
  <c r="Y62" i="105"/>
  <c r="V62" i="105"/>
  <c r="R62" i="105"/>
  <c r="K62" i="105"/>
  <c r="H62" i="105"/>
  <c r="D62" i="105"/>
  <c r="AP61" i="105"/>
  <c r="X61" i="105"/>
  <c r="AP60" i="105"/>
  <c r="X60" i="105"/>
  <c r="AP59" i="105"/>
  <c r="AM59" i="105"/>
  <c r="J59" i="105"/>
  <c r="AP58" i="105"/>
  <c r="AM58" i="105"/>
  <c r="AJ58" i="105"/>
  <c r="AG58" i="105"/>
  <c r="AD58" i="105"/>
  <c r="AA58" i="105"/>
  <c r="X58" i="105"/>
  <c r="T58" i="105"/>
  <c r="Q58" i="105"/>
  <c r="M58" i="105"/>
  <c r="J58" i="105"/>
  <c r="F58" i="105"/>
  <c r="AP57" i="105"/>
  <c r="AP56" i="105"/>
  <c r="AM56" i="105"/>
  <c r="AJ56" i="105"/>
  <c r="AP55" i="105"/>
  <c r="AD55" i="105"/>
  <c r="AP54" i="105"/>
  <c r="AM54" i="105"/>
  <c r="AJ54" i="105"/>
  <c r="AG54" i="105"/>
  <c r="AD54" i="105"/>
  <c r="AA54" i="105"/>
  <c r="X54" i="105"/>
  <c r="T54" i="105"/>
  <c r="Q54" i="105"/>
  <c r="M54" i="105"/>
  <c r="J54" i="105"/>
  <c r="F54" i="105"/>
  <c r="AP53" i="105"/>
  <c r="F53" i="105"/>
  <c r="AP52" i="105"/>
  <c r="AM52" i="105"/>
  <c r="AJ52" i="105"/>
  <c r="AD52" i="105"/>
  <c r="AA52" i="105"/>
  <c r="X52" i="105"/>
  <c r="J52" i="105"/>
  <c r="F52" i="105"/>
  <c r="AP51" i="105"/>
  <c r="AJ51" i="105"/>
  <c r="AP50" i="105"/>
  <c r="AM50" i="105"/>
  <c r="AJ50" i="105"/>
  <c r="AG50" i="105"/>
  <c r="AD50" i="105"/>
  <c r="AA50" i="105"/>
  <c r="X50" i="105"/>
  <c r="M50" i="105"/>
  <c r="J50" i="105"/>
  <c r="F50" i="105"/>
  <c r="AP49" i="105"/>
  <c r="AM49" i="105"/>
  <c r="AJ49" i="105"/>
  <c r="AD49" i="105"/>
  <c r="X49" i="105"/>
  <c r="F49" i="105"/>
  <c r="AP48" i="105"/>
  <c r="AJ48" i="105"/>
  <c r="AG48" i="105"/>
  <c r="AD48" i="105"/>
  <c r="X48" i="105"/>
  <c r="T48" i="105"/>
  <c r="Q48" i="105"/>
  <c r="J48" i="105"/>
  <c r="F48" i="105"/>
  <c r="AP47" i="105"/>
  <c r="AM47" i="105"/>
  <c r="AG47" i="105"/>
  <c r="AD47" i="105"/>
  <c r="X47" i="105"/>
  <c r="T47" i="105"/>
  <c r="Q47" i="105"/>
  <c r="J47" i="105"/>
  <c r="F47" i="105"/>
  <c r="AP46" i="105"/>
  <c r="AM46" i="105"/>
  <c r="AG46" i="105"/>
  <c r="AA46" i="105"/>
  <c r="T46" i="105"/>
  <c r="M46" i="105"/>
  <c r="AP45" i="105"/>
  <c r="Q45" i="105"/>
  <c r="J45" i="105"/>
  <c r="AP44" i="105"/>
  <c r="AM44" i="105"/>
  <c r="AJ44" i="105"/>
  <c r="AG44" i="105"/>
  <c r="AD44" i="105"/>
  <c r="X44" i="105"/>
  <c r="Q44" i="105"/>
  <c r="M44" i="105"/>
  <c r="J44" i="105"/>
  <c r="F44" i="105"/>
  <c r="AP43" i="105"/>
  <c r="T43" i="105"/>
  <c r="AP42" i="105"/>
  <c r="AD42" i="105"/>
  <c r="X42" i="105"/>
  <c r="M42" i="105"/>
  <c r="AP41" i="105"/>
  <c r="AM41" i="105"/>
  <c r="AP40" i="105"/>
  <c r="AM40" i="105"/>
  <c r="AJ40" i="105"/>
  <c r="AG40" i="105"/>
  <c r="AD40" i="105"/>
  <c r="AA40" i="105"/>
  <c r="X40" i="105"/>
  <c r="T40" i="105"/>
  <c r="Q40" i="105"/>
  <c r="M40" i="105"/>
  <c r="J40" i="105"/>
  <c r="F40" i="105"/>
  <c r="AP39" i="105"/>
  <c r="AM39" i="105"/>
  <c r="AJ39" i="105"/>
  <c r="AD39" i="105"/>
  <c r="X39" i="105"/>
  <c r="Q39" i="105"/>
  <c r="J39" i="105"/>
  <c r="AP38" i="105"/>
  <c r="AJ38" i="105"/>
  <c r="AG38" i="105"/>
  <c r="J37" i="105"/>
  <c r="AP37" i="105"/>
  <c r="AM37" i="105"/>
  <c r="AJ37" i="105"/>
  <c r="AG37" i="105"/>
  <c r="AD37" i="105"/>
  <c r="X37" i="105"/>
  <c r="T37" i="105"/>
  <c r="AP36" i="105"/>
  <c r="AM36" i="105"/>
  <c r="AJ36" i="105"/>
  <c r="AG36" i="105"/>
  <c r="AD36" i="105"/>
  <c r="AA36" i="105"/>
  <c r="X36" i="105"/>
  <c r="T36" i="105"/>
  <c r="Q36" i="105"/>
  <c r="M36" i="105"/>
  <c r="J36" i="105"/>
  <c r="F36" i="105"/>
  <c r="AP35" i="105"/>
  <c r="AM35" i="105"/>
  <c r="AJ35" i="105"/>
  <c r="AG35" i="105"/>
  <c r="AD35" i="105"/>
  <c r="AA35" i="105"/>
  <c r="X35" i="105"/>
  <c r="Q35" i="105"/>
  <c r="M35" i="105"/>
  <c r="F35" i="105"/>
  <c r="AP34" i="105"/>
  <c r="AM34" i="105"/>
  <c r="AJ34" i="105"/>
  <c r="AG34" i="105"/>
  <c r="AD34" i="105"/>
  <c r="AA34" i="105"/>
  <c r="X34" i="105"/>
  <c r="T34" i="105"/>
  <c r="Q34" i="105"/>
  <c r="M34" i="105"/>
  <c r="J34" i="105"/>
  <c r="AP33" i="105"/>
  <c r="AM33" i="105"/>
  <c r="AJ33" i="105"/>
  <c r="AG33" i="105"/>
  <c r="AD33" i="105"/>
  <c r="AA33" i="105"/>
  <c r="X33" i="105"/>
  <c r="T33" i="105"/>
  <c r="Q33" i="105"/>
  <c r="M33" i="105"/>
  <c r="F33" i="105"/>
  <c r="AP32" i="105"/>
  <c r="AM32" i="105"/>
  <c r="AJ32" i="105"/>
  <c r="AG32" i="105"/>
  <c r="AD32" i="105"/>
  <c r="AA32" i="105"/>
  <c r="X32" i="105"/>
  <c r="T32" i="105"/>
  <c r="Q32" i="105"/>
  <c r="M32" i="105"/>
  <c r="J32" i="105"/>
  <c r="F32" i="105"/>
  <c r="AP31" i="105"/>
  <c r="AM31" i="105"/>
  <c r="AJ31" i="105"/>
  <c r="AG31" i="105"/>
  <c r="AD31" i="105"/>
  <c r="AA31" i="105"/>
  <c r="X31" i="105"/>
  <c r="Q31" i="105"/>
  <c r="M31" i="105"/>
  <c r="J31" i="105"/>
  <c r="F31" i="105"/>
  <c r="AP30" i="105"/>
  <c r="AM30" i="105"/>
  <c r="AJ30" i="105"/>
  <c r="AG30" i="105"/>
  <c r="AD30" i="105"/>
  <c r="AA30" i="105"/>
  <c r="X30" i="105"/>
  <c r="T30" i="105"/>
  <c r="Q30" i="105"/>
  <c r="M30" i="105"/>
  <c r="J30" i="105"/>
  <c r="F30" i="105"/>
  <c r="AP29" i="105"/>
  <c r="AM29" i="105"/>
  <c r="AJ29" i="105"/>
  <c r="AG29" i="105"/>
  <c r="AD29" i="105"/>
  <c r="AA29" i="105"/>
  <c r="X29" i="105"/>
  <c r="T29" i="105"/>
  <c r="Q29" i="105"/>
  <c r="J29" i="105"/>
  <c r="F29" i="105"/>
  <c r="AP28" i="105"/>
  <c r="AP27" i="105"/>
  <c r="AP26" i="105"/>
  <c r="AM26" i="105"/>
  <c r="AJ26" i="105"/>
  <c r="AA26" i="105"/>
  <c r="X26" i="105"/>
  <c r="T26" i="105"/>
  <c r="Q26" i="105"/>
  <c r="M26" i="105"/>
  <c r="F26" i="105"/>
  <c r="AP25" i="105"/>
  <c r="AM25" i="105"/>
  <c r="AJ25" i="105"/>
  <c r="AG25" i="105"/>
  <c r="AD25" i="105"/>
  <c r="AA25" i="105"/>
  <c r="X25" i="105"/>
  <c r="T25" i="105"/>
  <c r="Q25" i="105"/>
  <c r="M25" i="105"/>
  <c r="J25" i="105"/>
  <c r="F25" i="105"/>
  <c r="AP24" i="105"/>
  <c r="AM24" i="105"/>
  <c r="AJ24" i="105"/>
  <c r="AD24" i="105"/>
  <c r="AA24" i="105"/>
  <c r="X24" i="105"/>
  <c r="T24" i="105"/>
  <c r="Q24" i="105"/>
  <c r="J24" i="105"/>
  <c r="F24" i="105"/>
  <c r="AP23" i="105"/>
  <c r="AM23" i="105"/>
  <c r="AJ23" i="105"/>
  <c r="AG23" i="105"/>
  <c r="AD23" i="105"/>
  <c r="X23" i="105"/>
  <c r="Q23" i="105"/>
  <c r="J23" i="105"/>
  <c r="F23" i="105"/>
  <c r="AP22" i="105"/>
  <c r="AM22" i="105"/>
  <c r="AJ22" i="105"/>
  <c r="AG22" i="105"/>
  <c r="AD22" i="105"/>
  <c r="Q22" i="105"/>
  <c r="J22" i="105"/>
  <c r="AP21" i="105"/>
  <c r="AM21" i="105"/>
  <c r="AJ21" i="105"/>
  <c r="AG21" i="105"/>
  <c r="AD21" i="105"/>
  <c r="T21" i="105"/>
  <c r="AP20" i="105"/>
  <c r="AD20" i="105"/>
  <c r="X20" i="105"/>
  <c r="J20" i="105"/>
  <c r="F20" i="105"/>
  <c r="AP19" i="105"/>
  <c r="AJ19" i="105"/>
  <c r="AD19" i="105"/>
  <c r="F19" i="105"/>
  <c r="AP18" i="105"/>
  <c r="AM18" i="105"/>
  <c r="AJ18" i="105"/>
  <c r="AG18" i="105"/>
  <c r="AD18" i="105"/>
  <c r="AA18" i="105"/>
  <c r="X18" i="105"/>
  <c r="T18" i="105"/>
  <c r="Q18" i="105"/>
  <c r="M18" i="105"/>
  <c r="J18" i="105"/>
  <c r="F18" i="105"/>
  <c r="AP17" i="105"/>
  <c r="AM17" i="105"/>
  <c r="AJ17" i="105"/>
  <c r="AG17" i="105"/>
  <c r="AD17" i="105"/>
  <c r="AA17" i="105"/>
  <c r="X17" i="105"/>
  <c r="T17" i="105"/>
  <c r="Q17" i="105"/>
  <c r="M17" i="105"/>
  <c r="J17" i="105"/>
  <c r="F17" i="105"/>
  <c r="AP16" i="105"/>
  <c r="AM16" i="105"/>
  <c r="AD16" i="105"/>
  <c r="X16" i="105"/>
  <c r="T16" i="105"/>
  <c r="Q16" i="105"/>
  <c r="AP15" i="105"/>
  <c r="AM15" i="105"/>
  <c r="AJ15" i="105"/>
  <c r="AG15" i="105"/>
  <c r="AD15" i="105"/>
  <c r="AA15" i="105"/>
  <c r="X15" i="105"/>
  <c r="T15" i="105"/>
  <c r="Q15" i="105"/>
  <c r="M15" i="105"/>
  <c r="J15" i="105"/>
  <c r="F15" i="105"/>
  <c r="AP14" i="105"/>
  <c r="AM14" i="105"/>
  <c r="AJ14" i="105"/>
  <c r="AD14" i="105"/>
  <c r="X14" i="105"/>
  <c r="T14" i="105"/>
  <c r="Q14" i="105"/>
  <c r="AP13" i="105"/>
  <c r="AM13" i="105"/>
  <c r="AJ13" i="105"/>
  <c r="AG13" i="105"/>
  <c r="AD13" i="105"/>
  <c r="X13" i="105"/>
  <c r="Q13" i="105"/>
  <c r="J13" i="105"/>
  <c r="AP12" i="105"/>
  <c r="AM12" i="105"/>
  <c r="AJ12" i="105"/>
  <c r="AD12" i="105"/>
  <c r="J12" i="105"/>
  <c r="AP11" i="105"/>
  <c r="J11" i="105"/>
  <c r="F11" i="105"/>
  <c r="AP10" i="105"/>
  <c r="AM10" i="105"/>
  <c r="AJ10" i="105"/>
  <c r="AG10" i="105"/>
  <c r="AD10" i="105"/>
  <c r="AA10" i="105"/>
  <c r="X10" i="105"/>
  <c r="T10" i="105"/>
  <c r="Q10" i="105"/>
  <c r="J10" i="105"/>
  <c r="F10" i="105"/>
  <c r="AP9" i="105"/>
  <c r="AM9" i="105"/>
  <c r="X9" i="105"/>
  <c r="Q9" i="105"/>
  <c r="J9" i="105"/>
  <c r="AP8" i="105"/>
  <c r="AM8" i="105"/>
  <c r="AJ8" i="105"/>
  <c r="AD8" i="105"/>
  <c r="X8" i="105"/>
  <c r="Q8" i="105"/>
  <c r="AP7" i="105"/>
  <c r="AM7" i="105"/>
  <c r="AJ7" i="105"/>
  <c r="AG7" i="105"/>
  <c r="AD7" i="105"/>
  <c r="AA7" i="105"/>
  <c r="X7" i="105"/>
  <c r="T7" i="105"/>
  <c r="Q7" i="105"/>
  <c r="M7" i="105"/>
  <c r="J7" i="105"/>
  <c r="F7" i="105"/>
  <c r="AP6" i="105"/>
  <c r="AM6" i="105"/>
  <c r="AJ6" i="105"/>
  <c r="AG6" i="105"/>
  <c r="AD6" i="105"/>
  <c r="AA6" i="105"/>
  <c r="X6" i="105"/>
  <c r="T6" i="105"/>
  <c r="Q6" i="105"/>
  <c r="M6" i="105"/>
  <c r="J6" i="105"/>
  <c r="F6" i="105"/>
  <c r="AP5" i="105"/>
  <c r="AP62" i="105" s="1"/>
  <c r="AM5" i="105"/>
  <c r="AJ5" i="105"/>
  <c r="AD5" i="105"/>
  <c r="X5" i="105"/>
  <c r="T5" i="105"/>
  <c r="Q5" i="105"/>
  <c r="M5" i="105"/>
  <c r="AQ139" i="105" l="1"/>
  <c r="AS139" i="105"/>
  <c r="X62" i="105"/>
  <c r="M62" i="105"/>
  <c r="AD62" i="105"/>
  <c r="F62" i="105"/>
  <c r="AG62" i="105"/>
  <c r="AJ62" i="105"/>
  <c r="J62" i="105"/>
  <c r="T62" i="105"/>
  <c r="AM62" i="105"/>
  <c r="AA62" i="105"/>
  <c r="Q62" i="105"/>
  <c r="H62" i="103"/>
  <c r="I62" i="103"/>
  <c r="D62" i="103" l="1"/>
  <c r="E62" i="103"/>
</calcChain>
</file>

<file path=xl/sharedStrings.xml><?xml version="1.0" encoding="utf-8"?>
<sst xmlns="http://schemas.openxmlformats.org/spreadsheetml/2006/main" count="324" uniqueCount="148">
  <si>
    <t>No.</t>
  </si>
  <si>
    <t>Total</t>
  </si>
  <si>
    <t>Remark</t>
  </si>
  <si>
    <t>Description</t>
  </si>
  <si>
    <t>Qty</t>
  </si>
  <si>
    <t>Amount</t>
  </si>
  <si>
    <t>6.00-14 (8PR) With Tube (Lug)</t>
  </si>
  <si>
    <t>Sale Price</t>
  </si>
  <si>
    <t>7.00-16 (14PR) With Tube &amp; Flap (Rib)</t>
  </si>
  <si>
    <t>7.00-16 (14PR) With Tube &amp; Flap (Lug)</t>
  </si>
  <si>
    <t>7.50-16 (16PR) With Tube &amp; Flap (Rib)</t>
  </si>
  <si>
    <t>6.50-16 (12PR) With Tube &amp; Flap (Lug)</t>
  </si>
  <si>
    <t>5.50-13 (12PR) With Tube (Lug)</t>
  </si>
  <si>
    <t>6.00-15 (10PR) With Tube (Rib)</t>
  </si>
  <si>
    <t>7.00-15 (14PR) With Tube &amp; Flap (Rib)</t>
  </si>
  <si>
    <t>8.25-16 (18PR) With Tube &amp; Flap (Lug)737</t>
  </si>
  <si>
    <t>5.00-12 (12PR) With Tube (Lug) 747</t>
  </si>
  <si>
    <t>7.50-15 (16PR) With Tube &amp; Flap (Rib)</t>
  </si>
  <si>
    <t>6.00-15 (10PR) With Tube (Lug)</t>
  </si>
  <si>
    <t>7.00-15 (10PR) With Tube (Grip)</t>
  </si>
  <si>
    <t>5.00-12 (10PR) With Tube (R/L)</t>
  </si>
  <si>
    <t>6.00-13 (10PR) With Tube (Lug)</t>
  </si>
  <si>
    <t>7.00-16 (12PR) With Tube (Grip)</t>
  </si>
  <si>
    <t>6.00-13 (10PR) With Tube (Rib)</t>
  </si>
  <si>
    <t>6.50-16 (12PR) With Tube &amp; Flap (Rib)</t>
  </si>
  <si>
    <t>5.00-12 (8PR) With Tube (Rib)</t>
  </si>
  <si>
    <t>5.50-13 (8PR) With Tube (Rib)</t>
  </si>
  <si>
    <t>6.00-14 (8PR) With Tube (Rib)</t>
  </si>
  <si>
    <t>6.50-14 (10PR) With Tube (Rib)</t>
  </si>
  <si>
    <t>8.25-20 (16PR) With Tube &amp; Flap (Rib)</t>
  </si>
  <si>
    <t>6.00-13 (8PR) With Tube (Rib) H.W</t>
  </si>
  <si>
    <t>9.00-20 (16PR) With Tube &amp; Flap (Rib)</t>
  </si>
  <si>
    <t>Code</t>
  </si>
  <si>
    <t>001</t>
  </si>
  <si>
    <t>003</t>
  </si>
  <si>
    <t>006</t>
  </si>
  <si>
    <t>007</t>
  </si>
  <si>
    <t>011</t>
  </si>
  <si>
    <t>013</t>
  </si>
  <si>
    <t>014</t>
  </si>
  <si>
    <t>019</t>
  </si>
  <si>
    <t>015</t>
  </si>
  <si>
    <t>016</t>
  </si>
  <si>
    <t>020</t>
  </si>
  <si>
    <t>021</t>
  </si>
  <si>
    <t>022</t>
  </si>
  <si>
    <t>025</t>
  </si>
  <si>
    <t>026</t>
  </si>
  <si>
    <t>027</t>
  </si>
  <si>
    <t>028</t>
  </si>
  <si>
    <t>029</t>
  </si>
  <si>
    <t>031</t>
  </si>
  <si>
    <t>032</t>
  </si>
  <si>
    <t>036</t>
  </si>
  <si>
    <t>040</t>
  </si>
  <si>
    <t>043</t>
  </si>
  <si>
    <t>045</t>
  </si>
  <si>
    <t>046</t>
  </si>
  <si>
    <t>047</t>
  </si>
  <si>
    <t>049</t>
  </si>
  <si>
    <t>050</t>
  </si>
  <si>
    <t>051</t>
  </si>
  <si>
    <t>055</t>
  </si>
  <si>
    <t>002</t>
  </si>
  <si>
    <t>053</t>
  </si>
  <si>
    <t>005</t>
  </si>
  <si>
    <t>009</t>
  </si>
  <si>
    <t>008</t>
  </si>
  <si>
    <t>010</t>
  </si>
  <si>
    <t>004</t>
  </si>
  <si>
    <t>012</t>
  </si>
  <si>
    <t>034</t>
  </si>
  <si>
    <t>017</t>
  </si>
  <si>
    <t>018</t>
  </si>
  <si>
    <t>042</t>
  </si>
  <si>
    <t>056</t>
  </si>
  <si>
    <t>030</t>
  </si>
  <si>
    <t>033</t>
  </si>
  <si>
    <t>035</t>
  </si>
  <si>
    <t>037</t>
  </si>
  <si>
    <t>039</t>
  </si>
  <si>
    <t>038</t>
  </si>
  <si>
    <t>023</t>
  </si>
  <si>
    <t>024</t>
  </si>
  <si>
    <t>041</t>
  </si>
  <si>
    <t>044</t>
  </si>
  <si>
    <t>048</t>
  </si>
  <si>
    <t>052</t>
  </si>
  <si>
    <t>054</t>
  </si>
  <si>
    <t>057</t>
  </si>
  <si>
    <t>Sale (H1-2021)
Total</t>
  </si>
  <si>
    <t>6.00-12 (8PR) With Tube (AG) 555</t>
  </si>
  <si>
    <t>6.00-16 (10PR) With Tube (AG) 555</t>
  </si>
  <si>
    <t>6.50-15 (12PR) With Tube (Rib)</t>
  </si>
  <si>
    <t>6.50-15 (12PR) With Tube (Lug)</t>
  </si>
  <si>
    <t>7.00-16 (12PR) With Tube &amp; Flap (Rib) H.W</t>
  </si>
  <si>
    <t>7.00-16 (12PR) With Tube &amp; Flap (Rib) 727</t>
  </si>
  <si>
    <t>7.50-16 (16PR) With Tube &amp; Flap (Lug) 713</t>
  </si>
  <si>
    <t>7.50-16 (16PR) With Tube &amp; Flap (Lug) 747</t>
  </si>
  <si>
    <t>8.25-16 (14PR) With Tube &amp; Flap (Rib) H.W</t>
  </si>
  <si>
    <t>8.25-16 (18PR) With Tube &amp; Flap (Lug) 713</t>
  </si>
  <si>
    <t>8.25-16 (18PR) With Tube &amp; Flap (Lug) 747</t>
  </si>
  <si>
    <t>8.25-16 (18PR) With Tube &amp; Flap (Lug) 737</t>
  </si>
  <si>
    <t>6.50-20 (8PR) With Tube (AG) 575</t>
  </si>
  <si>
    <t>8.25-20 (18PR) With Tube &amp; Flap (Lug) 747</t>
  </si>
  <si>
    <t>8.25-20 (18PR) With Tube &amp; Flap (Lug) 737</t>
  </si>
  <si>
    <t>9.00-20 (16PR) With Tube &amp; Flap (Lug) 746</t>
  </si>
  <si>
    <t>9.00-20 (18PR) With Tube &amp; Flap (Lug) 747</t>
  </si>
  <si>
    <t>9.00-20 (18PR) With Tube &amp; Flap (Lug) 737</t>
  </si>
  <si>
    <t>7.50-16 (10PR) With Tube (AG) 555</t>
  </si>
  <si>
    <t>11.00-20 (18PR) With Tube &amp; Flap (Lug) 747</t>
  </si>
  <si>
    <t>10.00-20 (18PR) With Tube &amp; Flap (Lug) 747</t>
  </si>
  <si>
    <t>9.5-24 (8PR) With Tube (AG) 357</t>
  </si>
  <si>
    <t>4.00-8 (6PR) With Tube (Lug) (713)</t>
  </si>
  <si>
    <t>12.4-24 (8PR) With Tube (AG) 357</t>
  </si>
  <si>
    <t>12.4-24 (12PR) With Tube (AG) 357</t>
  </si>
  <si>
    <t>10.00-20 (18PR) With Tube &amp; Flap (Lug) 737</t>
  </si>
  <si>
    <t>4.00-8 (6PR) With Tube (Rib) (748)</t>
  </si>
  <si>
    <t>8.3-24 (8PR) With Tube (AG) 357</t>
  </si>
  <si>
    <t>11.2-24 (8PR) With Tube (AG) 135</t>
  </si>
  <si>
    <t>11.2-24 (12PR) With Tube (AG) 135</t>
  </si>
  <si>
    <t>8.00-18 (8PR) With Tube (AG) 555</t>
  </si>
  <si>
    <t>9.5-24 (12PR) With Tube (AG) 357</t>
  </si>
  <si>
    <t>7.50-16 (14PR) With Tube (Grip) (YT-723)</t>
  </si>
  <si>
    <t>Sale (H1-2022)
Total</t>
  </si>
  <si>
    <t>216500
228500</t>
  </si>
  <si>
    <t>40700
45000</t>
  </si>
  <si>
    <t>45000
47500</t>
  </si>
  <si>
    <t>53000
55500</t>
  </si>
  <si>
    <t>53500
56000</t>
  </si>
  <si>
    <t>60000
69500</t>
  </si>
  <si>
    <t>65500
69000</t>
  </si>
  <si>
    <t>72000
75500</t>
  </si>
  <si>
    <t>76000
80000</t>
  </si>
  <si>
    <t>95000
100000</t>
  </si>
  <si>
    <t>96000
101000</t>
  </si>
  <si>
    <t>114000
120000</t>
  </si>
  <si>
    <t>106700
118000
124000</t>
  </si>
  <si>
    <t>139000
146000</t>
  </si>
  <si>
    <t>148000
155500</t>
  </si>
  <si>
    <t>185000
194000</t>
  </si>
  <si>
    <t>42400
47000</t>
  </si>
  <si>
    <t>47000
49500</t>
  </si>
  <si>
    <t>45000
47000</t>
  </si>
  <si>
    <r>
      <t xml:space="preserve">Yangon Tyre (Nylon) Sale U Tommy </t>
    </r>
    <r>
      <rPr>
        <b/>
        <sz val="10"/>
        <color rgb="FF00B050"/>
        <rFont val="Pyidaungsu "/>
      </rPr>
      <t>{ 2021 &amp; (H1-2022)  } Compare</t>
    </r>
  </si>
  <si>
    <t>Sale (H2-2021)
Total</t>
  </si>
  <si>
    <t>Date-14-7-2022</t>
  </si>
  <si>
    <r>
      <t xml:space="preserve">Yangon Tyre (Nylon) Sale U Tommy </t>
    </r>
    <r>
      <rPr>
        <b/>
        <sz val="11"/>
        <color rgb="FF00B050"/>
        <rFont val="Pyidaungsu"/>
        <family val="2"/>
      </rPr>
      <t>{ (2021) &amp; (H1-2022) } Compare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</si>
</sst>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&quot;$&quot;* #,##0.0_);_(&quot;$&quot;* \(#,##0.0\);_(&quot;$&quot;* &quot;-&quot;?_);_(@_)"/>
    <numFmt numFmtId="167" formatCode="mmmm\-yyyy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Pyidaungsu"/>
      <family val="2"/>
    </font>
    <font>
      <sz val="11"/>
      <color rgb="FF1A10DE"/>
      <name val="Pyidaungsu"/>
      <family val="2"/>
    </font>
    <font>
      <sz val="10"/>
      <color rgb="FF1A10DE"/>
      <name val="Pyidaungsu"/>
      <family val="2"/>
    </font>
    <font>
      <b/>
      <sz val="11"/>
      <color rgb="FF1A10DE"/>
      <name val="Pyidaungsu"/>
      <family val="2"/>
    </font>
    <font>
      <b/>
      <sz val="10"/>
      <color rgb="FF1A10DE"/>
      <name val="Pyidaungsu"/>
      <family val="2"/>
    </font>
    <font>
      <b/>
      <sz val="10"/>
      <color rgb="FFFF0000"/>
      <name val="Pyidaungsu"/>
      <family val="2"/>
    </font>
    <font>
      <b/>
      <sz val="10"/>
      <color rgb="FF1A10DE"/>
      <name val="Pyidaungsu "/>
    </font>
    <font>
      <b/>
      <sz val="10"/>
      <color rgb="FFFF0000"/>
      <name val="Pyidaungsu "/>
    </font>
    <font>
      <sz val="10"/>
      <color rgb="FF1A10DE"/>
      <name val="Pyidaungsu "/>
    </font>
    <font>
      <sz val="10"/>
      <color rgb="FFFF0000"/>
      <name val="Pyidaungsu "/>
    </font>
    <font>
      <b/>
      <sz val="11"/>
      <color rgb="FF00B050"/>
      <name val="Pyidaungsu"/>
      <family val="2"/>
    </font>
    <font>
      <b/>
      <sz val="11"/>
      <color rgb="FF0000CC"/>
      <name val="Pyidaungsu"/>
      <family val="2"/>
    </font>
    <font>
      <sz val="11"/>
      <color rgb="FF0000CC"/>
      <name val="Pyidaungsu"/>
      <family val="2"/>
    </font>
    <font>
      <b/>
      <sz val="10"/>
      <color rgb="FF00B050"/>
      <name val="Pyidaungsu "/>
    </font>
    <font>
      <sz val="10"/>
      <color rgb="FF0000CC"/>
      <name val="Pyidaungsu"/>
      <family val="2"/>
    </font>
    <font>
      <b/>
      <sz val="10"/>
      <color rgb="FF0000CC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40">
    <xf numFmtId="0" fontId="0" fillId="0" borderId="0" xfId="0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164" fontId="5" fillId="0" borderId="2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9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 wrapText="1"/>
    </xf>
    <xf numFmtId="49" fontId="4" fillId="0" borderId="0" xfId="0" applyNumberFormat="1" applyFont="1" applyFill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vertical="center" wrapText="1" readingOrder="1"/>
    </xf>
    <xf numFmtId="0" fontId="9" fillId="0" borderId="0" xfId="0" applyFont="1" applyFill="1" applyAlignment="1">
      <alignment vertical="center"/>
    </xf>
    <xf numFmtId="164" fontId="11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4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64" fontId="12" fillId="0" borderId="1" xfId="1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164" fontId="10" fillId="0" borderId="2" xfId="1" applyNumberFormat="1" applyFont="1" applyFill="1" applyBorder="1" applyAlignment="1">
      <alignment horizontal="center" vertical="center" wrapText="1" readingOrder="1"/>
    </xf>
    <xf numFmtId="49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vertical="center" wrapText="1" readingOrder="1"/>
    </xf>
    <xf numFmtId="164" fontId="3" fillId="0" borderId="2" xfId="1" applyNumberFormat="1" applyFont="1" applyFill="1" applyBorder="1" applyAlignment="1">
      <alignment horizontal="right" vertical="center" wrapText="1" readingOrder="1"/>
    </xf>
    <xf numFmtId="3" fontId="5" fillId="0" borderId="2" xfId="0" applyNumberFormat="1" applyFont="1" applyFill="1" applyBorder="1" applyAlignment="1">
      <alignment horizontal="right" vertical="center" wrapText="1" readingOrder="1"/>
    </xf>
    <xf numFmtId="164" fontId="3" fillId="0" borderId="2" xfId="1" applyNumberFormat="1" applyFont="1" applyFill="1" applyBorder="1" applyAlignment="1">
      <alignment horizontal="center" vertical="center" wrapText="1" readingOrder="1"/>
    </xf>
    <xf numFmtId="164" fontId="3" fillId="0" borderId="2" xfId="1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49" fontId="5" fillId="0" borderId="0" xfId="0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right"/>
    </xf>
    <xf numFmtId="0" fontId="3" fillId="0" borderId="0" xfId="0" applyFont="1" applyFill="1"/>
    <xf numFmtId="164" fontId="5" fillId="0" borderId="0" xfId="0" applyNumberFormat="1" applyFont="1" applyFill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37" fontId="3" fillId="0" borderId="0" xfId="1" applyNumberFormat="1" applyFont="1" applyFill="1" applyBorder="1" applyAlignment="1">
      <alignment horizontal="center" vertical="center"/>
    </xf>
    <xf numFmtId="37" fontId="3" fillId="0" borderId="0" xfId="0" applyNumberFormat="1" applyFont="1" applyFill="1" applyBorder="1" applyAlignment="1">
      <alignment horizontal="center" vertical="center"/>
    </xf>
    <xf numFmtId="37" fontId="3" fillId="0" borderId="0" xfId="0" applyNumberFormat="1" applyFont="1" applyFill="1" applyAlignment="1">
      <alignment horizontal="center" vertical="center"/>
    </xf>
    <xf numFmtId="37" fontId="3" fillId="0" borderId="0" xfId="0" applyNumberFormat="1" applyFont="1" applyAlignment="1">
      <alignment horizontal="center"/>
    </xf>
    <xf numFmtId="164" fontId="5" fillId="0" borderId="0" xfId="0" applyNumberFormat="1" applyFont="1" applyFill="1" applyBorder="1" applyAlignment="1">
      <alignment horizontal="center" vertical="center"/>
    </xf>
    <xf numFmtId="17" fontId="11" fillId="0" borderId="1" xfId="0" applyNumberFormat="1" applyFont="1" applyFill="1" applyBorder="1" applyAlignment="1">
      <alignment vertical="center"/>
    </xf>
    <xf numFmtId="0" fontId="11" fillId="0" borderId="2" xfId="0" applyNumberFormat="1" applyFont="1" applyFill="1" applyBorder="1" applyAlignment="1">
      <alignment horizontal="center" vertical="center" wrapText="1" readingOrder="1"/>
    </xf>
    <xf numFmtId="164" fontId="12" fillId="0" borderId="2" xfId="1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37" fontId="8" fillId="2" borderId="2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37" fontId="3" fillId="2" borderId="2" xfId="0" applyNumberFormat="1" applyFont="1" applyFill="1" applyBorder="1" applyAlignment="1">
      <alignment horizontal="center" vertical="center" wrapText="1" readingOrder="1"/>
    </xf>
    <xf numFmtId="3" fontId="5" fillId="2" borderId="2" xfId="0" applyNumberFormat="1" applyFont="1" applyFill="1" applyBorder="1" applyAlignment="1">
      <alignment horizontal="right" vertical="center" wrapText="1" readingOrder="1"/>
    </xf>
    <xf numFmtId="0" fontId="5" fillId="2" borderId="3" xfId="0" applyNumberFormat="1" applyFont="1" applyFill="1" applyBorder="1" applyAlignment="1">
      <alignment horizontal="center" vertical="center" wrapText="1" readingOrder="1"/>
    </xf>
    <xf numFmtId="37" fontId="3" fillId="2" borderId="3" xfId="0" applyNumberFormat="1" applyFont="1" applyFill="1" applyBorder="1" applyAlignment="1">
      <alignment horizontal="center" vertical="center" wrapText="1" readingOrder="1"/>
    </xf>
    <xf numFmtId="3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2" xfId="0" applyFont="1" applyFill="1" applyBorder="1" applyAlignment="1">
      <alignment vertical="center"/>
    </xf>
    <xf numFmtId="37" fontId="3" fillId="2" borderId="2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37" fontId="3" fillId="2" borderId="0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vertical="center"/>
    </xf>
    <xf numFmtId="0" fontId="5" fillId="2" borderId="2" xfId="1" applyNumberFormat="1" applyFont="1" applyFill="1" applyBorder="1" applyAlignment="1">
      <alignment horizontal="center" vertical="center" wrapText="1" readingOrder="1"/>
    </xf>
    <xf numFmtId="3" fontId="5" fillId="2" borderId="2" xfId="0" applyNumberFormat="1" applyFont="1" applyFill="1" applyBorder="1" applyAlignment="1">
      <alignment vertical="center" wrapText="1" readingOrder="1"/>
    </xf>
    <xf numFmtId="0" fontId="5" fillId="2" borderId="2" xfId="0" applyFont="1" applyFill="1" applyBorder="1" applyAlignment="1">
      <alignment horizontal="center"/>
    </xf>
    <xf numFmtId="37" fontId="3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3" fontId="5" fillId="2" borderId="2" xfId="0" applyNumberFormat="1" applyFont="1" applyFill="1" applyBorder="1"/>
    <xf numFmtId="0" fontId="9" fillId="2" borderId="2" xfId="0" applyNumberFormat="1" applyFont="1" applyFill="1" applyBorder="1" applyAlignment="1">
      <alignment horizontal="center" vertical="center" wrapText="1" readingOrder="1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164" fontId="3" fillId="2" borderId="2" xfId="1" applyNumberFormat="1" applyFont="1" applyFill="1" applyBorder="1" applyAlignment="1">
      <alignment horizontal="right" vertical="center" wrapText="1" readingOrder="1"/>
    </xf>
    <xf numFmtId="0" fontId="4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7" fontId="6" fillId="0" borderId="2" xfId="0" applyNumberFormat="1" applyFont="1" applyFill="1" applyBorder="1" applyAlignment="1">
      <alignment horizontal="center" vertical="center" wrapText="1"/>
    </xf>
    <xf numFmtId="37" fontId="4" fillId="0" borderId="2" xfId="0" applyNumberFormat="1" applyFont="1" applyFill="1" applyBorder="1" applyAlignment="1">
      <alignment horizontal="center" vertical="center" wrapText="1"/>
    </xf>
    <xf numFmtId="37" fontId="4" fillId="0" borderId="0" xfId="0" applyNumberFormat="1" applyFont="1" applyFill="1" applyAlignment="1">
      <alignment horizontal="center" vertical="center"/>
    </xf>
    <xf numFmtId="37" fontId="4" fillId="0" borderId="2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37" fontId="4" fillId="0" borderId="0" xfId="0" applyNumberFormat="1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>
      <alignment horizontal="right" vertical="center" wrapText="1" readingOrder="1"/>
    </xf>
    <xf numFmtId="0" fontId="5" fillId="0" borderId="2" xfId="0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4" fillId="0" borderId="2" xfId="0" applyNumberFormat="1" applyFont="1" applyFill="1" applyBorder="1" applyAlignment="1">
      <alignment horizontal="center" vertical="center" wrapText="1" readingOrder="1"/>
    </xf>
    <xf numFmtId="0" fontId="15" fillId="0" borderId="2" xfId="0" applyNumberFormat="1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right" vertical="center" wrapText="1" readingOrder="1"/>
    </xf>
    <xf numFmtId="0" fontId="15" fillId="0" borderId="0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 wrapText="1" readingOrder="1"/>
    </xf>
    <xf numFmtId="0" fontId="5" fillId="0" borderId="3" xfId="0" applyFont="1" applyFill="1" applyBorder="1" applyAlignment="1">
      <alignment horizontal="left" vertical="center" wrapText="1"/>
    </xf>
    <xf numFmtId="0" fontId="17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8" fillId="0" borderId="1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8" fillId="0" borderId="2" xfId="0" applyNumberFormat="1" applyFont="1" applyFill="1" applyBorder="1" applyAlignment="1">
      <alignment horizontal="center" vertical="center" wrapText="1" readingOrder="1"/>
    </xf>
    <xf numFmtId="0" fontId="8" fillId="0" borderId="2" xfId="0" applyNumberFormat="1" applyFont="1" applyFill="1" applyBorder="1" applyAlignment="1">
      <alignment horizontal="center" vertical="center" wrapText="1" readingOrder="1"/>
    </xf>
    <xf numFmtId="0" fontId="17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3" fontId="17" fillId="0" borderId="2" xfId="0" applyNumberFormat="1" applyFont="1" applyFill="1" applyBorder="1" applyAlignment="1">
      <alignment horizontal="right" vertical="center" wrapText="1" readingOrder="1"/>
    </xf>
    <xf numFmtId="0" fontId="17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8" fillId="0" borderId="2" xfId="1" applyNumberFormat="1" applyFont="1" applyFill="1" applyBorder="1" applyAlignment="1">
      <alignment horizontal="center" vertical="center" wrapText="1" readingOrder="1"/>
    </xf>
    <xf numFmtId="3" fontId="18" fillId="0" borderId="2" xfId="0" applyNumberFormat="1" applyFont="1" applyFill="1" applyBorder="1" applyAlignment="1">
      <alignment vertical="center" wrapText="1" readingOrder="1"/>
    </xf>
    <xf numFmtId="0" fontId="1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8" fillId="0" borderId="0" xfId="1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 applyBorder="1" applyAlignment="1">
      <alignment horizontal="center" vertical="center" wrapText="1" readingOrder="1"/>
    </xf>
    <xf numFmtId="164" fontId="18" fillId="0" borderId="0" xfId="1" applyNumberFormat="1" applyFont="1" applyFill="1" applyBorder="1" applyAlignment="1">
      <alignment horizontal="right" vertical="center" wrapText="1" readingOrder="1"/>
    </xf>
    <xf numFmtId="3" fontId="14" fillId="0" borderId="2" xfId="0" applyNumberFormat="1" applyFont="1" applyFill="1" applyBorder="1" applyAlignment="1">
      <alignment vertical="center"/>
    </xf>
    <xf numFmtId="167" fontId="9" fillId="0" borderId="2" xfId="0" applyNumberFormat="1" applyFont="1" applyFill="1" applyBorder="1" applyAlignment="1">
      <alignment horizontal="center" vertical="center" wrapText="1" readingOrder="1"/>
    </xf>
    <xf numFmtId="167" fontId="7" fillId="2" borderId="2" xfId="0" applyNumberFormat="1" applyFont="1" applyFill="1" applyBorder="1" applyAlignment="1">
      <alignment horizontal="center" vertical="center"/>
    </xf>
    <xf numFmtId="167" fontId="18" fillId="0" borderId="2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7" fontId="9" fillId="2" borderId="2" xfId="0" applyNumberFormat="1" applyFont="1" applyFill="1" applyBorder="1" applyAlignment="1">
      <alignment horizontal="center" vertical="center" wrapText="1" readingOrder="1"/>
    </xf>
    <xf numFmtId="0" fontId="9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 readingOrder="1"/>
    </xf>
    <xf numFmtId="0" fontId="9" fillId="0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7" fontId="6" fillId="0" borderId="2" xfId="0" applyNumberFormat="1" applyFont="1" applyFill="1" applyBorder="1" applyAlignment="1">
      <alignment horizontal="center" vertical="center" wrapText="1"/>
    </xf>
    <xf numFmtId="167" fontId="6" fillId="0" borderId="2" xfId="0" applyNumberFormat="1" applyFont="1" applyFill="1" applyBorder="1" applyAlignment="1">
      <alignment horizontal="center" vertical="center"/>
    </xf>
    <xf numFmtId="167" fontId="6" fillId="0" borderId="2" xfId="0" applyNumberFormat="1" applyFont="1" applyFill="1" applyBorder="1" applyAlignment="1">
      <alignment horizontal="center" vertical="center" wrapText="1" readingOrder="1"/>
    </xf>
    <xf numFmtId="0" fontId="6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right" vertical="center"/>
    </xf>
    <xf numFmtId="167" fontId="14" fillId="0" borderId="2" xfId="0" applyNumberFormat="1" applyFont="1" applyFill="1" applyBorder="1" applyAlignment="1">
      <alignment horizontal="center" vertical="center" wrapText="1"/>
    </xf>
    <xf numFmtId="167" fontId="14" fillId="0" borderId="2" xfId="0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2"/>
    <cellStyle name="Comma 2 2" xfId="4"/>
    <cellStyle name="Comma 2 3" xfId="5"/>
    <cellStyle name="Normal" xfId="0" builtinId="0"/>
    <cellStyle name="Style 1" xfId="3"/>
  </cellStyles>
  <dxfs count="0"/>
  <tableStyles count="0" defaultTableStyle="TableStyleMedium2" defaultPivotStyle="PivotStyleLight16"/>
  <colors>
    <mruColors>
      <color rgb="FF1A10DE"/>
      <color rgb="FF3F0FEF"/>
      <color rgb="FF009900"/>
      <color rgb="FF006600"/>
      <color rgb="FF99FF33"/>
      <color rgb="FFFFFF99"/>
      <color rgb="FFCCFFCC"/>
      <color rgb="FFFFFFCC"/>
      <color rgb="FFFFFFFF"/>
      <color rgb="FF749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H167"/>
  <sheetViews>
    <sheetView workbookViewId="0">
      <selection activeCell="E10" sqref="E10"/>
    </sheetView>
  </sheetViews>
  <sheetFormatPr defaultColWidth="9.140625" defaultRowHeight="17.25"/>
  <cols>
    <col min="1" max="1" width="4" style="32" customWidth="1"/>
    <col min="2" max="2" width="5.42578125" style="33" customWidth="1"/>
    <col min="3" max="3" width="35.5703125" style="7" customWidth="1"/>
    <col min="4" max="4" width="5.7109375" style="8" customWidth="1"/>
    <col min="5" max="5" width="7.5703125" style="34" customWidth="1"/>
    <col min="6" max="6" width="9.7109375" style="32" customWidth="1"/>
    <col min="7" max="7" width="10.5703125" style="32" customWidth="1"/>
    <col min="8" max="8" width="6.140625" style="37" customWidth="1"/>
    <col min="9" max="9" width="8.140625" style="42" customWidth="1"/>
    <col min="10" max="10" width="10.7109375" style="38" customWidth="1"/>
    <col min="11" max="11" width="5.7109375" style="32" customWidth="1"/>
    <col min="12" max="12" width="7.5703125" style="35" customWidth="1"/>
    <col min="13" max="13" width="9.7109375" style="32" customWidth="1"/>
    <col min="14" max="14" width="9.140625" style="32" customWidth="1"/>
    <col min="15" max="15" width="6.140625" style="38" customWidth="1"/>
    <col min="16" max="16" width="8.140625" style="42" customWidth="1"/>
    <col min="17" max="17" width="10.7109375" style="38" customWidth="1"/>
    <col min="18" max="18" width="5.7109375" style="32" customWidth="1"/>
    <col min="19" max="19" width="7.5703125" style="35" customWidth="1"/>
    <col min="20" max="20" width="11.140625" style="32" customWidth="1"/>
    <col min="21" max="21" width="9.28515625" style="32" customWidth="1"/>
    <col min="22" max="22" width="6.140625" style="38" customWidth="1"/>
    <col min="23" max="23" width="8.140625" style="42" customWidth="1"/>
    <col min="24" max="24" width="10.7109375" style="38" customWidth="1"/>
    <col min="25" max="25" width="5.7109375" style="32" customWidth="1"/>
    <col min="26" max="26" width="7.5703125" style="35" customWidth="1"/>
    <col min="27" max="27" width="10.85546875" style="32" customWidth="1"/>
    <col min="28" max="28" width="6.140625" style="38" customWidth="1"/>
    <col min="29" max="29" width="8.140625" style="42" customWidth="1"/>
    <col min="30" max="30" width="11.28515625" style="38" customWidth="1"/>
    <col min="31" max="31" width="5.7109375" style="32" customWidth="1"/>
    <col min="32" max="32" width="7.5703125" style="35" customWidth="1"/>
    <col min="33" max="33" width="11.7109375" style="32" customWidth="1"/>
    <col min="34" max="34" width="6.140625" style="38" customWidth="1"/>
    <col min="35" max="35" width="8.140625" style="42" customWidth="1"/>
    <col min="36" max="36" width="10.42578125" style="38" customWidth="1"/>
    <col min="37" max="37" width="5.7109375" style="32" customWidth="1"/>
    <col min="38" max="38" width="7.5703125" style="35" customWidth="1"/>
    <col min="39" max="39" width="9.7109375" style="32" customWidth="1"/>
    <col min="40" max="40" width="5.7109375" style="32" customWidth="1"/>
    <col min="41" max="41" width="7.5703125" style="35" customWidth="1"/>
    <col min="42" max="42" width="9.7109375" style="32" customWidth="1"/>
    <col min="43" max="43" width="5.7109375" style="96" customWidth="1"/>
    <col min="44" max="44" width="7.7109375" style="97" customWidth="1"/>
    <col min="45" max="45" width="12.5703125" style="98" customWidth="1"/>
    <col min="46" max="46" width="5.7109375" style="98" customWidth="1"/>
    <col min="47" max="47" width="7.7109375" style="99" customWidth="1"/>
    <col min="48" max="48" width="12.5703125" style="98" customWidth="1"/>
    <col min="49" max="49" width="5.7109375" style="98" customWidth="1"/>
    <col min="50" max="50" width="7.7109375" style="99" customWidth="1"/>
    <col min="51" max="51" width="12.5703125" style="98" customWidth="1"/>
    <col min="52" max="52" width="5.7109375" style="98" customWidth="1"/>
    <col min="53" max="53" width="7.7109375" style="99" customWidth="1"/>
    <col min="54" max="54" width="12.5703125" style="98" customWidth="1"/>
    <col min="55" max="55" width="5.7109375" style="98" customWidth="1"/>
    <col min="56" max="56" width="7.7109375" style="99" customWidth="1"/>
    <col min="57" max="57" width="12.5703125" style="98" customWidth="1"/>
    <col min="58" max="58" width="5.7109375" style="98" customWidth="1"/>
    <col min="59" max="59" width="7.7109375" style="99" customWidth="1"/>
    <col min="60" max="60" width="12.5703125" style="98" customWidth="1"/>
    <col min="61" max="16384" width="9.140625" style="32"/>
  </cols>
  <sheetData>
    <row r="1" spans="1:60" s="19" customFormat="1" ht="28.5" customHeight="1">
      <c r="A1" s="17" t="s">
        <v>144</v>
      </c>
      <c r="H1" s="43"/>
      <c r="I1" s="39"/>
      <c r="J1" s="36"/>
      <c r="K1" s="18"/>
      <c r="L1" s="23"/>
      <c r="M1" s="18"/>
      <c r="O1" s="7"/>
      <c r="P1" s="41"/>
      <c r="Q1" s="7"/>
      <c r="S1" s="24"/>
      <c r="V1" s="7"/>
      <c r="W1" s="41"/>
      <c r="X1" s="7"/>
      <c r="Z1" s="24"/>
      <c r="AB1" s="7"/>
      <c r="AC1" s="41"/>
      <c r="AD1" s="7"/>
      <c r="AF1" s="24"/>
      <c r="AH1" s="7"/>
      <c r="AI1" s="41"/>
      <c r="AJ1" s="7"/>
      <c r="AL1" s="24"/>
      <c r="AO1" s="24"/>
      <c r="AQ1" s="96"/>
      <c r="AR1" s="97"/>
      <c r="AS1" s="98"/>
      <c r="AT1" s="98"/>
      <c r="AU1" s="99"/>
      <c r="AV1" s="98"/>
      <c r="AW1" s="98"/>
      <c r="AX1" s="99"/>
      <c r="AY1" s="98"/>
      <c r="AZ1" s="98"/>
      <c r="BA1" s="99"/>
      <c r="BB1" s="98"/>
      <c r="BC1" s="98"/>
      <c r="BD1" s="99"/>
      <c r="BE1" s="98"/>
      <c r="BF1" s="98"/>
      <c r="BG1" s="99"/>
      <c r="BH1" s="98"/>
    </row>
    <row r="2" spans="1:60" s="19" customFormat="1" ht="30" customHeight="1">
      <c r="B2" s="20"/>
      <c r="D2" s="21"/>
      <c r="E2" s="22"/>
      <c r="F2" s="44"/>
      <c r="G2" s="44"/>
      <c r="H2" s="7"/>
      <c r="I2" s="41"/>
      <c r="J2" s="7"/>
      <c r="L2" s="23"/>
      <c r="O2" s="7"/>
      <c r="P2" s="41"/>
      <c r="Q2" s="7"/>
      <c r="S2" s="24"/>
      <c r="V2" s="7"/>
      <c r="W2" s="41"/>
      <c r="X2" s="7"/>
      <c r="Z2" s="24"/>
      <c r="AB2" s="7"/>
      <c r="AC2" s="41"/>
      <c r="AD2" s="7"/>
      <c r="AF2" s="24"/>
      <c r="AH2" s="7"/>
      <c r="AI2" s="41"/>
      <c r="AJ2" s="7"/>
      <c r="AL2" s="24"/>
      <c r="AO2" s="24"/>
      <c r="AQ2" s="100"/>
      <c r="AR2" s="100"/>
      <c r="AS2" s="100"/>
      <c r="AT2" s="123"/>
      <c r="AU2" s="123"/>
      <c r="AV2" s="123"/>
      <c r="AW2" s="101"/>
      <c r="AX2" s="102"/>
      <c r="AY2" s="101"/>
      <c r="AZ2" s="101"/>
      <c r="BA2" s="102"/>
      <c r="BB2" s="101"/>
      <c r="BC2" s="101"/>
      <c r="BD2" s="102"/>
      <c r="BE2" s="101"/>
      <c r="BF2" s="101"/>
      <c r="BG2" s="102"/>
      <c r="BH2" s="101"/>
    </row>
    <row r="3" spans="1:60" s="17" customFormat="1" ht="36.75" customHeight="1">
      <c r="A3" s="126" t="s">
        <v>0</v>
      </c>
      <c r="B3" s="127" t="s">
        <v>32</v>
      </c>
      <c r="C3" s="128" t="s">
        <v>3</v>
      </c>
      <c r="D3" s="120">
        <v>44197</v>
      </c>
      <c r="E3" s="120"/>
      <c r="F3" s="120"/>
      <c r="G3" s="120"/>
      <c r="H3" s="121">
        <v>44562</v>
      </c>
      <c r="I3" s="121"/>
      <c r="J3" s="121"/>
      <c r="K3" s="120">
        <v>44228</v>
      </c>
      <c r="L3" s="120"/>
      <c r="M3" s="120"/>
      <c r="N3" s="120"/>
      <c r="O3" s="121">
        <v>44593</v>
      </c>
      <c r="P3" s="121"/>
      <c r="Q3" s="121"/>
      <c r="R3" s="120">
        <v>44256</v>
      </c>
      <c r="S3" s="120"/>
      <c r="T3" s="120"/>
      <c r="U3" s="120"/>
      <c r="V3" s="121">
        <v>44621</v>
      </c>
      <c r="W3" s="121"/>
      <c r="X3" s="121"/>
      <c r="Y3" s="120">
        <v>44287</v>
      </c>
      <c r="Z3" s="120"/>
      <c r="AA3" s="120"/>
      <c r="AB3" s="121">
        <v>44652</v>
      </c>
      <c r="AC3" s="121"/>
      <c r="AD3" s="121"/>
      <c r="AE3" s="120">
        <v>44317</v>
      </c>
      <c r="AF3" s="120"/>
      <c r="AG3" s="120"/>
      <c r="AH3" s="121">
        <v>44682</v>
      </c>
      <c r="AI3" s="121"/>
      <c r="AJ3" s="121"/>
      <c r="AK3" s="120">
        <v>44348</v>
      </c>
      <c r="AL3" s="120"/>
      <c r="AM3" s="120"/>
      <c r="AN3" s="125">
        <v>44713</v>
      </c>
      <c r="AO3" s="125"/>
      <c r="AP3" s="125"/>
      <c r="AQ3" s="122">
        <v>44378</v>
      </c>
      <c r="AR3" s="122"/>
      <c r="AS3" s="122"/>
      <c r="AT3" s="122">
        <v>44409</v>
      </c>
      <c r="AU3" s="122"/>
      <c r="AV3" s="122"/>
      <c r="AW3" s="122">
        <v>44440</v>
      </c>
      <c r="AX3" s="122"/>
      <c r="AY3" s="122"/>
      <c r="AZ3" s="122">
        <v>44470</v>
      </c>
      <c r="BA3" s="122"/>
      <c r="BB3" s="122"/>
      <c r="BC3" s="122">
        <v>44501</v>
      </c>
      <c r="BD3" s="122"/>
      <c r="BE3" s="122"/>
      <c r="BF3" s="122">
        <v>44531</v>
      </c>
      <c r="BG3" s="122"/>
      <c r="BH3" s="122"/>
    </row>
    <row r="4" spans="1:60" s="17" customFormat="1" ht="29.25" customHeight="1">
      <c r="A4" s="126"/>
      <c r="B4" s="127"/>
      <c r="C4" s="128"/>
      <c r="D4" s="83" t="s">
        <v>4</v>
      </c>
      <c r="E4" s="25" t="s">
        <v>7</v>
      </c>
      <c r="F4" s="83" t="s">
        <v>5</v>
      </c>
      <c r="G4" s="83" t="s">
        <v>2</v>
      </c>
      <c r="H4" s="47" t="s">
        <v>4</v>
      </c>
      <c r="I4" s="48" t="s">
        <v>7</v>
      </c>
      <c r="J4" s="47" t="s">
        <v>5</v>
      </c>
      <c r="K4" s="83" t="s">
        <v>4</v>
      </c>
      <c r="L4" s="25" t="s">
        <v>7</v>
      </c>
      <c r="M4" s="83" t="s">
        <v>5</v>
      </c>
      <c r="N4" s="83" t="s">
        <v>2</v>
      </c>
      <c r="O4" s="47" t="s">
        <v>4</v>
      </c>
      <c r="P4" s="48" t="s">
        <v>7</v>
      </c>
      <c r="Q4" s="47" t="s">
        <v>5</v>
      </c>
      <c r="R4" s="83" t="s">
        <v>4</v>
      </c>
      <c r="S4" s="25" t="s">
        <v>7</v>
      </c>
      <c r="T4" s="83" t="s">
        <v>5</v>
      </c>
      <c r="U4" s="83" t="s">
        <v>2</v>
      </c>
      <c r="V4" s="47" t="s">
        <v>4</v>
      </c>
      <c r="W4" s="48" t="s">
        <v>7</v>
      </c>
      <c r="X4" s="47" t="s">
        <v>5</v>
      </c>
      <c r="Y4" s="83" t="s">
        <v>4</v>
      </c>
      <c r="Z4" s="25" t="s">
        <v>7</v>
      </c>
      <c r="AA4" s="83" t="s">
        <v>5</v>
      </c>
      <c r="AB4" s="47" t="s">
        <v>4</v>
      </c>
      <c r="AC4" s="48" t="s">
        <v>7</v>
      </c>
      <c r="AD4" s="47" t="s">
        <v>5</v>
      </c>
      <c r="AE4" s="83" t="s">
        <v>4</v>
      </c>
      <c r="AF4" s="25" t="s">
        <v>7</v>
      </c>
      <c r="AG4" s="83" t="s">
        <v>5</v>
      </c>
      <c r="AH4" s="47" t="s">
        <v>4</v>
      </c>
      <c r="AI4" s="48" t="s">
        <v>7</v>
      </c>
      <c r="AJ4" s="47" t="s">
        <v>5</v>
      </c>
      <c r="AK4" s="83" t="s">
        <v>4</v>
      </c>
      <c r="AL4" s="25" t="s">
        <v>7</v>
      </c>
      <c r="AM4" s="83" t="s">
        <v>5</v>
      </c>
      <c r="AN4" s="66" t="s">
        <v>4</v>
      </c>
      <c r="AO4" s="67" t="s">
        <v>7</v>
      </c>
      <c r="AP4" s="66" t="s">
        <v>5</v>
      </c>
      <c r="AQ4" s="103" t="s">
        <v>4</v>
      </c>
      <c r="AR4" s="104" t="s">
        <v>7</v>
      </c>
      <c r="AS4" s="103" t="s">
        <v>5</v>
      </c>
      <c r="AT4" s="103" t="s">
        <v>4</v>
      </c>
      <c r="AU4" s="104" t="s">
        <v>7</v>
      </c>
      <c r="AV4" s="103" t="s">
        <v>5</v>
      </c>
      <c r="AW4" s="103" t="s">
        <v>4</v>
      </c>
      <c r="AX4" s="104" t="s">
        <v>7</v>
      </c>
      <c r="AY4" s="103" t="s">
        <v>5</v>
      </c>
      <c r="AZ4" s="103" t="s">
        <v>4</v>
      </c>
      <c r="BA4" s="104" t="s">
        <v>7</v>
      </c>
      <c r="BB4" s="103" t="s">
        <v>5</v>
      </c>
      <c r="BC4" s="103" t="s">
        <v>4</v>
      </c>
      <c r="BD4" s="104" t="s">
        <v>7</v>
      </c>
      <c r="BE4" s="103" t="s">
        <v>5</v>
      </c>
      <c r="BF4" s="103" t="s">
        <v>4</v>
      </c>
      <c r="BG4" s="104" t="s">
        <v>7</v>
      </c>
      <c r="BH4" s="103" t="s">
        <v>5</v>
      </c>
    </row>
    <row r="5" spans="1:60" s="19" customFormat="1" ht="29.25" customHeight="1">
      <c r="A5" s="82">
        <v>1</v>
      </c>
      <c r="B5" s="26" t="s">
        <v>33</v>
      </c>
      <c r="C5" s="27" t="s">
        <v>25</v>
      </c>
      <c r="D5" s="45"/>
      <c r="E5" s="46"/>
      <c r="F5" s="45"/>
      <c r="G5" s="45"/>
      <c r="H5" s="49"/>
      <c r="I5" s="50"/>
      <c r="J5" s="49"/>
      <c r="K5" s="9">
        <v>135</v>
      </c>
      <c r="L5" s="28">
        <v>36500</v>
      </c>
      <c r="M5" s="29">
        <f>K5*L5*98%</f>
        <v>4828950</v>
      </c>
      <c r="N5" s="10">
        <v>0.02</v>
      </c>
      <c r="O5" s="49">
        <v>48</v>
      </c>
      <c r="P5" s="50">
        <v>52500</v>
      </c>
      <c r="Q5" s="51">
        <f>O5*P5</f>
        <v>2520000</v>
      </c>
      <c r="R5" s="9">
        <v>65</v>
      </c>
      <c r="S5" s="30">
        <v>36500</v>
      </c>
      <c r="T5" s="5">
        <f>R5*S5*98%</f>
        <v>2325050</v>
      </c>
      <c r="U5" s="10">
        <v>0.02</v>
      </c>
      <c r="V5" s="49">
        <v>52</v>
      </c>
      <c r="W5" s="50">
        <v>52500</v>
      </c>
      <c r="X5" s="51">
        <f t="shared" ref="X5:X10" si="0">V5*W5</f>
        <v>2730000</v>
      </c>
      <c r="Y5" s="45"/>
      <c r="Z5" s="46"/>
      <c r="AA5" s="45"/>
      <c r="AB5" s="49">
        <v>28</v>
      </c>
      <c r="AC5" s="50">
        <v>52500</v>
      </c>
      <c r="AD5" s="51">
        <f>AB5*AC5</f>
        <v>1470000</v>
      </c>
      <c r="AE5" s="45"/>
      <c r="AF5" s="46"/>
      <c r="AG5" s="45"/>
      <c r="AH5" s="49">
        <v>22</v>
      </c>
      <c r="AI5" s="50">
        <v>52500</v>
      </c>
      <c r="AJ5" s="51">
        <f>AH5*AI5</f>
        <v>1155000</v>
      </c>
      <c r="AK5" s="9">
        <v>20</v>
      </c>
      <c r="AL5" s="28">
        <v>40200</v>
      </c>
      <c r="AM5" s="29">
        <f t="shared" ref="AM5:AM10" si="1">AK5*AL5</f>
        <v>804000</v>
      </c>
      <c r="AN5" s="49"/>
      <c r="AO5" s="68"/>
      <c r="AP5" s="81">
        <f>AN5*AO5</f>
        <v>0</v>
      </c>
      <c r="AQ5" s="105">
        <v>80</v>
      </c>
      <c r="AR5" s="106">
        <v>40200</v>
      </c>
      <c r="AS5" s="107">
        <f>AQ5*AR5</f>
        <v>3216000</v>
      </c>
      <c r="AT5" s="105">
        <v>30</v>
      </c>
      <c r="AU5" s="106">
        <v>45000</v>
      </c>
      <c r="AV5" s="107">
        <f>AT5*AU5</f>
        <v>1350000</v>
      </c>
      <c r="AW5" s="105">
        <f>70+60</f>
        <v>130</v>
      </c>
      <c r="AX5" s="106" t="s">
        <v>143</v>
      </c>
      <c r="AY5" s="107">
        <f>3150000+2820000</f>
        <v>5970000</v>
      </c>
      <c r="AZ5" s="105">
        <v>40</v>
      </c>
      <c r="BA5" s="106">
        <v>52500</v>
      </c>
      <c r="BB5" s="107">
        <f>AZ5*BA5</f>
        <v>2100000</v>
      </c>
      <c r="BC5" s="105">
        <v>39</v>
      </c>
      <c r="BD5" s="106">
        <v>52500</v>
      </c>
      <c r="BE5" s="107">
        <f>BC5*BD5</f>
        <v>2047500</v>
      </c>
      <c r="BF5" s="105">
        <v>91</v>
      </c>
      <c r="BG5" s="106">
        <v>52500</v>
      </c>
      <c r="BH5" s="107">
        <f t="shared" ref="BH5:BH52" si="2">BF5*BG5</f>
        <v>4777500</v>
      </c>
    </row>
    <row r="6" spans="1:60" s="12" customFormat="1" ht="23.25" customHeight="1">
      <c r="A6" s="82">
        <v>2</v>
      </c>
      <c r="B6" s="26" t="s">
        <v>63</v>
      </c>
      <c r="C6" s="27" t="s">
        <v>20</v>
      </c>
      <c r="D6" s="9">
        <v>955</v>
      </c>
      <c r="E6" s="28">
        <v>37000</v>
      </c>
      <c r="F6" s="29">
        <f>D6*E6*98%</f>
        <v>34628300</v>
      </c>
      <c r="G6" s="10">
        <v>0.02</v>
      </c>
      <c r="H6" s="49">
        <v>633</v>
      </c>
      <c r="I6" s="50">
        <v>53000</v>
      </c>
      <c r="J6" s="51">
        <f>H6*I6</f>
        <v>33549000</v>
      </c>
      <c r="K6" s="9">
        <v>360</v>
      </c>
      <c r="L6" s="28">
        <v>37000</v>
      </c>
      <c r="M6" s="29">
        <f>K6*L6*98%</f>
        <v>13053600</v>
      </c>
      <c r="N6" s="10">
        <v>0.02</v>
      </c>
      <c r="O6" s="49">
        <v>485</v>
      </c>
      <c r="P6" s="50">
        <v>53000</v>
      </c>
      <c r="Q6" s="51">
        <f t="shared" ref="Q6:Q58" si="3">O6*P6</f>
        <v>25705000</v>
      </c>
      <c r="R6" s="9">
        <v>113</v>
      </c>
      <c r="S6" s="30">
        <v>37000</v>
      </c>
      <c r="T6" s="5">
        <f>R6*S6*98%</f>
        <v>4097380</v>
      </c>
      <c r="U6" s="10">
        <v>0.02</v>
      </c>
      <c r="V6" s="49">
        <v>653</v>
      </c>
      <c r="W6" s="50">
        <v>53000</v>
      </c>
      <c r="X6" s="51">
        <f t="shared" si="0"/>
        <v>34609000</v>
      </c>
      <c r="Y6" s="82">
        <v>266</v>
      </c>
      <c r="Z6" s="30">
        <v>37000</v>
      </c>
      <c r="AA6" s="5">
        <f>Y6*Z6</f>
        <v>9842000</v>
      </c>
      <c r="AB6" s="49">
        <v>419</v>
      </c>
      <c r="AC6" s="50">
        <v>53000</v>
      </c>
      <c r="AD6" s="51">
        <f>AB6*AC6</f>
        <v>22207000</v>
      </c>
      <c r="AE6" s="9">
        <v>661</v>
      </c>
      <c r="AF6" s="30">
        <v>40700</v>
      </c>
      <c r="AG6" s="5">
        <f>AE6*AF6</f>
        <v>26902700</v>
      </c>
      <c r="AH6" s="49">
        <v>362</v>
      </c>
      <c r="AI6" s="50">
        <v>53000</v>
      </c>
      <c r="AJ6" s="51">
        <f>AH6*AI6</f>
        <v>19186000</v>
      </c>
      <c r="AK6" s="9">
        <v>530</v>
      </c>
      <c r="AL6" s="28">
        <v>40700</v>
      </c>
      <c r="AM6" s="29">
        <f t="shared" si="1"/>
        <v>21571000</v>
      </c>
      <c r="AN6" s="49">
        <v>431</v>
      </c>
      <c r="AO6" s="68">
        <v>53000</v>
      </c>
      <c r="AP6" s="81">
        <f t="shared" ref="AP6:AP61" si="4">AN6*AO6</f>
        <v>22843000</v>
      </c>
      <c r="AQ6" s="105">
        <v>230</v>
      </c>
      <c r="AR6" s="106">
        <v>40700</v>
      </c>
      <c r="AS6" s="107">
        <f>AQ6*AR6</f>
        <v>9361000</v>
      </c>
      <c r="AT6" s="105">
        <f>140+50</f>
        <v>190</v>
      </c>
      <c r="AU6" s="106" t="s">
        <v>126</v>
      </c>
      <c r="AV6" s="107">
        <f>5698000+2250000</f>
        <v>7948000</v>
      </c>
      <c r="AW6" s="105">
        <f>220+230</f>
        <v>450</v>
      </c>
      <c r="AX6" s="106" t="s">
        <v>127</v>
      </c>
      <c r="AY6" s="107">
        <f>9900000+10925000</f>
        <v>20825000</v>
      </c>
      <c r="AZ6" s="105">
        <v>205</v>
      </c>
      <c r="BA6" s="106">
        <v>53000</v>
      </c>
      <c r="BB6" s="107">
        <f>AZ6*BA6</f>
        <v>10865000</v>
      </c>
      <c r="BC6" s="105">
        <v>438</v>
      </c>
      <c r="BD6" s="106">
        <v>53000</v>
      </c>
      <c r="BE6" s="107">
        <v>23214000</v>
      </c>
      <c r="BF6" s="105">
        <v>429</v>
      </c>
      <c r="BG6" s="106">
        <v>53000</v>
      </c>
      <c r="BH6" s="107">
        <f t="shared" si="2"/>
        <v>22737000</v>
      </c>
    </row>
    <row r="7" spans="1:60" s="12" customFormat="1" ht="23.25" customHeight="1">
      <c r="A7" s="82">
        <v>3</v>
      </c>
      <c r="B7" s="26" t="s">
        <v>34</v>
      </c>
      <c r="C7" s="27" t="s">
        <v>91</v>
      </c>
      <c r="D7" s="9">
        <v>785</v>
      </c>
      <c r="E7" s="28">
        <v>42500</v>
      </c>
      <c r="F7" s="29">
        <f>D7*E7*98%</f>
        <v>32695250</v>
      </c>
      <c r="G7" s="10">
        <v>0.02</v>
      </c>
      <c r="H7" s="49">
        <v>318</v>
      </c>
      <c r="I7" s="50">
        <v>62500</v>
      </c>
      <c r="J7" s="51">
        <f>H7*I7</f>
        <v>19875000</v>
      </c>
      <c r="K7" s="9">
        <v>245</v>
      </c>
      <c r="L7" s="28">
        <v>42500</v>
      </c>
      <c r="M7" s="29">
        <f>K7*L7*98%</f>
        <v>10204250</v>
      </c>
      <c r="N7" s="10">
        <v>0.02</v>
      </c>
      <c r="O7" s="49">
        <v>129</v>
      </c>
      <c r="P7" s="50">
        <v>62500</v>
      </c>
      <c r="Q7" s="51">
        <f t="shared" si="3"/>
        <v>8062500</v>
      </c>
      <c r="R7" s="9">
        <v>75</v>
      </c>
      <c r="S7" s="30">
        <v>42500</v>
      </c>
      <c r="T7" s="5">
        <f>R7*S7*98%</f>
        <v>3123750</v>
      </c>
      <c r="U7" s="10">
        <v>0.02</v>
      </c>
      <c r="V7" s="49">
        <v>131</v>
      </c>
      <c r="W7" s="50">
        <v>62500</v>
      </c>
      <c r="X7" s="51">
        <f t="shared" si="0"/>
        <v>8187500</v>
      </c>
      <c r="Y7" s="82">
        <v>110</v>
      </c>
      <c r="Z7" s="30">
        <v>42500</v>
      </c>
      <c r="AA7" s="5">
        <f>Y7*Z7</f>
        <v>4675000</v>
      </c>
      <c r="AB7" s="49">
        <v>80</v>
      </c>
      <c r="AC7" s="50">
        <v>62500</v>
      </c>
      <c r="AD7" s="51">
        <f>AB7*AC7</f>
        <v>5000000</v>
      </c>
      <c r="AE7" s="9">
        <v>450</v>
      </c>
      <c r="AF7" s="30">
        <v>46800</v>
      </c>
      <c r="AG7" s="5">
        <f>AE7*AF7</f>
        <v>21060000</v>
      </c>
      <c r="AH7" s="49">
        <v>320</v>
      </c>
      <c r="AI7" s="50">
        <v>62500</v>
      </c>
      <c r="AJ7" s="51">
        <f>AH7*AI7</f>
        <v>20000000</v>
      </c>
      <c r="AK7" s="9">
        <v>80</v>
      </c>
      <c r="AL7" s="28">
        <v>46800</v>
      </c>
      <c r="AM7" s="29">
        <f t="shared" si="1"/>
        <v>3744000</v>
      </c>
      <c r="AN7" s="49">
        <v>200</v>
      </c>
      <c r="AO7" s="68">
        <v>62500</v>
      </c>
      <c r="AP7" s="81">
        <f t="shared" si="4"/>
        <v>12500000</v>
      </c>
      <c r="AQ7" s="105"/>
      <c r="AR7" s="106"/>
      <c r="AS7" s="107"/>
      <c r="AT7" s="105"/>
      <c r="AU7" s="106"/>
      <c r="AV7" s="107"/>
      <c r="AW7" s="105">
        <v>60</v>
      </c>
      <c r="AX7" s="106">
        <v>54500</v>
      </c>
      <c r="AY7" s="107">
        <f>AW7*AX7</f>
        <v>3270000</v>
      </c>
      <c r="AZ7" s="105">
        <v>65</v>
      </c>
      <c r="BA7" s="106">
        <v>62500</v>
      </c>
      <c r="BB7" s="107">
        <f>AZ7*BA7</f>
        <v>4062500</v>
      </c>
      <c r="BC7" s="105">
        <v>300</v>
      </c>
      <c r="BD7" s="106">
        <v>62500</v>
      </c>
      <c r="BE7" s="107">
        <v>18750000</v>
      </c>
      <c r="BF7" s="105">
        <v>220</v>
      </c>
      <c r="BG7" s="106">
        <v>62500</v>
      </c>
      <c r="BH7" s="107">
        <f t="shared" si="2"/>
        <v>13750000</v>
      </c>
    </row>
    <row r="8" spans="1:60" s="12" customFormat="1" ht="23.25" customHeight="1">
      <c r="A8" s="82">
        <v>4</v>
      </c>
      <c r="B8" s="26" t="s">
        <v>69</v>
      </c>
      <c r="C8" s="27" t="s">
        <v>92</v>
      </c>
      <c r="D8" s="9"/>
      <c r="E8" s="28"/>
      <c r="F8" s="29"/>
      <c r="G8" s="10"/>
      <c r="H8" s="49"/>
      <c r="I8" s="50"/>
      <c r="J8" s="51"/>
      <c r="K8" s="9"/>
      <c r="L8" s="28"/>
      <c r="M8" s="29"/>
      <c r="N8" s="10"/>
      <c r="O8" s="49">
        <v>40</v>
      </c>
      <c r="P8" s="50">
        <v>90500</v>
      </c>
      <c r="Q8" s="51">
        <f>O8*P8</f>
        <v>3620000</v>
      </c>
      <c r="R8" s="9"/>
      <c r="S8" s="30"/>
      <c r="T8" s="5"/>
      <c r="U8" s="10"/>
      <c r="V8" s="49">
        <v>10</v>
      </c>
      <c r="W8" s="50">
        <v>90500</v>
      </c>
      <c r="X8" s="51">
        <f t="shared" si="0"/>
        <v>905000</v>
      </c>
      <c r="Y8" s="82"/>
      <c r="Z8" s="30"/>
      <c r="AA8" s="5"/>
      <c r="AB8" s="49">
        <v>19</v>
      </c>
      <c r="AC8" s="50">
        <v>90500</v>
      </c>
      <c r="AD8" s="51">
        <f>AB8*AC8</f>
        <v>1719500</v>
      </c>
      <c r="AE8" s="9"/>
      <c r="AF8" s="30"/>
      <c r="AG8" s="5"/>
      <c r="AH8" s="49">
        <v>21</v>
      </c>
      <c r="AI8" s="50">
        <v>90500</v>
      </c>
      <c r="AJ8" s="51">
        <f>AH8*AI8</f>
        <v>1900500</v>
      </c>
      <c r="AK8" s="9">
        <v>75</v>
      </c>
      <c r="AL8" s="28">
        <v>62400</v>
      </c>
      <c r="AM8" s="29">
        <f t="shared" si="1"/>
        <v>4680000</v>
      </c>
      <c r="AN8" s="49"/>
      <c r="AO8" s="68"/>
      <c r="AP8" s="81">
        <f t="shared" si="4"/>
        <v>0</v>
      </c>
      <c r="AQ8" s="105"/>
      <c r="AR8" s="106"/>
      <c r="AS8" s="107"/>
      <c r="AT8" s="105"/>
      <c r="AU8" s="106"/>
      <c r="AV8" s="107"/>
      <c r="AW8" s="105"/>
      <c r="AX8" s="106"/>
      <c r="AY8" s="107"/>
      <c r="AZ8" s="105"/>
      <c r="BA8" s="106"/>
      <c r="BB8" s="107"/>
      <c r="BC8" s="105"/>
      <c r="BD8" s="106"/>
      <c r="BE8" s="107"/>
      <c r="BF8" s="105"/>
      <c r="BG8" s="106"/>
      <c r="BH8" s="107"/>
    </row>
    <row r="9" spans="1:60" s="12" customFormat="1" ht="23.25" customHeight="1">
      <c r="A9" s="82">
        <v>5</v>
      </c>
      <c r="B9" s="26" t="s">
        <v>65</v>
      </c>
      <c r="C9" s="27" t="s">
        <v>26</v>
      </c>
      <c r="D9" s="9"/>
      <c r="E9" s="28"/>
      <c r="F9" s="29"/>
      <c r="G9" s="10"/>
      <c r="H9" s="49">
        <v>21</v>
      </c>
      <c r="I9" s="50">
        <v>64000</v>
      </c>
      <c r="J9" s="51">
        <f>H9*I9</f>
        <v>1344000</v>
      </c>
      <c r="K9" s="9"/>
      <c r="L9" s="28"/>
      <c r="M9" s="29"/>
      <c r="N9" s="10"/>
      <c r="O9" s="49">
        <v>50</v>
      </c>
      <c r="P9" s="50">
        <v>64000</v>
      </c>
      <c r="Q9" s="51">
        <f t="shared" si="3"/>
        <v>3200000</v>
      </c>
      <c r="R9" s="9"/>
      <c r="S9" s="30"/>
      <c r="T9" s="5"/>
      <c r="U9" s="10"/>
      <c r="V9" s="49">
        <v>50</v>
      </c>
      <c r="W9" s="50">
        <v>64000</v>
      </c>
      <c r="X9" s="51">
        <f t="shared" si="0"/>
        <v>3200000</v>
      </c>
      <c r="Y9" s="82"/>
      <c r="Z9" s="30"/>
      <c r="AA9" s="5"/>
      <c r="AB9" s="49"/>
      <c r="AC9" s="50"/>
      <c r="AD9" s="51"/>
      <c r="AE9" s="9"/>
      <c r="AF9" s="30"/>
      <c r="AG9" s="5"/>
      <c r="AH9" s="49"/>
      <c r="AI9" s="50"/>
      <c r="AJ9" s="51"/>
      <c r="AK9" s="9">
        <v>20</v>
      </c>
      <c r="AL9" s="28">
        <v>47900</v>
      </c>
      <c r="AM9" s="29">
        <f t="shared" si="1"/>
        <v>958000</v>
      </c>
      <c r="AN9" s="49">
        <v>50</v>
      </c>
      <c r="AO9" s="68">
        <v>64000</v>
      </c>
      <c r="AP9" s="81">
        <f t="shared" si="4"/>
        <v>3200000</v>
      </c>
      <c r="AQ9" s="105">
        <v>120</v>
      </c>
      <c r="AR9" s="106">
        <v>47900</v>
      </c>
      <c r="AS9" s="107">
        <f>AQ9*AR9</f>
        <v>5748000</v>
      </c>
      <c r="AT9" s="105">
        <v>10</v>
      </c>
      <c r="AU9" s="106">
        <v>47900</v>
      </c>
      <c r="AV9" s="107">
        <f t="shared" ref="AV9:AV14" si="5">AT9*AU9</f>
        <v>479000</v>
      </c>
      <c r="AW9" s="105">
        <f>50+50</f>
        <v>100</v>
      </c>
      <c r="AX9" s="106" t="s">
        <v>128</v>
      </c>
      <c r="AY9" s="107">
        <f>2650000+2775000</f>
        <v>5425000</v>
      </c>
      <c r="AZ9" s="105"/>
      <c r="BA9" s="106"/>
      <c r="BB9" s="107"/>
      <c r="BC9" s="105">
        <v>60</v>
      </c>
      <c r="BD9" s="106">
        <v>64000</v>
      </c>
      <c r="BE9" s="107">
        <v>3840000</v>
      </c>
      <c r="BF9" s="105">
        <v>19</v>
      </c>
      <c r="BG9" s="106">
        <v>64000</v>
      </c>
      <c r="BH9" s="107">
        <f t="shared" si="2"/>
        <v>1216000</v>
      </c>
    </row>
    <row r="10" spans="1:60" s="12" customFormat="1" ht="23.25" customHeight="1">
      <c r="A10" s="82">
        <v>6</v>
      </c>
      <c r="B10" s="26" t="s">
        <v>35</v>
      </c>
      <c r="C10" s="27" t="s">
        <v>12</v>
      </c>
      <c r="D10" s="9">
        <v>80</v>
      </c>
      <c r="E10" s="28">
        <v>44000</v>
      </c>
      <c r="F10" s="29">
        <f>D10*E10*98%</f>
        <v>3449600</v>
      </c>
      <c r="G10" s="10">
        <v>0.02</v>
      </c>
      <c r="H10" s="49">
        <v>33</v>
      </c>
      <c r="I10" s="50">
        <v>64500</v>
      </c>
      <c r="J10" s="51">
        <f>H10*I10</f>
        <v>2128500</v>
      </c>
      <c r="K10" s="9"/>
      <c r="L10" s="28"/>
      <c r="M10" s="29"/>
      <c r="N10" s="10"/>
      <c r="O10" s="49">
        <v>150</v>
      </c>
      <c r="P10" s="50">
        <v>64500</v>
      </c>
      <c r="Q10" s="51">
        <f t="shared" si="3"/>
        <v>9675000</v>
      </c>
      <c r="R10" s="9">
        <v>130</v>
      </c>
      <c r="S10" s="30">
        <v>44000</v>
      </c>
      <c r="T10" s="5">
        <f>R10*S10*98%</f>
        <v>5605600</v>
      </c>
      <c r="U10" s="10">
        <v>0.02</v>
      </c>
      <c r="V10" s="49">
        <v>148</v>
      </c>
      <c r="W10" s="50">
        <v>64500</v>
      </c>
      <c r="X10" s="51">
        <f t="shared" si="0"/>
        <v>9546000</v>
      </c>
      <c r="Y10" s="82">
        <v>20</v>
      </c>
      <c r="Z10" s="30">
        <v>44000</v>
      </c>
      <c r="AA10" s="5">
        <f>Y10*Z10</f>
        <v>880000</v>
      </c>
      <c r="AB10" s="49">
        <v>62</v>
      </c>
      <c r="AC10" s="50">
        <v>64500</v>
      </c>
      <c r="AD10" s="51">
        <f>AB10*AC10</f>
        <v>3999000</v>
      </c>
      <c r="AE10" s="9">
        <v>315</v>
      </c>
      <c r="AF10" s="30">
        <v>48400</v>
      </c>
      <c r="AG10" s="5">
        <f>AE10*AF10</f>
        <v>15246000</v>
      </c>
      <c r="AH10" s="49">
        <v>68</v>
      </c>
      <c r="AI10" s="50">
        <v>64500</v>
      </c>
      <c r="AJ10" s="51">
        <f>AH10*AI10</f>
        <v>4386000</v>
      </c>
      <c r="AK10" s="9">
        <v>65</v>
      </c>
      <c r="AL10" s="28">
        <v>48400</v>
      </c>
      <c r="AM10" s="29">
        <f t="shared" si="1"/>
        <v>3146000</v>
      </c>
      <c r="AN10" s="49">
        <v>50</v>
      </c>
      <c r="AO10" s="68">
        <v>64500</v>
      </c>
      <c r="AP10" s="81">
        <f t="shared" si="4"/>
        <v>3225000</v>
      </c>
      <c r="AQ10" s="105">
        <v>40</v>
      </c>
      <c r="AR10" s="106">
        <v>48400</v>
      </c>
      <c r="AS10" s="107">
        <f>AQ10*AR10</f>
        <v>1936000</v>
      </c>
      <c r="AT10" s="105">
        <v>60</v>
      </c>
      <c r="AU10" s="106">
        <v>48400</v>
      </c>
      <c r="AV10" s="107">
        <f t="shared" si="5"/>
        <v>2904000</v>
      </c>
      <c r="AW10" s="105">
        <f>40+40</f>
        <v>80</v>
      </c>
      <c r="AX10" s="106" t="s">
        <v>129</v>
      </c>
      <c r="AY10" s="107">
        <f>2140000+2240000</f>
        <v>4380000</v>
      </c>
      <c r="AZ10" s="105">
        <v>30</v>
      </c>
      <c r="BA10" s="106">
        <v>64500</v>
      </c>
      <c r="BB10" s="107">
        <f>AZ10*BA10</f>
        <v>1935000</v>
      </c>
      <c r="BC10" s="105">
        <v>100</v>
      </c>
      <c r="BD10" s="106">
        <v>64500</v>
      </c>
      <c r="BE10" s="107">
        <v>6450000</v>
      </c>
      <c r="BF10" s="105">
        <v>89</v>
      </c>
      <c r="BG10" s="106">
        <v>64500</v>
      </c>
      <c r="BH10" s="107">
        <f t="shared" si="2"/>
        <v>5740500</v>
      </c>
    </row>
    <row r="11" spans="1:60" s="12" customFormat="1" ht="23.25" customHeight="1">
      <c r="A11" s="82">
        <v>7</v>
      </c>
      <c r="B11" s="26" t="s">
        <v>36</v>
      </c>
      <c r="C11" s="27" t="s">
        <v>30</v>
      </c>
      <c r="D11" s="9">
        <v>20</v>
      </c>
      <c r="E11" s="28">
        <v>49000</v>
      </c>
      <c r="F11" s="29">
        <f>D11*E11*98%</f>
        <v>960400</v>
      </c>
      <c r="G11" s="10">
        <v>0.02</v>
      </c>
      <c r="H11" s="49">
        <v>24</v>
      </c>
      <c r="I11" s="50">
        <v>68500</v>
      </c>
      <c r="J11" s="51">
        <f>H11*I11</f>
        <v>1644000</v>
      </c>
      <c r="K11" s="9"/>
      <c r="L11" s="28"/>
      <c r="M11" s="29"/>
      <c r="N11" s="10"/>
      <c r="O11" s="49"/>
      <c r="P11" s="50"/>
      <c r="Q11" s="51"/>
      <c r="R11" s="9"/>
      <c r="S11" s="30"/>
      <c r="T11" s="5"/>
      <c r="U11" s="10"/>
      <c r="V11" s="49"/>
      <c r="W11" s="50"/>
      <c r="X11" s="51"/>
      <c r="Y11" s="82"/>
      <c r="Z11" s="30"/>
      <c r="AA11" s="5"/>
      <c r="AB11" s="49"/>
      <c r="AC11" s="50"/>
      <c r="AD11" s="51"/>
      <c r="AE11" s="9"/>
      <c r="AF11" s="30"/>
      <c r="AG11" s="5"/>
      <c r="AH11" s="49"/>
      <c r="AI11" s="50"/>
      <c r="AJ11" s="51"/>
      <c r="AK11" s="9"/>
      <c r="AL11" s="28"/>
      <c r="AM11" s="29"/>
      <c r="AN11" s="49"/>
      <c r="AO11" s="68"/>
      <c r="AP11" s="81">
        <f t="shared" si="4"/>
        <v>0</v>
      </c>
      <c r="AQ11" s="105"/>
      <c r="AR11" s="106"/>
      <c r="AS11" s="107"/>
      <c r="AT11" s="105">
        <v>50</v>
      </c>
      <c r="AU11" s="106">
        <v>53900</v>
      </c>
      <c r="AV11" s="107">
        <f t="shared" si="5"/>
        <v>2695000</v>
      </c>
      <c r="AW11" s="105"/>
      <c r="AX11" s="106"/>
      <c r="AY11" s="107"/>
      <c r="AZ11" s="105"/>
      <c r="BA11" s="106"/>
      <c r="BB11" s="107"/>
      <c r="BC11" s="105">
        <v>38</v>
      </c>
      <c r="BD11" s="106">
        <v>68500</v>
      </c>
      <c r="BE11" s="107">
        <v>2603000</v>
      </c>
      <c r="BF11" s="105">
        <v>38</v>
      </c>
      <c r="BG11" s="106">
        <v>68500</v>
      </c>
      <c r="BH11" s="107">
        <f t="shared" si="2"/>
        <v>2603000</v>
      </c>
    </row>
    <row r="12" spans="1:60" s="12" customFormat="1" ht="23.25" customHeight="1">
      <c r="A12" s="82">
        <v>8</v>
      </c>
      <c r="B12" s="26" t="s">
        <v>67</v>
      </c>
      <c r="C12" s="27" t="s">
        <v>23</v>
      </c>
      <c r="D12" s="9"/>
      <c r="E12" s="28"/>
      <c r="F12" s="29"/>
      <c r="G12" s="10"/>
      <c r="H12" s="49">
        <v>21</v>
      </c>
      <c r="I12" s="50">
        <v>72500</v>
      </c>
      <c r="J12" s="51">
        <f>H12*I12</f>
        <v>1522500</v>
      </c>
      <c r="K12" s="9"/>
      <c r="L12" s="28"/>
      <c r="M12" s="29"/>
      <c r="N12" s="10"/>
      <c r="O12" s="49"/>
      <c r="P12" s="50"/>
      <c r="Q12" s="51"/>
      <c r="R12" s="9"/>
      <c r="S12" s="30"/>
      <c r="T12" s="5"/>
      <c r="U12" s="10"/>
      <c r="V12" s="49"/>
      <c r="W12" s="50"/>
      <c r="X12" s="51"/>
      <c r="Y12" s="82"/>
      <c r="Z12" s="30"/>
      <c r="AA12" s="5"/>
      <c r="AB12" s="49">
        <v>38</v>
      </c>
      <c r="AC12" s="50">
        <v>72500</v>
      </c>
      <c r="AD12" s="51">
        <f t="shared" ref="AD12:AD25" si="6">AB12*AC12</f>
        <v>2755000</v>
      </c>
      <c r="AE12" s="9"/>
      <c r="AF12" s="30"/>
      <c r="AG12" s="5"/>
      <c r="AH12" s="49">
        <v>62</v>
      </c>
      <c r="AI12" s="50">
        <v>72500</v>
      </c>
      <c r="AJ12" s="51">
        <f>AH12*AI12</f>
        <v>4495000</v>
      </c>
      <c r="AK12" s="9">
        <v>150</v>
      </c>
      <c r="AL12" s="28">
        <v>56700</v>
      </c>
      <c r="AM12" s="29">
        <f t="shared" ref="AM12:AM18" si="7">AK12*AL12</f>
        <v>8505000</v>
      </c>
      <c r="AN12" s="49">
        <v>100</v>
      </c>
      <c r="AO12" s="68">
        <v>72500</v>
      </c>
      <c r="AP12" s="81">
        <f t="shared" si="4"/>
        <v>7250000</v>
      </c>
      <c r="AQ12" s="105"/>
      <c r="AR12" s="106"/>
      <c r="AS12" s="107"/>
      <c r="AT12" s="105">
        <v>50</v>
      </c>
      <c r="AU12" s="106">
        <v>56700</v>
      </c>
      <c r="AV12" s="107">
        <f t="shared" si="5"/>
        <v>2835000</v>
      </c>
      <c r="AW12" s="105">
        <v>50</v>
      </c>
      <c r="AX12" s="106">
        <v>56700</v>
      </c>
      <c r="AY12" s="107">
        <f t="shared" ref="AY12:AY14" si="8">AW12*AX12</f>
        <v>2835000</v>
      </c>
      <c r="AZ12" s="105"/>
      <c r="BA12" s="106"/>
      <c r="BB12" s="107"/>
      <c r="BC12" s="105">
        <v>20</v>
      </c>
      <c r="BD12" s="106">
        <v>72500</v>
      </c>
      <c r="BE12" s="107">
        <v>1450000</v>
      </c>
      <c r="BF12" s="105">
        <v>59</v>
      </c>
      <c r="BG12" s="106">
        <v>72500</v>
      </c>
      <c r="BH12" s="107">
        <f t="shared" si="2"/>
        <v>4277500</v>
      </c>
    </row>
    <row r="13" spans="1:60" s="12" customFormat="1" ht="23.25" customHeight="1">
      <c r="A13" s="82">
        <v>9</v>
      </c>
      <c r="B13" s="26" t="s">
        <v>66</v>
      </c>
      <c r="C13" s="3" t="s">
        <v>21</v>
      </c>
      <c r="D13" s="9"/>
      <c r="E13" s="28"/>
      <c r="F13" s="29"/>
      <c r="G13" s="10"/>
      <c r="H13" s="49">
        <v>39</v>
      </c>
      <c r="I13" s="50">
        <v>76500</v>
      </c>
      <c r="J13" s="51">
        <f>H13*I13</f>
        <v>2983500</v>
      </c>
      <c r="K13" s="9"/>
      <c r="L13" s="28"/>
      <c r="M13" s="29"/>
      <c r="N13" s="10"/>
      <c r="O13" s="49">
        <v>41</v>
      </c>
      <c r="P13" s="50">
        <v>76500</v>
      </c>
      <c r="Q13" s="51">
        <f t="shared" si="3"/>
        <v>3136500</v>
      </c>
      <c r="R13" s="9"/>
      <c r="S13" s="30"/>
      <c r="T13" s="5"/>
      <c r="U13" s="10"/>
      <c r="V13" s="49">
        <v>79</v>
      </c>
      <c r="W13" s="50">
        <v>76500</v>
      </c>
      <c r="X13" s="51">
        <f t="shared" ref="X13:X18" si="9">V13*W13</f>
        <v>6043500</v>
      </c>
      <c r="Y13" s="82"/>
      <c r="Z13" s="30"/>
      <c r="AA13" s="5"/>
      <c r="AB13" s="49">
        <v>21</v>
      </c>
      <c r="AC13" s="50">
        <v>76500</v>
      </c>
      <c r="AD13" s="51">
        <f t="shared" si="6"/>
        <v>1606500</v>
      </c>
      <c r="AE13" s="11">
        <v>105</v>
      </c>
      <c r="AF13" s="31">
        <v>60000</v>
      </c>
      <c r="AG13" s="5">
        <f>AE13*AF13</f>
        <v>6300000</v>
      </c>
      <c r="AH13" s="49">
        <v>100</v>
      </c>
      <c r="AI13" s="50">
        <v>76500</v>
      </c>
      <c r="AJ13" s="51">
        <f>AH13*AI13</f>
        <v>7650000</v>
      </c>
      <c r="AK13" s="9">
        <v>35</v>
      </c>
      <c r="AL13" s="28">
        <v>60000</v>
      </c>
      <c r="AM13" s="29">
        <f t="shared" si="7"/>
        <v>2100000</v>
      </c>
      <c r="AN13" s="49">
        <v>80</v>
      </c>
      <c r="AO13" s="68">
        <v>76500</v>
      </c>
      <c r="AP13" s="81">
        <f t="shared" si="4"/>
        <v>6120000</v>
      </c>
      <c r="AQ13" s="105">
        <v>40</v>
      </c>
      <c r="AR13" s="106">
        <v>60000</v>
      </c>
      <c r="AS13" s="107">
        <f>AQ13*AR13</f>
        <v>2400000</v>
      </c>
      <c r="AT13" s="105">
        <v>80</v>
      </c>
      <c r="AU13" s="106">
        <v>60000</v>
      </c>
      <c r="AV13" s="107">
        <f t="shared" si="5"/>
        <v>4800000</v>
      </c>
      <c r="AW13" s="105">
        <f>30+50</f>
        <v>80</v>
      </c>
      <c r="AX13" s="106" t="s">
        <v>130</v>
      </c>
      <c r="AY13" s="107">
        <f>1800000+3475000</f>
        <v>5275000</v>
      </c>
      <c r="AZ13" s="105">
        <v>20</v>
      </c>
      <c r="BA13" s="106">
        <v>76500</v>
      </c>
      <c r="BB13" s="107">
        <f>AZ13*BA13</f>
        <v>1530000</v>
      </c>
      <c r="BC13" s="105">
        <v>39</v>
      </c>
      <c r="BD13" s="106">
        <v>76500</v>
      </c>
      <c r="BE13" s="107">
        <v>2983500</v>
      </c>
      <c r="BF13" s="105">
        <v>81</v>
      </c>
      <c r="BG13" s="106">
        <v>76500</v>
      </c>
      <c r="BH13" s="107">
        <f t="shared" si="2"/>
        <v>6196500</v>
      </c>
    </row>
    <row r="14" spans="1:60" s="12" customFormat="1" ht="23.25" customHeight="1">
      <c r="A14" s="82">
        <v>10</v>
      </c>
      <c r="B14" s="26" t="s">
        <v>68</v>
      </c>
      <c r="C14" s="3" t="s">
        <v>27</v>
      </c>
      <c r="D14" s="9"/>
      <c r="E14" s="28"/>
      <c r="F14" s="29"/>
      <c r="G14" s="10"/>
      <c r="H14" s="49"/>
      <c r="I14" s="50"/>
      <c r="J14" s="51"/>
      <c r="K14" s="9"/>
      <c r="L14" s="28"/>
      <c r="M14" s="29"/>
      <c r="N14" s="10"/>
      <c r="O14" s="49">
        <v>50</v>
      </c>
      <c r="P14" s="50">
        <v>79000</v>
      </c>
      <c r="Q14" s="51">
        <f t="shared" si="3"/>
        <v>3950000</v>
      </c>
      <c r="R14" s="11">
        <v>125</v>
      </c>
      <c r="S14" s="31">
        <v>53500</v>
      </c>
      <c r="T14" s="5">
        <f>R14*S14*98%</f>
        <v>6553750</v>
      </c>
      <c r="U14" s="10">
        <v>0.02</v>
      </c>
      <c r="V14" s="49">
        <v>100</v>
      </c>
      <c r="W14" s="50">
        <v>79000</v>
      </c>
      <c r="X14" s="51">
        <f t="shared" si="9"/>
        <v>7900000</v>
      </c>
      <c r="Y14" s="82"/>
      <c r="Z14" s="30"/>
      <c r="AA14" s="5"/>
      <c r="AB14" s="49">
        <v>50</v>
      </c>
      <c r="AC14" s="50">
        <v>79000</v>
      </c>
      <c r="AD14" s="51">
        <f t="shared" si="6"/>
        <v>3950000</v>
      </c>
      <c r="AE14" s="11"/>
      <c r="AF14" s="31"/>
      <c r="AG14" s="5"/>
      <c r="AH14" s="49">
        <v>50</v>
      </c>
      <c r="AI14" s="50">
        <v>79000</v>
      </c>
      <c r="AJ14" s="51">
        <f>AH14*AI14</f>
        <v>3950000</v>
      </c>
      <c r="AK14" s="9">
        <v>140</v>
      </c>
      <c r="AL14" s="28">
        <v>58900</v>
      </c>
      <c r="AM14" s="29">
        <f t="shared" si="7"/>
        <v>8246000</v>
      </c>
      <c r="AN14" s="49"/>
      <c r="AO14" s="68"/>
      <c r="AP14" s="81">
        <f t="shared" si="4"/>
        <v>0</v>
      </c>
      <c r="AQ14" s="105"/>
      <c r="AR14" s="106"/>
      <c r="AS14" s="107"/>
      <c r="AT14" s="105">
        <v>50</v>
      </c>
      <c r="AU14" s="106">
        <v>58900</v>
      </c>
      <c r="AV14" s="107">
        <f t="shared" si="5"/>
        <v>2945000</v>
      </c>
      <c r="AW14" s="105">
        <v>50</v>
      </c>
      <c r="AX14" s="106">
        <v>58900</v>
      </c>
      <c r="AY14" s="107">
        <f t="shared" si="8"/>
        <v>2945000</v>
      </c>
      <c r="AZ14" s="105"/>
      <c r="BA14" s="106"/>
      <c r="BB14" s="107"/>
      <c r="BC14" s="105"/>
      <c r="BD14" s="106"/>
      <c r="BE14" s="107"/>
      <c r="BF14" s="105">
        <v>100</v>
      </c>
      <c r="BG14" s="106">
        <v>79000</v>
      </c>
      <c r="BH14" s="107">
        <f t="shared" si="2"/>
        <v>7900000</v>
      </c>
    </row>
    <row r="15" spans="1:60" s="12" customFormat="1" ht="23.25" customHeight="1">
      <c r="A15" s="82">
        <v>11</v>
      </c>
      <c r="B15" s="26" t="s">
        <v>37</v>
      </c>
      <c r="C15" s="27" t="s">
        <v>6</v>
      </c>
      <c r="D15" s="9">
        <v>435</v>
      </c>
      <c r="E15" s="28">
        <v>54000</v>
      </c>
      <c r="F15" s="29">
        <f>D15*E15*98%</f>
        <v>23020200</v>
      </c>
      <c r="G15" s="10">
        <v>0.02</v>
      </c>
      <c r="H15" s="49">
        <v>220</v>
      </c>
      <c r="I15" s="50">
        <v>79500</v>
      </c>
      <c r="J15" s="51">
        <f>H15*I15</f>
        <v>17490000</v>
      </c>
      <c r="K15" s="9">
        <v>180</v>
      </c>
      <c r="L15" s="28">
        <v>54000</v>
      </c>
      <c r="M15" s="29">
        <f>K15*L15*98%</f>
        <v>9525600</v>
      </c>
      <c r="N15" s="10">
        <v>0.02</v>
      </c>
      <c r="O15" s="49">
        <v>80</v>
      </c>
      <c r="P15" s="50">
        <v>79500</v>
      </c>
      <c r="Q15" s="51">
        <f t="shared" si="3"/>
        <v>6360000</v>
      </c>
      <c r="R15" s="9">
        <v>169</v>
      </c>
      <c r="S15" s="30">
        <v>54000</v>
      </c>
      <c r="T15" s="5">
        <f>R15*S15*98%</f>
        <v>8943480</v>
      </c>
      <c r="U15" s="10">
        <v>0.02</v>
      </c>
      <c r="V15" s="49">
        <v>358</v>
      </c>
      <c r="W15" s="50">
        <v>79500</v>
      </c>
      <c r="X15" s="51">
        <f t="shared" si="9"/>
        <v>28461000</v>
      </c>
      <c r="Y15" s="82">
        <v>276</v>
      </c>
      <c r="Z15" s="30">
        <v>54000</v>
      </c>
      <c r="AA15" s="5">
        <f>Y15*Z15</f>
        <v>14904000</v>
      </c>
      <c r="AB15" s="49">
        <v>199</v>
      </c>
      <c r="AC15" s="50">
        <v>79500</v>
      </c>
      <c r="AD15" s="51">
        <f t="shared" si="6"/>
        <v>15820500</v>
      </c>
      <c r="AE15" s="9">
        <v>405</v>
      </c>
      <c r="AF15" s="30">
        <v>59400</v>
      </c>
      <c r="AG15" s="5">
        <f>AE15*AF15</f>
        <v>24057000</v>
      </c>
      <c r="AH15" s="49">
        <v>109</v>
      </c>
      <c r="AI15" s="50">
        <v>79500</v>
      </c>
      <c r="AJ15" s="51">
        <f>AH15*AI15</f>
        <v>8665500</v>
      </c>
      <c r="AK15" s="9">
        <v>120</v>
      </c>
      <c r="AL15" s="28">
        <v>59400</v>
      </c>
      <c r="AM15" s="29">
        <f t="shared" si="7"/>
        <v>7128000</v>
      </c>
      <c r="AN15" s="49">
        <v>34</v>
      </c>
      <c r="AO15" s="68">
        <v>79500</v>
      </c>
      <c r="AP15" s="81">
        <f t="shared" si="4"/>
        <v>2703000</v>
      </c>
      <c r="AQ15" s="105"/>
      <c r="AR15" s="106"/>
      <c r="AS15" s="107"/>
      <c r="AT15" s="105"/>
      <c r="AU15" s="106"/>
      <c r="AV15" s="107"/>
      <c r="AW15" s="105">
        <f>60+80</f>
        <v>140</v>
      </c>
      <c r="AX15" s="106" t="s">
        <v>131</v>
      </c>
      <c r="AY15" s="107">
        <f>3930000+5520000</f>
        <v>9450000</v>
      </c>
      <c r="AZ15" s="105">
        <v>137</v>
      </c>
      <c r="BA15" s="106">
        <v>79500</v>
      </c>
      <c r="BB15" s="107">
        <f>AZ15*BA15</f>
        <v>10891500</v>
      </c>
      <c r="BC15" s="105">
        <v>120</v>
      </c>
      <c r="BD15" s="106">
        <v>79500</v>
      </c>
      <c r="BE15" s="107">
        <v>9540000</v>
      </c>
      <c r="BF15" s="105">
        <v>180</v>
      </c>
      <c r="BG15" s="106">
        <v>79500</v>
      </c>
      <c r="BH15" s="107">
        <f t="shared" si="2"/>
        <v>14310000</v>
      </c>
    </row>
    <row r="16" spans="1:60" s="12" customFormat="1" ht="23.25" customHeight="1">
      <c r="A16" s="82">
        <v>12</v>
      </c>
      <c r="B16" s="26" t="s">
        <v>70</v>
      </c>
      <c r="C16" s="3" t="s">
        <v>28</v>
      </c>
      <c r="D16" s="9"/>
      <c r="E16" s="28"/>
      <c r="F16" s="29"/>
      <c r="G16" s="10"/>
      <c r="H16" s="49"/>
      <c r="I16" s="50"/>
      <c r="J16" s="51"/>
      <c r="K16" s="9"/>
      <c r="L16" s="28"/>
      <c r="M16" s="29"/>
      <c r="N16" s="10"/>
      <c r="O16" s="49">
        <v>50</v>
      </c>
      <c r="P16" s="50">
        <v>100000</v>
      </c>
      <c r="Q16" s="51">
        <f t="shared" si="3"/>
        <v>5000000</v>
      </c>
      <c r="R16" s="11">
        <v>100</v>
      </c>
      <c r="S16" s="31">
        <v>68500</v>
      </c>
      <c r="T16" s="5">
        <f>R16*S16*98%</f>
        <v>6713000</v>
      </c>
      <c r="U16" s="10">
        <v>0.02</v>
      </c>
      <c r="V16" s="49">
        <v>20</v>
      </c>
      <c r="W16" s="50">
        <v>100000</v>
      </c>
      <c r="X16" s="51">
        <f t="shared" si="9"/>
        <v>2000000</v>
      </c>
      <c r="Y16" s="82"/>
      <c r="Z16" s="30"/>
      <c r="AA16" s="5"/>
      <c r="AB16" s="49">
        <v>30</v>
      </c>
      <c r="AC16" s="50">
        <v>100000</v>
      </c>
      <c r="AD16" s="51">
        <f t="shared" si="6"/>
        <v>3000000</v>
      </c>
      <c r="AE16" s="9"/>
      <c r="AF16" s="30"/>
      <c r="AG16" s="5"/>
      <c r="AH16" s="49"/>
      <c r="AI16" s="50"/>
      <c r="AJ16" s="51"/>
      <c r="AK16" s="9">
        <v>120</v>
      </c>
      <c r="AL16" s="28">
        <v>75400</v>
      </c>
      <c r="AM16" s="29">
        <f t="shared" si="7"/>
        <v>9048000</v>
      </c>
      <c r="AN16" s="49"/>
      <c r="AO16" s="68"/>
      <c r="AP16" s="81">
        <f t="shared" si="4"/>
        <v>0</v>
      </c>
      <c r="AQ16" s="105"/>
      <c r="AR16" s="106"/>
      <c r="AS16" s="107"/>
      <c r="AT16" s="105"/>
      <c r="AU16" s="106"/>
      <c r="AV16" s="107"/>
      <c r="AW16" s="105">
        <v>50</v>
      </c>
      <c r="AX16" s="106">
        <v>87000</v>
      </c>
      <c r="AY16" s="107">
        <f>AW16*AX16</f>
        <v>4350000</v>
      </c>
      <c r="AZ16" s="105">
        <v>31</v>
      </c>
      <c r="BA16" s="106">
        <v>100000</v>
      </c>
      <c r="BB16" s="107">
        <f>AZ16*BA16</f>
        <v>3100000</v>
      </c>
      <c r="BC16" s="105"/>
      <c r="BD16" s="106"/>
      <c r="BE16" s="107"/>
      <c r="BF16" s="105"/>
      <c r="BG16" s="106"/>
      <c r="BH16" s="107"/>
    </row>
    <row r="17" spans="1:60" s="12" customFormat="1" ht="23.25" customHeight="1">
      <c r="A17" s="82">
        <v>13</v>
      </c>
      <c r="B17" s="26" t="s">
        <v>38</v>
      </c>
      <c r="C17" s="27" t="s">
        <v>13</v>
      </c>
      <c r="D17" s="9">
        <v>254</v>
      </c>
      <c r="E17" s="28">
        <v>59500</v>
      </c>
      <c r="F17" s="29">
        <f>D17*E17*98%</f>
        <v>14810740</v>
      </c>
      <c r="G17" s="10">
        <v>0.02</v>
      </c>
      <c r="H17" s="49">
        <v>242</v>
      </c>
      <c r="I17" s="50">
        <v>84500</v>
      </c>
      <c r="J17" s="51">
        <f>H17*I17</f>
        <v>20449000</v>
      </c>
      <c r="K17" s="9">
        <v>351</v>
      </c>
      <c r="L17" s="28">
        <v>59500</v>
      </c>
      <c r="M17" s="29">
        <f>K17*L17*98%</f>
        <v>20466810</v>
      </c>
      <c r="N17" s="10">
        <v>0.02</v>
      </c>
      <c r="O17" s="49">
        <v>148</v>
      </c>
      <c r="P17" s="50">
        <v>84500</v>
      </c>
      <c r="Q17" s="51">
        <f t="shared" si="3"/>
        <v>12506000</v>
      </c>
      <c r="R17" s="9">
        <v>95</v>
      </c>
      <c r="S17" s="30">
        <v>59500</v>
      </c>
      <c r="T17" s="5">
        <f>R17*S17*98%</f>
        <v>5539450</v>
      </c>
      <c r="U17" s="10">
        <v>0.02</v>
      </c>
      <c r="V17" s="49">
        <v>205</v>
      </c>
      <c r="W17" s="50">
        <v>84500</v>
      </c>
      <c r="X17" s="51">
        <f t="shared" si="9"/>
        <v>17322500</v>
      </c>
      <c r="Y17" s="82">
        <v>200</v>
      </c>
      <c r="Z17" s="30">
        <v>59500</v>
      </c>
      <c r="AA17" s="5">
        <f>Y17*Z17</f>
        <v>11900000</v>
      </c>
      <c r="AB17" s="49">
        <v>166</v>
      </c>
      <c r="AC17" s="50">
        <v>84500</v>
      </c>
      <c r="AD17" s="51">
        <f t="shared" si="6"/>
        <v>14027000</v>
      </c>
      <c r="AE17" s="9">
        <v>270</v>
      </c>
      <c r="AF17" s="30">
        <v>65500</v>
      </c>
      <c r="AG17" s="5">
        <f>AE17*AF17</f>
        <v>17685000</v>
      </c>
      <c r="AH17" s="49">
        <v>181</v>
      </c>
      <c r="AI17" s="50">
        <v>84500</v>
      </c>
      <c r="AJ17" s="51">
        <f>AH17*AI17</f>
        <v>15294500</v>
      </c>
      <c r="AK17" s="9">
        <v>265</v>
      </c>
      <c r="AL17" s="28">
        <v>65500</v>
      </c>
      <c r="AM17" s="29">
        <f t="shared" si="7"/>
        <v>17357500</v>
      </c>
      <c r="AN17" s="49">
        <v>130</v>
      </c>
      <c r="AO17" s="68">
        <v>84500</v>
      </c>
      <c r="AP17" s="81">
        <f t="shared" si="4"/>
        <v>10985000</v>
      </c>
      <c r="AQ17" s="105">
        <v>80</v>
      </c>
      <c r="AR17" s="106">
        <v>65500</v>
      </c>
      <c r="AS17" s="107">
        <f>AQ17*AR17</f>
        <v>5240000</v>
      </c>
      <c r="AT17" s="105">
        <v>85</v>
      </c>
      <c r="AU17" s="106">
        <v>65500</v>
      </c>
      <c r="AV17" s="107">
        <f>AT17*AU17</f>
        <v>5567500</v>
      </c>
      <c r="AW17" s="105">
        <f>60+90</f>
        <v>150</v>
      </c>
      <c r="AX17" s="106" t="s">
        <v>132</v>
      </c>
      <c r="AY17" s="107">
        <f>4320000+6795000</f>
        <v>11115000</v>
      </c>
      <c r="AZ17" s="105">
        <v>70</v>
      </c>
      <c r="BA17" s="106">
        <v>84500</v>
      </c>
      <c r="BB17" s="107">
        <f>AZ17*BA17</f>
        <v>5915000</v>
      </c>
      <c r="BC17" s="105">
        <v>165</v>
      </c>
      <c r="BD17" s="106">
        <v>84500</v>
      </c>
      <c r="BE17" s="107">
        <v>13942500</v>
      </c>
      <c r="BF17" s="105">
        <v>193</v>
      </c>
      <c r="BG17" s="106">
        <v>84500</v>
      </c>
      <c r="BH17" s="107">
        <f t="shared" si="2"/>
        <v>16308500</v>
      </c>
    </row>
    <row r="18" spans="1:60" s="12" customFormat="1" ht="22.5" customHeight="1">
      <c r="A18" s="82">
        <v>14</v>
      </c>
      <c r="B18" s="26" t="s">
        <v>39</v>
      </c>
      <c r="C18" s="27" t="s">
        <v>18</v>
      </c>
      <c r="D18" s="9">
        <v>464</v>
      </c>
      <c r="E18" s="28">
        <v>62500</v>
      </c>
      <c r="F18" s="29">
        <f>D18*E18*98%</f>
        <v>28420000</v>
      </c>
      <c r="G18" s="10">
        <v>0.02</v>
      </c>
      <c r="H18" s="49">
        <v>338</v>
      </c>
      <c r="I18" s="50">
        <v>90000</v>
      </c>
      <c r="J18" s="51">
        <f>H18*I18</f>
        <v>30420000</v>
      </c>
      <c r="K18" s="9">
        <v>300</v>
      </c>
      <c r="L18" s="28">
        <v>62500</v>
      </c>
      <c r="M18" s="29">
        <f>K18*L18*98%</f>
        <v>18375000</v>
      </c>
      <c r="N18" s="10">
        <v>0.02</v>
      </c>
      <c r="O18" s="49">
        <v>142</v>
      </c>
      <c r="P18" s="50">
        <v>90000</v>
      </c>
      <c r="Q18" s="51">
        <f t="shared" si="3"/>
        <v>12780000</v>
      </c>
      <c r="R18" s="9">
        <v>221</v>
      </c>
      <c r="S18" s="30">
        <v>62500</v>
      </c>
      <c r="T18" s="5">
        <f>R18*S18*98%</f>
        <v>13536250</v>
      </c>
      <c r="U18" s="10">
        <v>0.02</v>
      </c>
      <c r="V18" s="49">
        <v>283</v>
      </c>
      <c r="W18" s="50">
        <v>90000</v>
      </c>
      <c r="X18" s="51">
        <f t="shared" si="9"/>
        <v>25470000</v>
      </c>
      <c r="Y18" s="82">
        <v>152</v>
      </c>
      <c r="Z18" s="30">
        <v>62500</v>
      </c>
      <c r="AA18" s="5">
        <f>Y18*Z18</f>
        <v>9500000</v>
      </c>
      <c r="AB18" s="49">
        <v>95</v>
      </c>
      <c r="AC18" s="50">
        <v>90000</v>
      </c>
      <c r="AD18" s="51">
        <f t="shared" si="6"/>
        <v>8550000</v>
      </c>
      <c r="AE18" s="9">
        <v>405</v>
      </c>
      <c r="AF18" s="30">
        <v>68800</v>
      </c>
      <c r="AG18" s="5">
        <f>AE18*AF18</f>
        <v>27864000</v>
      </c>
      <c r="AH18" s="49">
        <v>222</v>
      </c>
      <c r="AI18" s="50">
        <v>90000</v>
      </c>
      <c r="AJ18" s="51">
        <f>AH18*AI18</f>
        <v>19980000</v>
      </c>
      <c r="AK18" s="9">
        <v>323</v>
      </c>
      <c r="AL18" s="28">
        <v>68800</v>
      </c>
      <c r="AM18" s="29">
        <f t="shared" si="7"/>
        <v>22222400</v>
      </c>
      <c r="AN18" s="49">
        <v>100</v>
      </c>
      <c r="AO18" s="68">
        <v>90000</v>
      </c>
      <c r="AP18" s="81">
        <f t="shared" si="4"/>
        <v>9000000</v>
      </c>
      <c r="AQ18" s="105"/>
      <c r="AR18" s="106"/>
      <c r="AS18" s="107"/>
      <c r="AT18" s="105"/>
      <c r="AU18" s="106"/>
      <c r="AV18" s="107"/>
      <c r="AW18" s="105">
        <f>120+80</f>
        <v>200</v>
      </c>
      <c r="AX18" s="106" t="s">
        <v>133</v>
      </c>
      <c r="AY18" s="107">
        <f>9120000+6400000</f>
        <v>15520000</v>
      </c>
      <c r="AZ18" s="105">
        <v>100</v>
      </c>
      <c r="BA18" s="106">
        <v>90000</v>
      </c>
      <c r="BB18" s="107">
        <f>AZ18*BA18</f>
        <v>9000000</v>
      </c>
      <c r="BC18" s="105">
        <v>180</v>
      </c>
      <c r="BD18" s="106">
        <v>90000</v>
      </c>
      <c r="BE18" s="107">
        <v>16200000</v>
      </c>
      <c r="BF18" s="105">
        <v>220</v>
      </c>
      <c r="BG18" s="106">
        <v>90000</v>
      </c>
      <c r="BH18" s="107">
        <f t="shared" si="2"/>
        <v>19800000</v>
      </c>
    </row>
    <row r="19" spans="1:60" s="12" customFormat="1" ht="23.25" customHeight="1">
      <c r="A19" s="82">
        <v>15</v>
      </c>
      <c r="B19" s="26" t="s">
        <v>41</v>
      </c>
      <c r="C19" s="27" t="s">
        <v>93</v>
      </c>
      <c r="D19" s="9">
        <v>20</v>
      </c>
      <c r="E19" s="28">
        <v>65500</v>
      </c>
      <c r="F19" s="29">
        <f>D19*E19*98%</f>
        <v>1283800</v>
      </c>
      <c r="G19" s="10">
        <v>0.02</v>
      </c>
      <c r="H19" s="49"/>
      <c r="I19" s="50"/>
      <c r="J19" s="51"/>
      <c r="K19" s="9"/>
      <c r="L19" s="28"/>
      <c r="M19" s="29"/>
      <c r="N19" s="10"/>
      <c r="O19" s="49"/>
      <c r="P19" s="50"/>
      <c r="Q19" s="51"/>
      <c r="R19" s="9"/>
      <c r="S19" s="30"/>
      <c r="T19" s="5"/>
      <c r="U19" s="10"/>
      <c r="V19" s="49"/>
      <c r="W19" s="50"/>
      <c r="X19" s="51"/>
      <c r="Y19" s="82"/>
      <c r="Z19" s="30"/>
      <c r="AA19" s="5"/>
      <c r="AB19" s="49">
        <v>29</v>
      </c>
      <c r="AC19" s="50">
        <v>101000</v>
      </c>
      <c r="AD19" s="51">
        <f t="shared" si="6"/>
        <v>2929000</v>
      </c>
      <c r="AE19" s="9"/>
      <c r="AF19" s="30"/>
      <c r="AG19" s="5"/>
      <c r="AH19" s="49">
        <v>9</v>
      </c>
      <c r="AI19" s="50">
        <v>101000</v>
      </c>
      <c r="AJ19" s="51">
        <f>AH19*AI19</f>
        <v>909000</v>
      </c>
      <c r="AK19" s="9"/>
      <c r="AL19" s="28"/>
      <c r="AM19" s="29"/>
      <c r="AN19" s="49"/>
      <c r="AO19" s="68"/>
      <c r="AP19" s="81">
        <f t="shared" si="4"/>
        <v>0</v>
      </c>
      <c r="AQ19" s="105"/>
      <c r="AR19" s="106"/>
      <c r="AS19" s="107"/>
      <c r="AT19" s="105">
        <v>20</v>
      </c>
      <c r="AU19" s="106">
        <v>72100</v>
      </c>
      <c r="AV19" s="107">
        <f>AT19*AU19</f>
        <v>1442000</v>
      </c>
      <c r="AW19" s="105">
        <v>50</v>
      </c>
      <c r="AX19" s="106">
        <v>72100</v>
      </c>
      <c r="AY19" s="107">
        <f>AW19*AX19</f>
        <v>3605000</v>
      </c>
      <c r="AZ19" s="105"/>
      <c r="BA19" s="106"/>
      <c r="BB19" s="107"/>
      <c r="BC19" s="105"/>
      <c r="BD19" s="106"/>
      <c r="BE19" s="107"/>
      <c r="BF19" s="105"/>
      <c r="BG19" s="106"/>
      <c r="BH19" s="107"/>
    </row>
    <row r="20" spans="1:60" s="12" customFormat="1" ht="23.25" customHeight="1">
      <c r="A20" s="82">
        <v>16</v>
      </c>
      <c r="B20" s="26" t="s">
        <v>42</v>
      </c>
      <c r="C20" s="27" t="s">
        <v>94</v>
      </c>
      <c r="D20" s="9">
        <v>20</v>
      </c>
      <c r="E20" s="28">
        <v>66500</v>
      </c>
      <c r="F20" s="29">
        <f>D20*E20*98%</f>
        <v>1303400</v>
      </c>
      <c r="G20" s="10">
        <v>0.02</v>
      </c>
      <c r="H20" s="49">
        <v>8</v>
      </c>
      <c r="I20" s="50">
        <v>102000</v>
      </c>
      <c r="J20" s="51">
        <f>H20*I20</f>
        <v>816000</v>
      </c>
      <c r="K20" s="9"/>
      <c r="L20" s="28"/>
      <c r="M20" s="29"/>
      <c r="N20" s="10"/>
      <c r="O20" s="49"/>
      <c r="P20" s="50"/>
      <c r="Q20" s="51"/>
      <c r="R20" s="9"/>
      <c r="S20" s="30"/>
      <c r="T20" s="5"/>
      <c r="U20" s="10"/>
      <c r="V20" s="49">
        <v>13</v>
      </c>
      <c r="W20" s="50">
        <v>102000</v>
      </c>
      <c r="X20" s="51">
        <f>V20*W20</f>
        <v>1326000</v>
      </c>
      <c r="Y20" s="82"/>
      <c r="Z20" s="30"/>
      <c r="AA20" s="5"/>
      <c r="AB20" s="49">
        <v>9</v>
      </c>
      <c r="AC20" s="50">
        <v>102000</v>
      </c>
      <c r="AD20" s="51">
        <f t="shared" si="6"/>
        <v>918000</v>
      </c>
      <c r="AE20" s="9"/>
      <c r="AF20" s="30"/>
      <c r="AG20" s="5"/>
      <c r="AH20" s="49"/>
      <c r="AI20" s="50"/>
      <c r="AJ20" s="51"/>
      <c r="AK20" s="9"/>
      <c r="AL20" s="28"/>
      <c r="AM20" s="29"/>
      <c r="AN20" s="49"/>
      <c r="AO20" s="68"/>
      <c r="AP20" s="81">
        <f t="shared" si="4"/>
        <v>0</v>
      </c>
      <c r="AQ20" s="105"/>
      <c r="AR20" s="106"/>
      <c r="AS20" s="107"/>
      <c r="AT20" s="105"/>
      <c r="AU20" s="106"/>
      <c r="AV20" s="107"/>
      <c r="AW20" s="105">
        <v>40</v>
      </c>
      <c r="AX20" s="106">
        <v>85000</v>
      </c>
      <c r="AY20" s="107">
        <f>AW20*AX20</f>
        <v>3400000</v>
      </c>
      <c r="AZ20" s="105"/>
      <c r="BA20" s="106"/>
      <c r="BB20" s="107"/>
      <c r="BC20" s="105">
        <v>20</v>
      </c>
      <c r="BD20" s="106">
        <v>102000</v>
      </c>
      <c r="BE20" s="107">
        <v>2040000</v>
      </c>
      <c r="BF20" s="105"/>
      <c r="BG20" s="106"/>
      <c r="BH20" s="107"/>
    </row>
    <row r="21" spans="1:60" s="12" customFormat="1" ht="23.25" customHeight="1">
      <c r="A21" s="82">
        <v>17</v>
      </c>
      <c r="B21" s="26" t="s">
        <v>72</v>
      </c>
      <c r="C21" s="3" t="s">
        <v>19</v>
      </c>
      <c r="D21" s="9"/>
      <c r="E21" s="28"/>
      <c r="F21" s="29"/>
      <c r="G21" s="10"/>
      <c r="H21" s="49"/>
      <c r="I21" s="50"/>
      <c r="J21" s="51"/>
      <c r="K21" s="9"/>
      <c r="L21" s="28"/>
      <c r="M21" s="29"/>
      <c r="N21" s="10"/>
      <c r="O21" s="49"/>
      <c r="P21" s="50"/>
      <c r="Q21" s="51"/>
      <c r="R21" s="9">
        <v>80</v>
      </c>
      <c r="S21" s="30">
        <v>91500</v>
      </c>
      <c r="T21" s="5">
        <f>R21*S21*98%</f>
        <v>7173600</v>
      </c>
      <c r="U21" s="10">
        <v>0.02</v>
      </c>
      <c r="V21" s="49"/>
      <c r="W21" s="50"/>
      <c r="X21" s="51"/>
      <c r="Y21" s="82"/>
      <c r="Z21" s="30"/>
      <c r="AA21" s="5"/>
      <c r="AB21" s="49">
        <v>38</v>
      </c>
      <c r="AC21" s="50">
        <v>134000</v>
      </c>
      <c r="AD21" s="51">
        <f t="shared" si="6"/>
        <v>5092000</v>
      </c>
      <c r="AE21" s="9">
        <v>170</v>
      </c>
      <c r="AF21" s="30">
        <v>100700</v>
      </c>
      <c r="AG21" s="5">
        <f>AE21*AF21</f>
        <v>17119000</v>
      </c>
      <c r="AH21" s="49">
        <v>32</v>
      </c>
      <c r="AI21" s="50">
        <v>134000</v>
      </c>
      <c r="AJ21" s="51">
        <f t="shared" ref="AJ21:AJ26" si="10">AH21*AI21</f>
        <v>4288000</v>
      </c>
      <c r="AK21" s="9">
        <v>60</v>
      </c>
      <c r="AL21" s="28">
        <v>100700</v>
      </c>
      <c r="AM21" s="29">
        <f t="shared" ref="AM21:AM26" si="11">AK21*AL21</f>
        <v>6042000</v>
      </c>
      <c r="AN21" s="49">
        <v>30</v>
      </c>
      <c r="AO21" s="68">
        <v>134000</v>
      </c>
      <c r="AP21" s="81">
        <f t="shared" si="4"/>
        <v>4020000</v>
      </c>
      <c r="AQ21" s="105"/>
      <c r="AR21" s="106"/>
      <c r="AS21" s="107"/>
      <c r="AT21" s="105"/>
      <c r="AU21" s="106"/>
      <c r="AV21" s="107"/>
      <c r="AW21" s="105"/>
      <c r="AX21" s="106"/>
      <c r="AY21" s="107"/>
      <c r="AZ21" s="105"/>
      <c r="BA21" s="106"/>
      <c r="BB21" s="107"/>
      <c r="BC21" s="105"/>
      <c r="BD21" s="106"/>
      <c r="BE21" s="107"/>
      <c r="BF21" s="105"/>
      <c r="BG21" s="106"/>
      <c r="BH21" s="107"/>
    </row>
    <row r="22" spans="1:60" s="12" customFormat="1" ht="23.25" customHeight="1">
      <c r="A22" s="82">
        <v>18</v>
      </c>
      <c r="B22" s="26" t="s">
        <v>73</v>
      </c>
      <c r="C22" s="3" t="s">
        <v>14</v>
      </c>
      <c r="D22" s="9"/>
      <c r="E22" s="28"/>
      <c r="F22" s="29"/>
      <c r="G22" s="10"/>
      <c r="H22" s="49">
        <v>10</v>
      </c>
      <c r="I22" s="50">
        <v>136000</v>
      </c>
      <c r="J22" s="51">
        <f>H22*I22</f>
        <v>1360000</v>
      </c>
      <c r="K22" s="9"/>
      <c r="L22" s="28"/>
      <c r="M22" s="29"/>
      <c r="N22" s="10"/>
      <c r="O22" s="49">
        <v>40</v>
      </c>
      <c r="P22" s="50">
        <v>136000</v>
      </c>
      <c r="Q22" s="51">
        <f t="shared" si="3"/>
        <v>5440000</v>
      </c>
      <c r="R22" s="9"/>
      <c r="S22" s="30"/>
      <c r="T22" s="5"/>
      <c r="U22" s="10"/>
      <c r="V22" s="49"/>
      <c r="W22" s="50"/>
      <c r="X22" s="51"/>
      <c r="Y22" s="82"/>
      <c r="Z22" s="30"/>
      <c r="AA22" s="5"/>
      <c r="AB22" s="49">
        <v>14</v>
      </c>
      <c r="AC22" s="50">
        <v>136000</v>
      </c>
      <c r="AD22" s="51">
        <f t="shared" si="6"/>
        <v>1904000</v>
      </c>
      <c r="AE22" s="11">
        <v>80</v>
      </c>
      <c r="AF22" s="31">
        <v>102300</v>
      </c>
      <c r="AG22" s="5">
        <f>AE22*AF22</f>
        <v>8184000</v>
      </c>
      <c r="AH22" s="49">
        <v>36</v>
      </c>
      <c r="AI22" s="50">
        <v>136000</v>
      </c>
      <c r="AJ22" s="51">
        <f t="shared" si="10"/>
        <v>4896000</v>
      </c>
      <c r="AK22" s="9">
        <v>55</v>
      </c>
      <c r="AL22" s="28">
        <v>102300</v>
      </c>
      <c r="AM22" s="29">
        <f t="shared" si="11"/>
        <v>5626500</v>
      </c>
      <c r="AN22" s="49"/>
      <c r="AO22" s="68"/>
      <c r="AP22" s="81">
        <f t="shared" si="4"/>
        <v>0</v>
      </c>
      <c r="AQ22" s="105"/>
      <c r="AR22" s="106"/>
      <c r="AS22" s="107"/>
      <c r="AT22" s="105">
        <v>30</v>
      </c>
      <c r="AU22" s="106">
        <v>102300</v>
      </c>
      <c r="AV22" s="107">
        <f>AT22*AU22</f>
        <v>3069000</v>
      </c>
      <c r="AW22" s="105">
        <v>35</v>
      </c>
      <c r="AX22" s="106">
        <v>102300</v>
      </c>
      <c r="AY22" s="107">
        <f>AW22*AX22</f>
        <v>3580500</v>
      </c>
      <c r="AZ22" s="105"/>
      <c r="BA22" s="106"/>
      <c r="BB22" s="107"/>
      <c r="BC22" s="105"/>
      <c r="BD22" s="106"/>
      <c r="BE22" s="107"/>
      <c r="BF22" s="105">
        <v>50</v>
      </c>
      <c r="BG22" s="106">
        <v>136000</v>
      </c>
      <c r="BH22" s="107">
        <f t="shared" si="2"/>
        <v>6800000</v>
      </c>
    </row>
    <row r="23" spans="1:60" s="12" customFormat="1" ht="23.25" customHeight="1">
      <c r="A23" s="82">
        <v>19</v>
      </c>
      <c r="B23" s="26" t="s">
        <v>40</v>
      </c>
      <c r="C23" s="27" t="s">
        <v>17</v>
      </c>
      <c r="D23" s="9">
        <v>20</v>
      </c>
      <c r="E23" s="28">
        <v>104000</v>
      </c>
      <c r="F23" s="29">
        <f>D23*E23*98%</f>
        <v>2038400</v>
      </c>
      <c r="G23" s="10">
        <v>0.02</v>
      </c>
      <c r="H23" s="49">
        <v>20</v>
      </c>
      <c r="I23" s="50">
        <v>159000</v>
      </c>
      <c r="J23" s="51">
        <f>H23*I23</f>
        <v>3180000</v>
      </c>
      <c r="K23" s="9"/>
      <c r="L23" s="28"/>
      <c r="M23" s="29"/>
      <c r="N23" s="10"/>
      <c r="O23" s="49">
        <v>10</v>
      </c>
      <c r="P23" s="50">
        <v>159000</v>
      </c>
      <c r="Q23" s="51">
        <f t="shared" si="3"/>
        <v>1590000</v>
      </c>
      <c r="R23" s="9"/>
      <c r="S23" s="30"/>
      <c r="T23" s="5"/>
      <c r="U23" s="10"/>
      <c r="V23" s="49">
        <v>20</v>
      </c>
      <c r="W23" s="50">
        <v>159000</v>
      </c>
      <c r="X23" s="51">
        <f>V23*W23</f>
        <v>3180000</v>
      </c>
      <c r="Y23" s="82"/>
      <c r="Z23" s="30"/>
      <c r="AA23" s="5"/>
      <c r="AB23" s="49">
        <v>10</v>
      </c>
      <c r="AC23" s="50">
        <v>159000</v>
      </c>
      <c r="AD23" s="51">
        <f t="shared" si="6"/>
        <v>1590000</v>
      </c>
      <c r="AE23" s="9">
        <v>75</v>
      </c>
      <c r="AF23" s="30">
        <v>114400</v>
      </c>
      <c r="AG23" s="5">
        <f>AE23*AF23</f>
        <v>8580000</v>
      </c>
      <c r="AH23" s="49">
        <v>40</v>
      </c>
      <c r="AI23" s="50">
        <v>159000</v>
      </c>
      <c r="AJ23" s="51">
        <f t="shared" si="10"/>
        <v>6360000</v>
      </c>
      <c r="AK23" s="9">
        <v>35</v>
      </c>
      <c r="AL23" s="28">
        <v>114400</v>
      </c>
      <c r="AM23" s="29">
        <f t="shared" si="11"/>
        <v>4004000</v>
      </c>
      <c r="AN23" s="49"/>
      <c r="AO23" s="68"/>
      <c r="AP23" s="81">
        <f t="shared" si="4"/>
        <v>0</v>
      </c>
      <c r="AQ23" s="105"/>
      <c r="AR23" s="106"/>
      <c r="AS23" s="107"/>
      <c r="AT23" s="105">
        <v>40</v>
      </c>
      <c r="AU23" s="106">
        <v>114400</v>
      </c>
      <c r="AV23" s="107">
        <f>AT23*AU23</f>
        <v>4576000</v>
      </c>
      <c r="AW23" s="105"/>
      <c r="AX23" s="106"/>
      <c r="AY23" s="107"/>
      <c r="AZ23" s="105"/>
      <c r="BA23" s="106"/>
      <c r="BB23" s="107"/>
      <c r="BC23" s="105"/>
      <c r="BD23" s="106"/>
      <c r="BE23" s="107"/>
      <c r="BF23" s="105">
        <v>50</v>
      </c>
      <c r="BG23" s="106">
        <v>159000</v>
      </c>
      <c r="BH23" s="107">
        <f t="shared" si="2"/>
        <v>7950000</v>
      </c>
    </row>
    <row r="24" spans="1:60" s="12" customFormat="1" ht="23.25" customHeight="1">
      <c r="A24" s="82">
        <v>20</v>
      </c>
      <c r="B24" s="26" t="s">
        <v>43</v>
      </c>
      <c r="C24" s="27" t="s">
        <v>24</v>
      </c>
      <c r="D24" s="9">
        <v>174</v>
      </c>
      <c r="E24" s="28">
        <v>78000</v>
      </c>
      <c r="F24" s="29">
        <f>D24*E24*98%</f>
        <v>13300560</v>
      </c>
      <c r="G24" s="10">
        <v>0.02</v>
      </c>
      <c r="H24" s="49">
        <v>144</v>
      </c>
      <c r="I24" s="50">
        <v>118000</v>
      </c>
      <c r="J24" s="51">
        <f>H24*I24</f>
        <v>16992000</v>
      </c>
      <c r="K24" s="9"/>
      <c r="L24" s="28"/>
      <c r="M24" s="29"/>
      <c r="N24" s="10"/>
      <c r="O24" s="49">
        <v>136</v>
      </c>
      <c r="P24" s="50">
        <v>118000</v>
      </c>
      <c r="Q24" s="51">
        <f t="shared" si="3"/>
        <v>16048000</v>
      </c>
      <c r="R24" s="9">
        <v>58</v>
      </c>
      <c r="S24" s="30">
        <v>78000</v>
      </c>
      <c r="T24" s="5">
        <f>R24*S24*98%</f>
        <v>4433520</v>
      </c>
      <c r="U24" s="10">
        <v>0.02</v>
      </c>
      <c r="V24" s="49">
        <v>138</v>
      </c>
      <c r="W24" s="50">
        <v>118000</v>
      </c>
      <c r="X24" s="51">
        <f>V24*W24</f>
        <v>16284000</v>
      </c>
      <c r="Y24" s="82">
        <v>80</v>
      </c>
      <c r="Z24" s="30">
        <v>78000</v>
      </c>
      <c r="AA24" s="5">
        <f>Y24*Z24</f>
        <v>6240000</v>
      </c>
      <c r="AB24" s="49">
        <v>97</v>
      </c>
      <c r="AC24" s="50">
        <v>118000</v>
      </c>
      <c r="AD24" s="51">
        <f t="shared" si="6"/>
        <v>11446000</v>
      </c>
      <c r="AE24" s="9"/>
      <c r="AF24" s="30"/>
      <c r="AG24" s="5"/>
      <c r="AH24" s="49">
        <v>83</v>
      </c>
      <c r="AI24" s="50">
        <v>118000</v>
      </c>
      <c r="AJ24" s="51">
        <f t="shared" si="10"/>
        <v>9794000</v>
      </c>
      <c r="AK24" s="9">
        <v>190</v>
      </c>
      <c r="AL24" s="28">
        <v>85800</v>
      </c>
      <c r="AM24" s="29">
        <f t="shared" si="11"/>
        <v>16302000</v>
      </c>
      <c r="AN24" s="49">
        <v>92</v>
      </c>
      <c r="AO24" s="68">
        <v>118000</v>
      </c>
      <c r="AP24" s="81">
        <f t="shared" si="4"/>
        <v>10856000</v>
      </c>
      <c r="AQ24" s="105">
        <v>50</v>
      </c>
      <c r="AR24" s="106">
        <v>85800</v>
      </c>
      <c r="AS24" s="107">
        <f>AQ24*AR24</f>
        <v>4290000</v>
      </c>
      <c r="AT24" s="105">
        <v>82</v>
      </c>
      <c r="AU24" s="106">
        <v>85800</v>
      </c>
      <c r="AV24" s="107">
        <f>AT24*AU24</f>
        <v>7035600</v>
      </c>
      <c r="AW24" s="105">
        <f>100+40</f>
        <v>140</v>
      </c>
      <c r="AX24" s="106" t="s">
        <v>134</v>
      </c>
      <c r="AY24" s="107">
        <f>9500000+4000000</f>
        <v>13500000</v>
      </c>
      <c r="AZ24" s="105">
        <v>68</v>
      </c>
      <c r="BA24" s="106">
        <v>118000</v>
      </c>
      <c r="BB24" s="107">
        <f>AZ24*BA24</f>
        <v>8024000</v>
      </c>
      <c r="BC24" s="105">
        <v>100</v>
      </c>
      <c r="BD24" s="106">
        <v>118000</v>
      </c>
      <c r="BE24" s="107">
        <v>11800000</v>
      </c>
      <c r="BF24" s="105">
        <v>140</v>
      </c>
      <c r="BG24" s="106">
        <v>118000</v>
      </c>
      <c r="BH24" s="107">
        <f t="shared" si="2"/>
        <v>16520000</v>
      </c>
    </row>
    <row r="25" spans="1:60" s="12" customFormat="1" ht="23.25" customHeight="1">
      <c r="A25" s="82">
        <v>21</v>
      </c>
      <c r="B25" s="26" t="s">
        <v>44</v>
      </c>
      <c r="C25" s="27" t="s">
        <v>11</v>
      </c>
      <c r="D25" s="9">
        <v>421</v>
      </c>
      <c r="E25" s="28">
        <v>79000</v>
      </c>
      <c r="F25" s="29">
        <f>D25*E25*98%</f>
        <v>32593820</v>
      </c>
      <c r="G25" s="10">
        <v>0.02</v>
      </c>
      <c r="H25" s="49">
        <v>213</v>
      </c>
      <c r="I25" s="50">
        <v>119000</v>
      </c>
      <c r="J25" s="51">
        <f>H25*I25</f>
        <v>25347000</v>
      </c>
      <c r="K25" s="9">
        <v>355</v>
      </c>
      <c r="L25" s="28">
        <v>79000</v>
      </c>
      <c r="M25" s="29">
        <f>K25*L25*98%</f>
        <v>27484100</v>
      </c>
      <c r="N25" s="10">
        <v>0.02</v>
      </c>
      <c r="O25" s="49">
        <v>140</v>
      </c>
      <c r="P25" s="50">
        <v>119000</v>
      </c>
      <c r="Q25" s="51">
        <f t="shared" si="3"/>
        <v>16660000</v>
      </c>
      <c r="R25" s="9">
        <v>180</v>
      </c>
      <c r="S25" s="30">
        <v>79000</v>
      </c>
      <c r="T25" s="5">
        <f>R25*S25*98%</f>
        <v>13935600</v>
      </c>
      <c r="U25" s="10">
        <v>0.02</v>
      </c>
      <c r="V25" s="49">
        <v>246</v>
      </c>
      <c r="W25" s="50">
        <v>119000</v>
      </c>
      <c r="X25" s="51">
        <f>V25*W25</f>
        <v>29274000</v>
      </c>
      <c r="Y25" s="82">
        <v>200</v>
      </c>
      <c r="Z25" s="30">
        <v>79000</v>
      </c>
      <c r="AA25" s="5">
        <f>Y25*Z25</f>
        <v>15800000</v>
      </c>
      <c r="AB25" s="49">
        <v>134</v>
      </c>
      <c r="AC25" s="50">
        <v>119000</v>
      </c>
      <c r="AD25" s="51">
        <f t="shared" si="6"/>
        <v>15946000</v>
      </c>
      <c r="AE25" s="9">
        <v>280</v>
      </c>
      <c r="AF25" s="30">
        <v>86900</v>
      </c>
      <c r="AG25" s="5">
        <f>AE25*AF25</f>
        <v>24332000</v>
      </c>
      <c r="AH25" s="49">
        <v>157</v>
      </c>
      <c r="AI25" s="50">
        <v>119000</v>
      </c>
      <c r="AJ25" s="51">
        <f t="shared" si="10"/>
        <v>18683000</v>
      </c>
      <c r="AK25" s="9">
        <v>240</v>
      </c>
      <c r="AL25" s="28">
        <v>86900</v>
      </c>
      <c r="AM25" s="29">
        <f t="shared" si="11"/>
        <v>20856000</v>
      </c>
      <c r="AN25" s="49">
        <v>103</v>
      </c>
      <c r="AO25" s="68">
        <v>119000</v>
      </c>
      <c r="AP25" s="81">
        <f t="shared" si="4"/>
        <v>12257000</v>
      </c>
      <c r="AQ25" s="105">
        <v>20</v>
      </c>
      <c r="AR25" s="106">
        <v>86900</v>
      </c>
      <c r="AS25" s="107">
        <f>AQ25*AR25</f>
        <v>1738000</v>
      </c>
      <c r="AT25" s="105">
        <v>60</v>
      </c>
      <c r="AU25" s="106">
        <v>86900</v>
      </c>
      <c r="AV25" s="107">
        <f>AT25*AU25</f>
        <v>5214000</v>
      </c>
      <c r="AW25" s="105">
        <f>100+90</f>
        <v>190</v>
      </c>
      <c r="AX25" s="106" t="s">
        <v>135</v>
      </c>
      <c r="AY25" s="107">
        <f>9600000+9090000</f>
        <v>18690000</v>
      </c>
      <c r="AZ25" s="105">
        <v>110</v>
      </c>
      <c r="BA25" s="106">
        <v>119000</v>
      </c>
      <c r="BB25" s="107">
        <f>AZ25*BA25</f>
        <v>13090000</v>
      </c>
      <c r="BC25" s="105">
        <v>238</v>
      </c>
      <c r="BD25" s="106">
        <v>119000</v>
      </c>
      <c r="BE25" s="107">
        <v>28322000</v>
      </c>
      <c r="BF25" s="105">
        <v>229</v>
      </c>
      <c r="BG25" s="106">
        <v>119000</v>
      </c>
      <c r="BH25" s="107">
        <f t="shared" si="2"/>
        <v>27251000</v>
      </c>
    </row>
    <row r="26" spans="1:60" s="12" customFormat="1" ht="23.25" customHeight="1">
      <c r="A26" s="82">
        <v>22</v>
      </c>
      <c r="B26" s="26" t="s">
        <v>45</v>
      </c>
      <c r="C26" s="27" t="s">
        <v>95</v>
      </c>
      <c r="D26" s="9">
        <v>91</v>
      </c>
      <c r="E26" s="28">
        <v>87500</v>
      </c>
      <c r="F26" s="29">
        <f>D26*E26*98%</f>
        <v>7803250</v>
      </c>
      <c r="G26" s="10">
        <v>0.02</v>
      </c>
      <c r="H26" s="49"/>
      <c r="I26" s="50"/>
      <c r="J26" s="51"/>
      <c r="K26" s="9">
        <v>54</v>
      </c>
      <c r="L26" s="28">
        <v>87500</v>
      </c>
      <c r="M26" s="29">
        <f>K26*L26*98%</f>
        <v>4630500</v>
      </c>
      <c r="N26" s="10">
        <v>0.02</v>
      </c>
      <c r="O26" s="49">
        <v>50</v>
      </c>
      <c r="P26" s="50">
        <v>128000</v>
      </c>
      <c r="Q26" s="51">
        <f t="shared" si="3"/>
        <v>6400000</v>
      </c>
      <c r="R26" s="9">
        <v>40</v>
      </c>
      <c r="S26" s="30">
        <v>87500</v>
      </c>
      <c r="T26" s="5">
        <f>R26*S26*98%</f>
        <v>3430000</v>
      </c>
      <c r="U26" s="10">
        <v>0.02</v>
      </c>
      <c r="V26" s="49">
        <v>100</v>
      </c>
      <c r="W26" s="50">
        <v>128000</v>
      </c>
      <c r="X26" s="51">
        <f>V26*W26</f>
        <v>12800000</v>
      </c>
      <c r="Y26" s="82">
        <v>142</v>
      </c>
      <c r="Z26" s="30">
        <v>87500</v>
      </c>
      <c r="AA26" s="5">
        <f>Y26*Z26</f>
        <v>12425000</v>
      </c>
      <c r="AB26" s="49"/>
      <c r="AC26" s="50"/>
      <c r="AD26" s="51"/>
      <c r="AE26" s="9"/>
      <c r="AF26" s="30"/>
      <c r="AG26" s="5"/>
      <c r="AH26" s="49">
        <v>100</v>
      </c>
      <c r="AI26" s="50">
        <v>128000</v>
      </c>
      <c r="AJ26" s="51">
        <f t="shared" si="10"/>
        <v>12800000</v>
      </c>
      <c r="AK26" s="9">
        <v>100</v>
      </c>
      <c r="AL26" s="28">
        <v>96300</v>
      </c>
      <c r="AM26" s="29">
        <f t="shared" si="11"/>
        <v>9630000</v>
      </c>
      <c r="AN26" s="49"/>
      <c r="AO26" s="68"/>
      <c r="AP26" s="81">
        <f t="shared" si="4"/>
        <v>0</v>
      </c>
      <c r="AQ26" s="105">
        <v>20</v>
      </c>
      <c r="AR26" s="106">
        <v>96300</v>
      </c>
      <c r="AS26" s="107">
        <f>AQ26*AR26</f>
        <v>1926000</v>
      </c>
      <c r="AT26" s="105">
        <v>80</v>
      </c>
      <c r="AU26" s="106">
        <v>96300</v>
      </c>
      <c r="AV26" s="107">
        <f>AT26*AU26</f>
        <v>7704000</v>
      </c>
      <c r="AW26" s="105">
        <v>18</v>
      </c>
      <c r="AX26" s="106">
        <v>96300</v>
      </c>
      <c r="AY26" s="107">
        <f>AW26*AX26</f>
        <v>1733400</v>
      </c>
      <c r="AZ26" s="105">
        <v>160</v>
      </c>
      <c r="BA26" s="106">
        <v>128000</v>
      </c>
      <c r="BB26" s="107">
        <f>AZ26*BA26</f>
        <v>20480000</v>
      </c>
      <c r="BC26" s="105">
        <v>57</v>
      </c>
      <c r="BD26" s="106">
        <v>128000</v>
      </c>
      <c r="BE26" s="107">
        <v>7296000</v>
      </c>
      <c r="BF26" s="105">
        <v>43</v>
      </c>
      <c r="BG26" s="106">
        <v>128000</v>
      </c>
      <c r="BH26" s="107">
        <f t="shared" si="2"/>
        <v>5504000</v>
      </c>
    </row>
    <row r="27" spans="1:60" s="12" customFormat="1" ht="23.25" customHeight="1">
      <c r="A27" s="82">
        <v>23</v>
      </c>
      <c r="B27" s="26" t="s">
        <v>82</v>
      </c>
      <c r="C27" s="27" t="s">
        <v>96</v>
      </c>
      <c r="D27" s="9"/>
      <c r="E27" s="28"/>
      <c r="F27" s="29"/>
      <c r="G27" s="10"/>
      <c r="H27" s="49"/>
      <c r="I27" s="50"/>
      <c r="J27" s="51"/>
      <c r="K27" s="9"/>
      <c r="L27" s="28"/>
      <c r="M27" s="29"/>
      <c r="N27" s="10"/>
      <c r="O27" s="49"/>
      <c r="P27" s="50"/>
      <c r="Q27" s="51"/>
      <c r="R27" s="9"/>
      <c r="S27" s="30"/>
      <c r="T27" s="5"/>
      <c r="U27" s="10"/>
      <c r="V27" s="49"/>
      <c r="W27" s="50"/>
      <c r="X27" s="51"/>
      <c r="Y27" s="82"/>
      <c r="Z27" s="30"/>
      <c r="AA27" s="5"/>
      <c r="AB27" s="49"/>
      <c r="AC27" s="50"/>
      <c r="AD27" s="51"/>
      <c r="AE27" s="9"/>
      <c r="AF27" s="30"/>
      <c r="AG27" s="5"/>
      <c r="AH27" s="49"/>
      <c r="AI27" s="50"/>
      <c r="AJ27" s="51"/>
      <c r="AK27" s="9"/>
      <c r="AL27" s="28"/>
      <c r="AM27" s="29"/>
      <c r="AN27" s="49"/>
      <c r="AO27" s="68"/>
      <c r="AP27" s="81">
        <f t="shared" si="4"/>
        <v>0</v>
      </c>
      <c r="AQ27" s="105"/>
      <c r="AR27" s="106"/>
      <c r="AS27" s="107"/>
      <c r="AT27" s="105"/>
      <c r="AU27" s="106"/>
      <c r="AV27" s="107"/>
      <c r="AW27" s="105"/>
      <c r="AX27" s="106"/>
      <c r="AY27" s="107"/>
      <c r="AZ27" s="105"/>
      <c r="BA27" s="106"/>
      <c r="BB27" s="107"/>
      <c r="BC27" s="105"/>
      <c r="BD27" s="106"/>
      <c r="BE27" s="107"/>
      <c r="BF27" s="105"/>
      <c r="BG27" s="106"/>
      <c r="BH27" s="107"/>
    </row>
    <row r="28" spans="1:60" s="12" customFormat="1" ht="24" customHeight="1">
      <c r="A28" s="82">
        <v>24</v>
      </c>
      <c r="B28" s="26" t="s">
        <v>83</v>
      </c>
      <c r="C28" s="27" t="s">
        <v>22</v>
      </c>
      <c r="D28" s="9"/>
      <c r="E28" s="28"/>
      <c r="F28" s="29"/>
      <c r="G28" s="10"/>
      <c r="H28" s="49"/>
      <c r="I28" s="50"/>
      <c r="J28" s="51"/>
      <c r="K28" s="9"/>
      <c r="L28" s="28"/>
      <c r="M28" s="29"/>
      <c r="N28" s="10"/>
      <c r="O28" s="49"/>
      <c r="P28" s="50"/>
      <c r="Q28" s="51"/>
      <c r="R28" s="9"/>
      <c r="S28" s="30"/>
      <c r="T28" s="5"/>
      <c r="U28" s="10"/>
      <c r="V28" s="49"/>
      <c r="W28" s="50"/>
      <c r="X28" s="51"/>
      <c r="Y28" s="82"/>
      <c r="Z28" s="30"/>
      <c r="AA28" s="5"/>
      <c r="AB28" s="49"/>
      <c r="AC28" s="50"/>
      <c r="AD28" s="51"/>
      <c r="AE28" s="9"/>
      <c r="AF28" s="30"/>
      <c r="AG28" s="5"/>
      <c r="AH28" s="49"/>
      <c r="AI28" s="50"/>
      <c r="AJ28" s="51"/>
      <c r="AK28" s="9"/>
      <c r="AL28" s="28"/>
      <c r="AM28" s="29"/>
      <c r="AN28" s="49"/>
      <c r="AO28" s="68"/>
      <c r="AP28" s="81">
        <f t="shared" si="4"/>
        <v>0</v>
      </c>
      <c r="AQ28" s="105"/>
      <c r="AR28" s="106"/>
      <c r="AS28" s="107"/>
      <c r="AT28" s="105"/>
      <c r="AU28" s="106"/>
      <c r="AV28" s="107"/>
      <c r="AW28" s="105"/>
      <c r="AX28" s="106"/>
      <c r="AY28" s="107"/>
      <c r="AZ28" s="105"/>
      <c r="BA28" s="106"/>
      <c r="BB28" s="107"/>
      <c r="BC28" s="105"/>
      <c r="BD28" s="106"/>
      <c r="BE28" s="107"/>
      <c r="BF28" s="105"/>
      <c r="BG28" s="106"/>
      <c r="BH28" s="107"/>
    </row>
    <row r="29" spans="1:60" s="12" customFormat="1" ht="23.25" customHeight="1">
      <c r="A29" s="82">
        <v>25</v>
      </c>
      <c r="B29" s="26" t="s">
        <v>46</v>
      </c>
      <c r="C29" s="27" t="s">
        <v>8</v>
      </c>
      <c r="D29" s="9">
        <v>118</v>
      </c>
      <c r="E29" s="28">
        <v>93500</v>
      </c>
      <c r="F29" s="29">
        <f>D29*E29*98%</f>
        <v>10812340</v>
      </c>
      <c r="G29" s="10">
        <v>0.02</v>
      </c>
      <c r="H29" s="49">
        <v>62</v>
      </c>
      <c r="I29" s="50">
        <v>134500</v>
      </c>
      <c r="J29" s="51">
        <f>H29*I29</f>
        <v>8339000</v>
      </c>
      <c r="K29" s="9"/>
      <c r="L29" s="28"/>
      <c r="M29" s="29"/>
      <c r="N29" s="10"/>
      <c r="O29" s="49">
        <v>129</v>
      </c>
      <c r="P29" s="50">
        <v>134500</v>
      </c>
      <c r="Q29" s="51">
        <f t="shared" si="3"/>
        <v>17350500</v>
      </c>
      <c r="R29" s="9">
        <v>130</v>
      </c>
      <c r="S29" s="30">
        <v>93500</v>
      </c>
      <c r="T29" s="5">
        <f>R29*S29*98%</f>
        <v>11911900</v>
      </c>
      <c r="U29" s="10">
        <v>0.02</v>
      </c>
      <c r="V29" s="49">
        <v>171</v>
      </c>
      <c r="W29" s="50">
        <v>134500</v>
      </c>
      <c r="X29" s="51">
        <f t="shared" ref="X29:X37" si="12">V29*W29</f>
        <v>22999500</v>
      </c>
      <c r="Y29" s="82">
        <v>50</v>
      </c>
      <c r="Z29" s="30">
        <v>93500</v>
      </c>
      <c r="AA29" s="5">
        <f t="shared" ref="AA29:AA36" si="13">Y29*Z29</f>
        <v>4675000</v>
      </c>
      <c r="AB29" s="49">
        <v>80</v>
      </c>
      <c r="AC29" s="50">
        <v>134500</v>
      </c>
      <c r="AD29" s="51">
        <f t="shared" ref="AD29:AD37" si="14">AB29*AC29</f>
        <v>10760000</v>
      </c>
      <c r="AE29" s="9">
        <v>170</v>
      </c>
      <c r="AF29" s="30">
        <v>102900</v>
      </c>
      <c r="AG29" s="5">
        <f t="shared" ref="AG29:AG37" si="15">AE29*AF29</f>
        <v>17493000</v>
      </c>
      <c r="AH29" s="49">
        <v>186</v>
      </c>
      <c r="AI29" s="50">
        <v>134500</v>
      </c>
      <c r="AJ29" s="51">
        <f t="shared" ref="AJ29:AJ37" si="16">AH29*AI29</f>
        <v>25017000</v>
      </c>
      <c r="AK29" s="9">
        <v>200</v>
      </c>
      <c r="AL29" s="28">
        <v>102900</v>
      </c>
      <c r="AM29" s="29">
        <f t="shared" ref="AM29:AM37" si="17">AK29*AL29</f>
        <v>20580000</v>
      </c>
      <c r="AN29" s="49">
        <v>134</v>
      </c>
      <c r="AO29" s="68">
        <v>134500</v>
      </c>
      <c r="AP29" s="81">
        <f t="shared" si="4"/>
        <v>18023000</v>
      </c>
      <c r="AQ29" s="105">
        <v>60</v>
      </c>
      <c r="AR29" s="106">
        <v>102900</v>
      </c>
      <c r="AS29" s="107">
        <f>AQ29*AR29</f>
        <v>6174000</v>
      </c>
      <c r="AT29" s="105">
        <v>140</v>
      </c>
      <c r="AU29" s="106">
        <v>102900</v>
      </c>
      <c r="AV29" s="107">
        <f>AT29*AU29</f>
        <v>14406000</v>
      </c>
      <c r="AW29" s="105">
        <f>60+60</f>
        <v>120</v>
      </c>
      <c r="AX29" s="106" t="s">
        <v>136</v>
      </c>
      <c r="AY29" s="107">
        <f>6840000+7200000</f>
        <v>14040000</v>
      </c>
      <c r="AZ29" s="105">
        <v>110</v>
      </c>
      <c r="BA29" s="106">
        <v>134500</v>
      </c>
      <c r="BB29" s="107">
        <f>AZ29*BA29</f>
        <v>14795000</v>
      </c>
      <c r="BC29" s="105">
        <v>145</v>
      </c>
      <c r="BD29" s="106">
        <v>134500</v>
      </c>
      <c r="BE29" s="107">
        <v>19502500</v>
      </c>
      <c r="BF29" s="105">
        <v>123</v>
      </c>
      <c r="BG29" s="106">
        <v>134500</v>
      </c>
      <c r="BH29" s="107">
        <f t="shared" si="2"/>
        <v>16543500</v>
      </c>
    </row>
    <row r="30" spans="1:60" s="12" customFormat="1" ht="23.25" customHeight="1">
      <c r="A30" s="82">
        <v>26</v>
      </c>
      <c r="B30" s="26" t="s">
        <v>47</v>
      </c>
      <c r="C30" s="27" t="s">
        <v>9</v>
      </c>
      <c r="D30" s="9">
        <v>620</v>
      </c>
      <c r="E30" s="28">
        <v>97000</v>
      </c>
      <c r="F30" s="29">
        <f>D30*E30*98%</f>
        <v>58937200</v>
      </c>
      <c r="G30" s="10">
        <v>0.02</v>
      </c>
      <c r="H30" s="49">
        <v>413</v>
      </c>
      <c r="I30" s="50">
        <v>139000</v>
      </c>
      <c r="J30" s="51">
        <f>H30*I30</f>
        <v>57407000</v>
      </c>
      <c r="K30" s="9">
        <v>497</v>
      </c>
      <c r="L30" s="28">
        <v>97000</v>
      </c>
      <c r="M30" s="29">
        <f t="shared" ref="M30:M36" si="18">K30*L30*98%</f>
        <v>47244820</v>
      </c>
      <c r="N30" s="10">
        <v>0.02</v>
      </c>
      <c r="O30" s="49">
        <v>329</v>
      </c>
      <c r="P30" s="50">
        <v>139000</v>
      </c>
      <c r="Q30" s="51">
        <f t="shared" si="3"/>
        <v>45731000</v>
      </c>
      <c r="R30" s="9">
        <v>330</v>
      </c>
      <c r="S30" s="30">
        <v>97000</v>
      </c>
      <c r="T30" s="5">
        <f>R30*S30*98%</f>
        <v>31369800</v>
      </c>
      <c r="U30" s="10">
        <v>0.02</v>
      </c>
      <c r="V30" s="49">
        <v>420</v>
      </c>
      <c r="W30" s="50">
        <v>139000</v>
      </c>
      <c r="X30" s="51">
        <f t="shared" si="12"/>
        <v>58380000</v>
      </c>
      <c r="Y30" s="82">
        <v>170</v>
      </c>
      <c r="Z30" s="30">
        <v>97000</v>
      </c>
      <c r="AA30" s="5">
        <f t="shared" si="13"/>
        <v>16490000</v>
      </c>
      <c r="AB30" s="49">
        <v>280</v>
      </c>
      <c r="AC30" s="50">
        <v>139000</v>
      </c>
      <c r="AD30" s="51">
        <f t="shared" si="14"/>
        <v>38920000</v>
      </c>
      <c r="AE30" s="9">
        <v>620</v>
      </c>
      <c r="AF30" s="30">
        <v>106700</v>
      </c>
      <c r="AG30" s="5">
        <f t="shared" si="15"/>
        <v>66154000</v>
      </c>
      <c r="AH30" s="49">
        <v>240</v>
      </c>
      <c r="AI30" s="50">
        <v>139000</v>
      </c>
      <c r="AJ30" s="51">
        <f t="shared" si="16"/>
        <v>33360000</v>
      </c>
      <c r="AK30" s="9">
        <v>340</v>
      </c>
      <c r="AL30" s="28">
        <v>106700</v>
      </c>
      <c r="AM30" s="29">
        <f t="shared" si="17"/>
        <v>36278000</v>
      </c>
      <c r="AN30" s="49">
        <v>225</v>
      </c>
      <c r="AO30" s="68">
        <v>139000</v>
      </c>
      <c r="AP30" s="81">
        <f t="shared" si="4"/>
        <v>31275000</v>
      </c>
      <c r="AQ30" s="105">
        <v>15</v>
      </c>
      <c r="AR30" s="106">
        <v>106700</v>
      </c>
      <c r="AS30" s="107">
        <f>AQ30*AR30</f>
        <v>1600500</v>
      </c>
      <c r="AT30" s="105">
        <v>126</v>
      </c>
      <c r="AU30" s="106">
        <v>106700</v>
      </c>
      <c r="AV30" s="107">
        <f>AT30*AU30</f>
        <v>13444200</v>
      </c>
      <c r="AW30" s="105">
        <f>30+90+130</f>
        <v>250</v>
      </c>
      <c r="AX30" s="106" t="s">
        <v>137</v>
      </c>
      <c r="AY30" s="107">
        <f>3201000+10620000+16120000</f>
        <v>29941000</v>
      </c>
      <c r="AZ30" s="105">
        <v>290</v>
      </c>
      <c r="BA30" s="106">
        <v>139000</v>
      </c>
      <c r="BB30" s="107">
        <f>AZ30*BA30</f>
        <v>40310000</v>
      </c>
      <c r="BC30" s="105">
        <v>289</v>
      </c>
      <c r="BD30" s="106">
        <v>139000</v>
      </c>
      <c r="BE30" s="107">
        <v>40171000</v>
      </c>
      <c r="BF30" s="105">
        <v>399</v>
      </c>
      <c r="BG30" s="106">
        <v>139000</v>
      </c>
      <c r="BH30" s="107">
        <f t="shared" si="2"/>
        <v>55461000</v>
      </c>
    </row>
    <row r="31" spans="1:60" s="12" customFormat="1" ht="23.25" customHeight="1">
      <c r="A31" s="82">
        <v>27</v>
      </c>
      <c r="B31" s="26" t="s">
        <v>48</v>
      </c>
      <c r="C31" s="27" t="s">
        <v>10</v>
      </c>
      <c r="D31" s="9">
        <v>74</v>
      </c>
      <c r="E31" s="28">
        <v>114500</v>
      </c>
      <c r="F31" s="29">
        <f>D31*E31*98%</f>
        <v>8303540</v>
      </c>
      <c r="G31" s="10">
        <v>0.02</v>
      </c>
      <c r="H31" s="49">
        <v>82</v>
      </c>
      <c r="I31" s="50">
        <v>168000</v>
      </c>
      <c r="J31" s="51">
        <f>H31*I31</f>
        <v>13776000</v>
      </c>
      <c r="K31" s="9">
        <v>160</v>
      </c>
      <c r="L31" s="28">
        <v>114500</v>
      </c>
      <c r="M31" s="29">
        <f t="shared" si="18"/>
        <v>17953600</v>
      </c>
      <c r="N31" s="10">
        <v>0.02</v>
      </c>
      <c r="O31" s="49">
        <v>110</v>
      </c>
      <c r="P31" s="50">
        <v>168000</v>
      </c>
      <c r="Q31" s="51">
        <f t="shared" si="3"/>
        <v>18480000</v>
      </c>
      <c r="R31" s="9"/>
      <c r="S31" s="30"/>
      <c r="T31" s="5"/>
      <c r="U31" s="10"/>
      <c r="V31" s="49">
        <v>40</v>
      </c>
      <c r="W31" s="50">
        <v>168000</v>
      </c>
      <c r="X31" s="51">
        <f t="shared" si="12"/>
        <v>6720000</v>
      </c>
      <c r="Y31" s="82">
        <v>31</v>
      </c>
      <c r="Z31" s="30">
        <v>114500</v>
      </c>
      <c r="AA31" s="5">
        <f t="shared" si="13"/>
        <v>3549500</v>
      </c>
      <c r="AB31" s="49">
        <v>50</v>
      </c>
      <c r="AC31" s="50">
        <v>168000</v>
      </c>
      <c r="AD31" s="51">
        <f t="shared" si="14"/>
        <v>8400000</v>
      </c>
      <c r="AE31" s="9">
        <v>69</v>
      </c>
      <c r="AF31" s="30">
        <v>126000</v>
      </c>
      <c r="AG31" s="5">
        <f t="shared" si="15"/>
        <v>8694000</v>
      </c>
      <c r="AH31" s="49">
        <v>200</v>
      </c>
      <c r="AI31" s="50">
        <v>168000</v>
      </c>
      <c r="AJ31" s="51">
        <f t="shared" si="16"/>
        <v>33600000</v>
      </c>
      <c r="AK31" s="9">
        <v>130</v>
      </c>
      <c r="AL31" s="28">
        <v>126000</v>
      </c>
      <c r="AM31" s="29">
        <f t="shared" si="17"/>
        <v>16380000</v>
      </c>
      <c r="AN31" s="49">
        <v>150</v>
      </c>
      <c r="AO31" s="68">
        <v>168000</v>
      </c>
      <c r="AP31" s="81">
        <f t="shared" si="4"/>
        <v>25200000</v>
      </c>
      <c r="AQ31" s="105">
        <v>90</v>
      </c>
      <c r="AR31" s="106">
        <v>126000</v>
      </c>
      <c r="AS31" s="107">
        <f>AQ31*AR31</f>
        <v>11340000</v>
      </c>
      <c r="AT31" s="105">
        <v>80</v>
      </c>
      <c r="AU31" s="106">
        <v>126000</v>
      </c>
      <c r="AV31" s="107">
        <f>AT31*AU31</f>
        <v>10080000</v>
      </c>
      <c r="AW31" s="105">
        <f>30+70</f>
        <v>100</v>
      </c>
      <c r="AX31" s="106" t="s">
        <v>138</v>
      </c>
      <c r="AY31" s="107">
        <f>4170000+10220000</f>
        <v>14390000</v>
      </c>
      <c r="AZ31" s="105">
        <v>60</v>
      </c>
      <c r="BA31" s="106">
        <v>168000</v>
      </c>
      <c r="BB31" s="107">
        <f>AZ31*BA31</f>
        <v>10080000</v>
      </c>
      <c r="BC31" s="105">
        <v>89</v>
      </c>
      <c r="BD31" s="106">
        <v>168000</v>
      </c>
      <c r="BE31" s="107">
        <v>14952000</v>
      </c>
      <c r="BF31" s="105">
        <v>59</v>
      </c>
      <c r="BG31" s="106">
        <v>168000</v>
      </c>
      <c r="BH31" s="107">
        <f t="shared" si="2"/>
        <v>9912000</v>
      </c>
    </row>
    <row r="32" spans="1:60" s="12" customFormat="1" ht="23.25" customHeight="1">
      <c r="A32" s="82">
        <v>28</v>
      </c>
      <c r="B32" s="26" t="s">
        <v>49</v>
      </c>
      <c r="C32" s="27" t="s">
        <v>97</v>
      </c>
      <c r="D32" s="9">
        <v>414</v>
      </c>
      <c r="E32" s="28">
        <v>122000</v>
      </c>
      <c r="F32" s="29">
        <f>D32*E32*98%</f>
        <v>49497840</v>
      </c>
      <c r="G32" s="10">
        <v>0.02</v>
      </c>
      <c r="H32" s="49">
        <v>210</v>
      </c>
      <c r="I32" s="50">
        <v>171000</v>
      </c>
      <c r="J32" s="51">
        <f>H32*I32</f>
        <v>35910000</v>
      </c>
      <c r="K32" s="9">
        <v>284</v>
      </c>
      <c r="L32" s="28">
        <v>122000</v>
      </c>
      <c r="M32" s="29">
        <f t="shared" si="18"/>
        <v>33955040</v>
      </c>
      <c r="N32" s="10">
        <v>0.02</v>
      </c>
      <c r="O32" s="49">
        <v>168</v>
      </c>
      <c r="P32" s="50">
        <v>171000</v>
      </c>
      <c r="Q32" s="51">
        <f t="shared" si="3"/>
        <v>28728000</v>
      </c>
      <c r="R32" s="9">
        <v>135</v>
      </c>
      <c r="S32" s="30">
        <v>122000</v>
      </c>
      <c r="T32" s="5">
        <f>R32*S32*98%</f>
        <v>16140600</v>
      </c>
      <c r="U32" s="10">
        <v>0.02</v>
      </c>
      <c r="V32" s="49">
        <v>222</v>
      </c>
      <c r="W32" s="50">
        <v>171000</v>
      </c>
      <c r="X32" s="51">
        <f t="shared" si="12"/>
        <v>37962000</v>
      </c>
      <c r="Y32" s="82">
        <v>114</v>
      </c>
      <c r="Z32" s="30">
        <v>122000</v>
      </c>
      <c r="AA32" s="5">
        <f t="shared" si="13"/>
        <v>13908000</v>
      </c>
      <c r="AB32" s="49">
        <v>133</v>
      </c>
      <c r="AC32" s="50">
        <v>171000</v>
      </c>
      <c r="AD32" s="51">
        <f t="shared" si="14"/>
        <v>22743000</v>
      </c>
      <c r="AE32" s="9">
        <v>291</v>
      </c>
      <c r="AF32" s="30">
        <v>134200</v>
      </c>
      <c r="AG32" s="5">
        <f t="shared" si="15"/>
        <v>39052200</v>
      </c>
      <c r="AH32" s="49">
        <v>167</v>
      </c>
      <c r="AI32" s="50">
        <v>171000</v>
      </c>
      <c r="AJ32" s="51">
        <f t="shared" si="16"/>
        <v>28557000</v>
      </c>
      <c r="AK32" s="9">
        <v>220</v>
      </c>
      <c r="AL32" s="28">
        <v>134200</v>
      </c>
      <c r="AM32" s="29">
        <f t="shared" si="17"/>
        <v>29524000</v>
      </c>
      <c r="AN32" s="49">
        <v>170</v>
      </c>
      <c r="AO32" s="68">
        <v>171000</v>
      </c>
      <c r="AP32" s="81">
        <f t="shared" si="4"/>
        <v>29070000</v>
      </c>
      <c r="AQ32" s="105">
        <v>30</v>
      </c>
      <c r="AR32" s="106">
        <v>134200</v>
      </c>
      <c r="AS32" s="107">
        <f>AQ32*AR32</f>
        <v>4026000</v>
      </c>
      <c r="AT32" s="105">
        <v>15</v>
      </c>
      <c r="AU32" s="106">
        <v>134200</v>
      </c>
      <c r="AV32" s="107">
        <f>AT32*AU32</f>
        <v>2013000</v>
      </c>
      <c r="AW32" s="105">
        <f>70+120</f>
        <v>190</v>
      </c>
      <c r="AX32" s="106" t="s">
        <v>139</v>
      </c>
      <c r="AY32" s="107">
        <f>10360000+18660000</f>
        <v>29020000</v>
      </c>
      <c r="AZ32" s="105">
        <v>60</v>
      </c>
      <c r="BA32" s="106">
        <v>171000</v>
      </c>
      <c r="BB32" s="107">
        <f>AZ32*BA32</f>
        <v>10260000</v>
      </c>
      <c r="BC32" s="105">
        <v>130</v>
      </c>
      <c r="BD32" s="106">
        <v>171000</v>
      </c>
      <c r="BE32" s="107">
        <v>22230000</v>
      </c>
      <c r="BF32" s="105">
        <v>200</v>
      </c>
      <c r="BG32" s="106">
        <v>171000</v>
      </c>
      <c r="BH32" s="107">
        <f t="shared" si="2"/>
        <v>34200000</v>
      </c>
    </row>
    <row r="33" spans="1:60" s="12" customFormat="1" ht="23.25" customHeight="1">
      <c r="A33" s="82">
        <v>29</v>
      </c>
      <c r="B33" s="26" t="s">
        <v>50</v>
      </c>
      <c r="C33" s="27" t="s">
        <v>98</v>
      </c>
      <c r="D33" s="9">
        <v>31</v>
      </c>
      <c r="E33" s="28">
        <v>130000</v>
      </c>
      <c r="F33" s="29">
        <f>D33*E33*98%</f>
        <v>3949400</v>
      </c>
      <c r="G33" s="10">
        <v>0.02</v>
      </c>
      <c r="H33" s="49"/>
      <c r="I33" s="50"/>
      <c r="J33" s="51"/>
      <c r="K33" s="9">
        <v>45</v>
      </c>
      <c r="L33" s="28">
        <v>130000</v>
      </c>
      <c r="M33" s="29">
        <f t="shared" si="18"/>
        <v>5733000</v>
      </c>
      <c r="N33" s="10">
        <v>0.02</v>
      </c>
      <c r="O33" s="49">
        <v>50</v>
      </c>
      <c r="P33" s="50">
        <v>190500</v>
      </c>
      <c r="Q33" s="51">
        <f t="shared" si="3"/>
        <v>9525000</v>
      </c>
      <c r="R33" s="9">
        <v>54</v>
      </c>
      <c r="S33" s="30">
        <v>130000</v>
      </c>
      <c r="T33" s="5">
        <f>R33*S33*98%</f>
        <v>6879600</v>
      </c>
      <c r="U33" s="10">
        <v>0.02</v>
      </c>
      <c r="V33" s="49">
        <v>30</v>
      </c>
      <c r="W33" s="50">
        <v>190500</v>
      </c>
      <c r="X33" s="51">
        <f t="shared" si="12"/>
        <v>5715000</v>
      </c>
      <c r="Y33" s="82">
        <v>37</v>
      </c>
      <c r="Z33" s="30">
        <v>130000</v>
      </c>
      <c r="AA33" s="5">
        <f t="shared" si="13"/>
        <v>4810000</v>
      </c>
      <c r="AB33" s="49">
        <v>20</v>
      </c>
      <c r="AC33" s="50">
        <v>190500</v>
      </c>
      <c r="AD33" s="51">
        <f t="shared" si="14"/>
        <v>3810000</v>
      </c>
      <c r="AE33" s="9">
        <v>50</v>
      </c>
      <c r="AF33" s="30">
        <v>143000</v>
      </c>
      <c r="AG33" s="5">
        <f t="shared" si="15"/>
        <v>7150000</v>
      </c>
      <c r="AH33" s="49">
        <v>75</v>
      </c>
      <c r="AI33" s="50">
        <v>190500</v>
      </c>
      <c r="AJ33" s="51">
        <f t="shared" si="16"/>
        <v>14287500</v>
      </c>
      <c r="AK33" s="9">
        <v>65</v>
      </c>
      <c r="AL33" s="28">
        <v>143000</v>
      </c>
      <c r="AM33" s="29">
        <f t="shared" si="17"/>
        <v>9295000</v>
      </c>
      <c r="AN33" s="49"/>
      <c r="AO33" s="68"/>
      <c r="AP33" s="81">
        <f t="shared" si="4"/>
        <v>0</v>
      </c>
      <c r="AQ33" s="105">
        <v>25</v>
      </c>
      <c r="AR33" s="106">
        <v>143000</v>
      </c>
      <c r="AS33" s="107">
        <f>AQ33*AR33</f>
        <v>3575000</v>
      </c>
      <c r="AT33" s="105"/>
      <c r="AU33" s="106"/>
      <c r="AV33" s="107"/>
      <c r="AW33" s="105">
        <v>13</v>
      </c>
      <c r="AX33" s="106">
        <v>143000</v>
      </c>
      <c r="AY33" s="107">
        <f>AW33*AX33</f>
        <v>1859000</v>
      </c>
      <c r="AZ33" s="105"/>
      <c r="BA33" s="106"/>
      <c r="BB33" s="107"/>
      <c r="BC33" s="105"/>
      <c r="BD33" s="106"/>
      <c r="BE33" s="107"/>
      <c r="BF33" s="105">
        <v>50</v>
      </c>
      <c r="BG33" s="106">
        <v>190500</v>
      </c>
      <c r="BH33" s="107">
        <f t="shared" si="2"/>
        <v>9525000</v>
      </c>
    </row>
    <row r="34" spans="1:60" s="12" customFormat="1" ht="23.25" customHeight="1">
      <c r="A34" s="82">
        <v>30</v>
      </c>
      <c r="B34" s="26" t="s">
        <v>76</v>
      </c>
      <c r="C34" s="27" t="s">
        <v>99</v>
      </c>
      <c r="D34" s="9"/>
      <c r="E34" s="28"/>
      <c r="F34" s="29"/>
      <c r="G34" s="10"/>
      <c r="H34" s="49">
        <v>77</v>
      </c>
      <c r="I34" s="50">
        <v>206000</v>
      </c>
      <c r="J34" s="51">
        <f>H34*I34</f>
        <v>15862000</v>
      </c>
      <c r="K34" s="9">
        <v>128</v>
      </c>
      <c r="L34" s="28">
        <v>144500</v>
      </c>
      <c r="M34" s="29">
        <f t="shared" si="18"/>
        <v>18126080</v>
      </c>
      <c r="N34" s="10">
        <v>0.02</v>
      </c>
      <c r="O34" s="49">
        <v>52</v>
      </c>
      <c r="P34" s="50">
        <v>206000</v>
      </c>
      <c r="Q34" s="51">
        <f t="shared" si="3"/>
        <v>10712000</v>
      </c>
      <c r="R34" s="9">
        <v>70</v>
      </c>
      <c r="S34" s="30">
        <v>144500</v>
      </c>
      <c r="T34" s="5">
        <f>R34*S34*98%</f>
        <v>9912700</v>
      </c>
      <c r="U34" s="10">
        <v>0.02</v>
      </c>
      <c r="V34" s="49">
        <v>65</v>
      </c>
      <c r="W34" s="50">
        <v>206000</v>
      </c>
      <c r="X34" s="51">
        <f t="shared" si="12"/>
        <v>13390000</v>
      </c>
      <c r="Y34" s="82">
        <v>60</v>
      </c>
      <c r="Z34" s="30">
        <v>144500</v>
      </c>
      <c r="AA34" s="5">
        <f t="shared" si="13"/>
        <v>8670000</v>
      </c>
      <c r="AB34" s="49">
        <v>84</v>
      </c>
      <c r="AC34" s="50">
        <v>206000</v>
      </c>
      <c r="AD34" s="51">
        <f t="shared" si="14"/>
        <v>17304000</v>
      </c>
      <c r="AE34" s="9">
        <v>105</v>
      </c>
      <c r="AF34" s="30">
        <v>159000</v>
      </c>
      <c r="AG34" s="5">
        <f t="shared" si="15"/>
        <v>16695000</v>
      </c>
      <c r="AH34" s="49">
        <v>22</v>
      </c>
      <c r="AI34" s="50">
        <v>206000</v>
      </c>
      <c r="AJ34" s="51">
        <f t="shared" si="16"/>
        <v>4532000</v>
      </c>
      <c r="AK34" s="9">
        <v>65</v>
      </c>
      <c r="AL34" s="28">
        <v>159000</v>
      </c>
      <c r="AM34" s="29">
        <f t="shared" si="17"/>
        <v>10335000</v>
      </c>
      <c r="AN34" s="49">
        <v>100</v>
      </c>
      <c r="AO34" s="68">
        <v>206000</v>
      </c>
      <c r="AP34" s="81">
        <f t="shared" si="4"/>
        <v>20600000</v>
      </c>
      <c r="AQ34" s="105"/>
      <c r="AR34" s="106"/>
      <c r="AS34" s="107"/>
      <c r="AT34" s="105">
        <v>30</v>
      </c>
      <c r="AU34" s="106">
        <v>159000</v>
      </c>
      <c r="AV34" s="107">
        <f>AT34*AU34</f>
        <v>4770000</v>
      </c>
      <c r="AW34" s="105"/>
      <c r="AX34" s="106"/>
      <c r="AY34" s="107"/>
      <c r="AZ34" s="105">
        <v>75</v>
      </c>
      <c r="BA34" s="106">
        <v>206000</v>
      </c>
      <c r="BB34" s="107">
        <f>AZ34*BA34</f>
        <v>15450000</v>
      </c>
      <c r="BC34" s="105">
        <v>38</v>
      </c>
      <c r="BD34" s="106">
        <v>206000</v>
      </c>
      <c r="BE34" s="107">
        <v>7828000</v>
      </c>
      <c r="BF34" s="105">
        <v>62</v>
      </c>
      <c r="BG34" s="106">
        <v>206000</v>
      </c>
      <c r="BH34" s="107">
        <f t="shared" si="2"/>
        <v>12772000</v>
      </c>
    </row>
    <row r="35" spans="1:60" s="12" customFormat="1" ht="23.25" customHeight="1">
      <c r="A35" s="82">
        <v>31</v>
      </c>
      <c r="B35" s="26" t="s">
        <v>51</v>
      </c>
      <c r="C35" s="27" t="s">
        <v>100</v>
      </c>
      <c r="D35" s="9">
        <v>147</v>
      </c>
      <c r="E35" s="28">
        <v>144500</v>
      </c>
      <c r="F35" s="29">
        <f>D35*E35*98%</f>
        <v>20816670</v>
      </c>
      <c r="G35" s="10">
        <v>0.02</v>
      </c>
      <c r="H35" s="49"/>
      <c r="I35" s="50"/>
      <c r="J35" s="51"/>
      <c r="K35" s="9">
        <v>106</v>
      </c>
      <c r="L35" s="28">
        <v>144500</v>
      </c>
      <c r="M35" s="29">
        <f t="shared" si="18"/>
        <v>15010660</v>
      </c>
      <c r="N35" s="10">
        <v>0.02</v>
      </c>
      <c r="O35" s="49">
        <v>83</v>
      </c>
      <c r="P35" s="50">
        <v>206000</v>
      </c>
      <c r="Q35" s="51">
        <f t="shared" si="3"/>
        <v>17098000</v>
      </c>
      <c r="R35" s="9"/>
      <c r="S35" s="30"/>
      <c r="T35" s="5"/>
      <c r="U35" s="10"/>
      <c r="V35" s="49">
        <v>17</v>
      </c>
      <c r="W35" s="50">
        <v>206000</v>
      </c>
      <c r="X35" s="51">
        <f t="shared" si="12"/>
        <v>3502000</v>
      </c>
      <c r="Y35" s="82">
        <v>65</v>
      </c>
      <c r="Z35" s="30">
        <v>144500</v>
      </c>
      <c r="AA35" s="5">
        <f t="shared" si="13"/>
        <v>9392500</v>
      </c>
      <c r="AB35" s="49">
        <v>76</v>
      </c>
      <c r="AC35" s="50">
        <v>206000</v>
      </c>
      <c r="AD35" s="51">
        <f t="shared" si="14"/>
        <v>15656000</v>
      </c>
      <c r="AE35" s="9">
        <v>105</v>
      </c>
      <c r="AF35" s="30">
        <v>159000</v>
      </c>
      <c r="AG35" s="5">
        <f t="shared" si="15"/>
        <v>16695000</v>
      </c>
      <c r="AH35" s="49">
        <v>24</v>
      </c>
      <c r="AI35" s="50">
        <v>206000</v>
      </c>
      <c r="AJ35" s="51">
        <f t="shared" si="16"/>
        <v>4944000</v>
      </c>
      <c r="AK35" s="9">
        <v>30</v>
      </c>
      <c r="AL35" s="28">
        <v>159000</v>
      </c>
      <c r="AM35" s="29">
        <f t="shared" si="17"/>
        <v>4770000</v>
      </c>
      <c r="AN35" s="49"/>
      <c r="AO35" s="68"/>
      <c r="AP35" s="81">
        <f t="shared" si="4"/>
        <v>0</v>
      </c>
      <c r="AQ35" s="105"/>
      <c r="AR35" s="106"/>
      <c r="AS35" s="107"/>
      <c r="AT35" s="105"/>
      <c r="AU35" s="106"/>
      <c r="AV35" s="107"/>
      <c r="AW35" s="105"/>
      <c r="AX35" s="106"/>
      <c r="AY35" s="107"/>
      <c r="AZ35" s="105"/>
      <c r="BA35" s="106"/>
      <c r="BB35" s="107"/>
      <c r="BC35" s="105">
        <v>40</v>
      </c>
      <c r="BD35" s="106">
        <v>206000</v>
      </c>
      <c r="BE35" s="107">
        <v>8240000</v>
      </c>
      <c r="BF35" s="105">
        <v>60</v>
      </c>
      <c r="BG35" s="106">
        <v>206000</v>
      </c>
      <c r="BH35" s="107">
        <f t="shared" si="2"/>
        <v>12360000</v>
      </c>
    </row>
    <row r="36" spans="1:60" s="12" customFormat="1" ht="23.25" customHeight="1">
      <c r="A36" s="82">
        <v>32</v>
      </c>
      <c r="B36" s="26" t="s">
        <v>52</v>
      </c>
      <c r="C36" s="27" t="s">
        <v>101</v>
      </c>
      <c r="D36" s="9">
        <v>490</v>
      </c>
      <c r="E36" s="28">
        <v>153000</v>
      </c>
      <c r="F36" s="29">
        <f>D36*E36*98%</f>
        <v>73470600</v>
      </c>
      <c r="G36" s="10">
        <v>0.02</v>
      </c>
      <c r="H36" s="49">
        <v>280</v>
      </c>
      <c r="I36" s="50">
        <v>213500</v>
      </c>
      <c r="J36" s="51">
        <f>H36*I36</f>
        <v>59780000</v>
      </c>
      <c r="K36" s="9">
        <v>297</v>
      </c>
      <c r="L36" s="28">
        <v>153000</v>
      </c>
      <c r="M36" s="29">
        <f t="shared" si="18"/>
        <v>44532180</v>
      </c>
      <c r="N36" s="10">
        <v>0.02</v>
      </c>
      <c r="O36" s="49">
        <v>369</v>
      </c>
      <c r="P36" s="50">
        <v>213500</v>
      </c>
      <c r="Q36" s="51">
        <f t="shared" si="3"/>
        <v>78781500</v>
      </c>
      <c r="R36" s="9">
        <v>215</v>
      </c>
      <c r="S36" s="30">
        <v>153000</v>
      </c>
      <c r="T36" s="5">
        <f>R36*S36*98%</f>
        <v>32237100</v>
      </c>
      <c r="U36" s="10">
        <v>0.02</v>
      </c>
      <c r="V36" s="49">
        <v>472</v>
      </c>
      <c r="W36" s="50">
        <v>213500</v>
      </c>
      <c r="X36" s="51">
        <f t="shared" si="12"/>
        <v>100772000</v>
      </c>
      <c r="Y36" s="82">
        <v>225</v>
      </c>
      <c r="Z36" s="30">
        <v>153000</v>
      </c>
      <c r="AA36" s="5">
        <f t="shared" si="13"/>
        <v>34425000</v>
      </c>
      <c r="AB36" s="49">
        <v>64</v>
      </c>
      <c r="AC36" s="50">
        <v>213500</v>
      </c>
      <c r="AD36" s="51">
        <f t="shared" si="14"/>
        <v>13664000</v>
      </c>
      <c r="AE36" s="9">
        <v>555</v>
      </c>
      <c r="AF36" s="30">
        <v>168300</v>
      </c>
      <c r="AG36" s="5">
        <f t="shared" si="15"/>
        <v>93406500</v>
      </c>
      <c r="AH36" s="49">
        <v>200</v>
      </c>
      <c r="AI36" s="50">
        <v>213500</v>
      </c>
      <c r="AJ36" s="51">
        <f t="shared" si="16"/>
        <v>42700000</v>
      </c>
      <c r="AK36" s="9">
        <v>260</v>
      </c>
      <c r="AL36" s="28">
        <v>168300</v>
      </c>
      <c r="AM36" s="29">
        <f t="shared" si="17"/>
        <v>43758000</v>
      </c>
      <c r="AN36" s="49">
        <v>180</v>
      </c>
      <c r="AO36" s="68">
        <v>213500</v>
      </c>
      <c r="AP36" s="81">
        <f t="shared" si="4"/>
        <v>38430000</v>
      </c>
      <c r="AQ36" s="105">
        <v>15</v>
      </c>
      <c r="AR36" s="106">
        <v>168300</v>
      </c>
      <c r="AS36" s="107">
        <f>AQ36*AR36</f>
        <v>2524500</v>
      </c>
      <c r="AT36" s="105">
        <v>35</v>
      </c>
      <c r="AU36" s="106">
        <v>168300</v>
      </c>
      <c r="AV36" s="107">
        <f>AT36*AU36</f>
        <v>5890500</v>
      </c>
      <c r="AW36" s="105">
        <f>80+130</f>
        <v>210</v>
      </c>
      <c r="AX36" s="106" t="s">
        <v>140</v>
      </c>
      <c r="AY36" s="107">
        <f>14800000+25220000</f>
        <v>40020000</v>
      </c>
      <c r="AZ36" s="105">
        <v>105</v>
      </c>
      <c r="BA36" s="106">
        <v>213500</v>
      </c>
      <c r="BB36" s="107">
        <f>AZ36*BA36</f>
        <v>22417500</v>
      </c>
      <c r="BC36" s="105">
        <v>223</v>
      </c>
      <c r="BD36" s="106">
        <v>213500</v>
      </c>
      <c r="BE36" s="107">
        <v>47610500</v>
      </c>
      <c r="BF36" s="105">
        <v>257</v>
      </c>
      <c r="BG36" s="106">
        <v>213500</v>
      </c>
      <c r="BH36" s="107">
        <f t="shared" si="2"/>
        <v>54869500</v>
      </c>
    </row>
    <row r="37" spans="1:60" s="12" customFormat="1" ht="23.25" customHeight="1">
      <c r="A37" s="93">
        <v>33</v>
      </c>
      <c r="B37" s="94" t="s">
        <v>77</v>
      </c>
      <c r="C37" s="95" t="s">
        <v>15</v>
      </c>
      <c r="D37" s="9"/>
      <c r="E37" s="28"/>
      <c r="F37" s="29"/>
      <c r="G37" s="10"/>
      <c r="H37" s="49">
        <v>30</v>
      </c>
      <c r="I37" s="50">
        <v>228500</v>
      </c>
      <c r="J37" s="51">
        <f>H37*I37</f>
        <v>6855000</v>
      </c>
      <c r="K37" s="9"/>
      <c r="L37" s="28"/>
      <c r="M37" s="29"/>
      <c r="N37" s="10"/>
      <c r="O37" s="49">
        <f>32+10</f>
        <v>42</v>
      </c>
      <c r="P37" s="50" t="s">
        <v>125</v>
      </c>
      <c r="Q37" s="51">
        <f>6928000+2285000</f>
        <v>9213000</v>
      </c>
      <c r="R37" s="11">
        <v>55</v>
      </c>
      <c r="S37" s="31">
        <v>160000</v>
      </c>
      <c r="T37" s="5">
        <f>R37*S37*98%</f>
        <v>8624000</v>
      </c>
      <c r="U37" s="10">
        <v>0.02</v>
      </c>
      <c r="V37" s="49">
        <v>28</v>
      </c>
      <c r="W37" s="50">
        <v>216500</v>
      </c>
      <c r="X37" s="51">
        <f t="shared" si="12"/>
        <v>6062000</v>
      </c>
      <c r="Y37" s="82"/>
      <c r="Z37" s="30"/>
      <c r="AA37" s="5"/>
      <c r="AB37" s="49">
        <v>66</v>
      </c>
      <c r="AC37" s="50">
        <v>216500</v>
      </c>
      <c r="AD37" s="51">
        <f t="shared" si="14"/>
        <v>14289000</v>
      </c>
      <c r="AE37" s="11">
        <v>60</v>
      </c>
      <c r="AF37" s="31">
        <v>176000</v>
      </c>
      <c r="AG37" s="5">
        <f t="shared" si="15"/>
        <v>10560000</v>
      </c>
      <c r="AH37" s="49">
        <v>34</v>
      </c>
      <c r="AI37" s="50">
        <v>216500</v>
      </c>
      <c r="AJ37" s="51">
        <f t="shared" si="16"/>
        <v>7361000</v>
      </c>
      <c r="AK37" s="9">
        <v>60</v>
      </c>
      <c r="AL37" s="28">
        <v>176000</v>
      </c>
      <c r="AM37" s="29">
        <f t="shared" si="17"/>
        <v>10560000</v>
      </c>
      <c r="AN37" s="49"/>
      <c r="AO37" s="68"/>
      <c r="AP37" s="81">
        <f t="shared" si="4"/>
        <v>0</v>
      </c>
      <c r="AQ37" s="105">
        <v>25</v>
      </c>
      <c r="AR37" s="106">
        <v>176000</v>
      </c>
      <c r="AS37" s="107">
        <f>AQ37*AR37</f>
        <v>4400000</v>
      </c>
      <c r="AT37" s="105"/>
      <c r="AU37" s="106"/>
      <c r="AV37" s="107"/>
      <c r="AW37" s="105">
        <v>50</v>
      </c>
      <c r="AX37" s="106">
        <v>204000</v>
      </c>
      <c r="AY37" s="107">
        <f t="shared" ref="AY37:AY41" si="19">AW37*AX37</f>
        <v>10200000</v>
      </c>
      <c r="AZ37" s="105">
        <v>11</v>
      </c>
      <c r="BA37" s="106">
        <v>228500</v>
      </c>
      <c r="BB37" s="107">
        <f>AZ37*BA37</f>
        <v>2513500</v>
      </c>
      <c r="BC37" s="105"/>
      <c r="BD37" s="106"/>
      <c r="BE37" s="107"/>
      <c r="BF37" s="105"/>
      <c r="BG37" s="106"/>
      <c r="BH37" s="107"/>
    </row>
    <row r="38" spans="1:60" s="12" customFormat="1" ht="23.25" customHeight="1">
      <c r="A38" s="82">
        <v>34</v>
      </c>
      <c r="B38" s="26" t="s">
        <v>71</v>
      </c>
      <c r="C38" s="3" t="s">
        <v>103</v>
      </c>
      <c r="D38" s="9"/>
      <c r="E38" s="28"/>
      <c r="F38" s="29"/>
      <c r="G38" s="10"/>
      <c r="H38" s="49"/>
      <c r="I38" s="50"/>
      <c r="J38" s="51"/>
      <c r="K38" s="9"/>
      <c r="L38" s="28"/>
      <c r="M38" s="29"/>
      <c r="N38" s="10"/>
      <c r="O38" s="49"/>
      <c r="P38" s="50"/>
      <c r="Q38" s="51"/>
      <c r="R38" s="11"/>
      <c r="S38" s="31"/>
      <c r="T38" s="5"/>
      <c r="U38" s="10"/>
      <c r="V38" s="49"/>
      <c r="W38" s="50"/>
      <c r="X38" s="51"/>
      <c r="Y38" s="82"/>
      <c r="Z38" s="30"/>
      <c r="AA38" s="5"/>
      <c r="AB38" s="49"/>
      <c r="AC38" s="50"/>
      <c r="AD38" s="51"/>
      <c r="AE38" s="11">
        <v>65</v>
      </c>
      <c r="AF38" s="31">
        <v>91900</v>
      </c>
      <c r="AG38" s="5">
        <f>AE38*AF38</f>
        <v>5973500</v>
      </c>
      <c r="AH38" s="49">
        <v>30</v>
      </c>
      <c r="AI38" s="50">
        <v>128500</v>
      </c>
      <c r="AJ38" s="51">
        <f>AH38*AI38</f>
        <v>3855000</v>
      </c>
      <c r="AK38" s="9"/>
      <c r="AL38" s="28"/>
      <c r="AM38" s="29"/>
      <c r="AN38" s="49"/>
      <c r="AO38" s="68"/>
      <c r="AP38" s="81">
        <f t="shared" si="4"/>
        <v>0</v>
      </c>
      <c r="AQ38" s="105"/>
      <c r="AR38" s="106"/>
      <c r="AS38" s="107"/>
      <c r="AT38" s="105">
        <v>20</v>
      </c>
      <c r="AU38" s="106">
        <v>91900</v>
      </c>
      <c r="AV38" s="107">
        <f>AT38*AU38</f>
        <v>1838000</v>
      </c>
      <c r="AW38" s="105">
        <v>40</v>
      </c>
      <c r="AX38" s="106">
        <v>91900</v>
      </c>
      <c r="AY38" s="107">
        <f t="shared" si="19"/>
        <v>3676000</v>
      </c>
      <c r="AZ38" s="105"/>
      <c r="BA38" s="106"/>
      <c r="BB38" s="107"/>
      <c r="BC38" s="105"/>
      <c r="BD38" s="106"/>
      <c r="BE38" s="107"/>
      <c r="BF38" s="105"/>
      <c r="BG38" s="106"/>
      <c r="BH38" s="107"/>
    </row>
    <row r="39" spans="1:60" s="12" customFormat="1" ht="23.25" customHeight="1">
      <c r="A39" s="82">
        <v>35</v>
      </c>
      <c r="B39" s="26" t="s">
        <v>78</v>
      </c>
      <c r="C39" s="27" t="s">
        <v>29</v>
      </c>
      <c r="D39" s="9"/>
      <c r="E39" s="28"/>
      <c r="F39" s="29"/>
      <c r="G39" s="10"/>
      <c r="H39" s="49">
        <v>50</v>
      </c>
      <c r="I39" s="50">
        <v>247000</v>
      </c>
      <c r="J39" s="51">
        <f>H39*I39</f>
        <v>12350000</v>
      </c>
      <c r="K39" s="9"/>
      <c r="L39" s="28"/>
      <c r="M39" s="29"/>
      <c r="N39" s="10"/>
      <c r="O39" s="49">
        <v>31</v>
      </c>
      <c r="P39" s="50">
        <v>247000</v>
      </c>
      <c r="Q39" s="51">
        <f t="shared" si="3"/>
        <v>7657000</v>
      </c>
      <c r="R39" s="11"/>
      <c r="S39" s="31"/>
      <c r="T39" s="5"/>
      <c r="U39" s="10"/>
      <c r="V39" s="49">
        <v>19</v>
      </c>
      <c r="W39" s="50">
        <v>247000</v>
      </c>
      <c r="X39" s="51">
        <f>V39*W39</f>
        <v>4693000</v>
      </c>
      <c r="Y39" s="82"/>
      <c r="Z39" s="30"/>
      <c r="AA39" s="5"/>
      <c r="AB39" s="49">
        <v>27</v>
      </c>
      <c r="AC39" s="50">
        <v>247000</v>
      </c>
      <c r="AD39" s="51">
        <f>AB39*AC39</f>
        <v>6669000</v>
      </c>
      <c r="AE39" s="11"/>
      <c r="AF39" s="31"/>
      <c r="AG39" s="5"/>
      <c r="AH39" s="49">
        <v>23</v>
      </c>
      <c r="AI39" s="50">
        <v>247000</v>
      </c>
      <c r="AJ39" s="51">
        <f>AH39*AI39</f>
        <v>5681000</v>
      </c>
      <c r="AK39" s="9">
        <v>35</v>
      </c>
      <c r="AL39" s="28">
        <v>191200</v>
      </c>
      <c r="AM39" s="29">
        <f>AK39*AL39</f>
        <v>6692000</v>
      </c>
      <c r="AN39" s="49"/>
      <c r="AO39" s="68"/>
      <c r="AP39" s="81">
        <f t="shared" si="4"/>
        <v>0</v>
      </c>
      <c r="AQ39" s="105"/>
      <c r="AR39" s="106"/>
      <c r="AS39" s="107"/>
      <c r="AT39" s="105">
        <v>45</v>
      </c>
      <c r="AU39" s="106">
        <v>191200</v>
      </c>
      <c r="AV39" s="107">
        <f>AT39*AU39</f>
        <v>8604000</v>
      </c>
      <c r="AW39" s="105">
        <v>20</v>
      </c>
      <c r="AX39" s="106">
        <v>191200</v>
      </c>
      <c r="AY39" s="107">
        <f t="shared" si="19"/>
        <v>3824000</v>
      </c>
      <c r="AZ39" s="105">
        <v>20</v>
      </c>
      <c r="BA39" s="106">
        <v>247000</v>
      </c>
      <c r="BB39" s="107">
        <f>AZ39*BA39</f>
        <v>4940000</v>
      </c>
      <c r="BC39" s="105">
        <v>9</v>
      </c>
      <c r="BD39" s="106">
        <v>247000</v>
      </c>
      <c r="BE39" s="107">
        <v>2223000</v>
      </c>
      <c r="BF39" s="105">
        <v>41</v>
      </c>
      <c r="BG39" s="106">
        <v>247000</v>
      </c>
      <c r="BH39" s="107">
        <f t="shared" si="2"/>
        <v>10127000</v>
      </c>
    </row>
    <row r="40" spans="1:60" s="12" customFormat="1" ht="23.25" customHeight="1">
      <c r="A40" s="82">
        <v>36</v>
      </c>
      <c r="B40" s="26" t="s">
        <v>53</v>
      </c>
      <c r="C40" s="27" t="s">
        <v>104</v>
      </c>
      <c r="D40" s="9">
        <v>144</v>
      </c>
      <c r="E40" s="28">
        <v>183000</v>
      </c>
      <c r="F40" s="29">
        <f>D40*E40*98%</f>
        <v>25824960</v>
      </c>
      <c r="G40" s="10">
        <v>0.02</v>
      </c>
      <c r="H40" s="49">
        <v>184</v>
      </c>
      <c r="I40" s="50">
        <v>256000</v>
      </c>
      <c r="J40" s="51">
        <f>H40*I40</f>
        <v>47104000</v>
      </c>
      <c r="K40" s="9">
        <v>71</v>
      </c>
      <c r="L40" s="28">
        <v>183000</v>
      </c>
      <c r="M40" s="29">
        <f>K40*L40*98%</f>
        <v>12733140</v>
      </c>
      <c r="N40" s="10">
        <v>0.02</v>
      </c>
      <c r="O40" s="49">
        <v>102</v>
      </c>
      <c r="P40" s="50">
        <v>256000</v>
      </c>
      <c r="Q40" s="51">
        <f t="shared" si="3"/>
        <v>26112000</v>
      </c>
      <c r="R40" s="9">
        <v>19</v>
      </c>
      <c r="S40" s="30">
        <v>183000</v>
      </c>
      <c r="T40" s="5">
        <f>R40*S40*98%</f>
        <v>3407460</v>
      </c>
      <c r="U40" s="10">
        <v>0.02</v>
      </c>
      <c r="V40" s="49">
        <v>130</v>
      </c>
      <c r="W40" s="50">
        <v>256000</v>
      </c>
      <c r="X40" s="51">
        <f>V40*W40</f>
        <v>33280000</v>
      </c>
      <c r="Y40" s="82">
        <v>35</v>
      </c>
      <c r="Z40" s="30">
        <v>183000</v>
      </c>
      <c r="AA40" s="5">
        <f>Y40*Z40</f>
        <v>6405000</v>
      </c>
      <c r="AB40" s="49">
        <v>62</v>
      </c>
      <c r="AC40" s="50">
        <v>256000</v>
      </c>
      <c r="AD40" s="51">
        <f>AB40*AC40</f>
        <v>15872000</v>
      </c>
      <c r="AE40" s="9">
        <v>275</v>
      </c>
      <c r="AF40" s="30">
        <v>197700</v>
      </c>
      <c r="AG40" s="5">
        <f>AE40*AF40</f>
        <v>54367500</v>
      </c>
      <c r="AH40" s="49">
        <v>115</v>
      </c>
      <c r="AI40" s="50">
        <v>256000</v>
      </c>
      <c r="AJ40" s="51">
        <f>AH40*AI40</f>
        <v>29440000</v>
      </c>
      <c r="AK40" s="9">
        <v>75</v>
      </c>
      <c r="AL40" s="28">
        <v>197700</v>
      </c>
      <c r="AM40" s="29">
        <f>AK40*AL40</f>
        <v>14827500</v>
      </c>
      <c r="AN40" s="49">
        <v>57</v>
      </c>
      <c r="AO40" s="68">
        <v>256000</v>
      </c>
      <c r="AP40" s="81">
        <f t="shared" si="4"/>
        <v>14592000</v>
      </c>
      <c r="AQ40" s="105"/>
      <c r="AR40" s="106"/>
      <c r="AS40" s="107"/>
      <c r="AT40" s="105">
        <v>40</v>
      </c>
      <c r="AU40" s="106">
        <v>197700</v>
      </c>
      <c r="AV40" s="107">
        <f>AT40*AU40</f>
        <v>7908000</v>
      </c>
      <c r="AW40" s="105">
        <v>75</v>
      </c>
      <c r="AX40" s="106">
        <v>197700</v>
      </c>
      <c r="AY40" s="107">
        <f t="shared" si="19"/>
        <v>14827500</v>
      </c>
      <c r="AZ40" s="105"/>
      <c r="BA40" s="106"/>
      <c r="BB40" s="107"/>
      <c r="BC40" s="105">
        <v>89</v>
      </c>
      <c r="BD40" s="106">
        <v>256000</v>
      </c>
      <c r="BE40" s="107">
        <v>22784000</v>
      </c>
      <c r="BF40" s="105">
        <v>111</v>
      </c>
      <c r="BG40" s="106">
        <v>256000</v>
      </c>
      <c r="BH40" s="107">
        <f t="shared" si="2"/>
        <v>28416000</v>
      </c>
    </row>
    <row r="41" spans="1:60" s="12" customFormat="1" ht="23.25" customHeight="1">
      <c r="A41" s="82">
        <v>37</v>
      </c>
      <c r="B41" s="26" t="s">
        <v>79</v>
      </c>
      <c r="C41" s="27" t="s">
        <v>105</v>
      </c>
      <c r="D41" s="9"/>
      <c r="E41" s="28"/>
      <c r="F41" s="29"/>
      <c r="G41" s="10"/>
      <c r="H41" s="49"/>
      <c r="I41" s="50"/>
      <c r="J41" s="51"/>
      <c r="K41" s="9"/>
      <c r="L41" s="28"/>
      <c r="M41" s="29"/>
      <c r="N41" s="10"/>
      <c r="O41" s="49"/>
      <c r="P41" s="50"/>
      <c r="Q41" s="51"/>
      <c r="R41" s="9"/>
      <c r="S41" s="30"/>
      <c r="T41" s="5"/>
      <c r="U41" s="10"/>
      <c r="V41" s="49"/>
      <c r="W41" s="50"/>
      <c r="X41" s="51"/>
      <c r="Y41" s="82"/>
      <c r="Z41" s="30"/>
      <c r="AA41" s="5"/>
      <c r="AB41" s="49"/>
      <c r="AC41" s="50"/>
      <c r="AD41" s="51"/>
      <c r="AE41" s="9"/>
      <c r="AF41" s="30"/>
      <c r="AG41" s="5"/>
      <c r="AH41" s="49"/>
      <c r="AI41" s="50"/>
      <c r="AJ41" s="51"/>
      <c r="AK41" s="9">
        <v>30</v>
      </c>
      <c r="AL41" s="28">
        <v>198800</v>
      </c>
      <c r="AM41" s="29">
        <f>AK41*AL41</f>
        <v>5964000</v>
      </c>
      <c r="AN41" s="49"/>
      <c r="AO41" s="68"/>
      <c r="AP41" s="81">
        <f t="shared" si="4"/>
        <v>0</v>
      </c>
      <c r="AQ41" s="105"/>
      <c r="AR41" s="106"/>
      <c r="AS41" s="107"/>
      <c r="AT41" s="105"/>
      <c r="AU41" s="106"/>
      <c r="AV41" s="107"/>
      <c r="AW41" s="105">
        <v>70</v>
      </c>
      <c r="AX41" s="106">
        <v>198800</v>
      </c>
      <c r="AY41" s="107">
        <f t="shared" si="19"/>
        <v>13916000</v>
      </c>
      <c r="AZ41" s="105"/>
      <c r="BA41" s="106"/>
      <c r="BB41" s="107"/>
      <c r="BC41" s="105"/>
      <c r="BD41" s="106"/>
      <c r="BE41" s="107"/>
      <c r="BF41" s="105"/>
      <c r="BG41" s="106"/>
      <c r="BH41" s="107"/>
    </row>
    <row r="42" spans="1:60" s="12" customFormat="1" ht="23.25" customHeight="1">
      <c r="A42" s="82">
        <v>38</v>
      </c>
      <c r="B42" s="26" t="s">
        <v>81</v>
      </c>
      <c r="C42" s="27" t="s">
        <v>31</v>
      </c>
      <c r="D42" s="9"/>
      <c r="E42" s="28"/>
      <c r="F42" s="29"/>
      <c r="G42" s="10"/>
      <c r="H42" s="49"/>
      <c r="I42" s="50"/>
      <c r="J42" s="51"/>
      <c r="K42" s="9">
        <v>20</v>
      </c>
      <c r="L42" s="28">
        <v>194500</v>
      </c>
      <c r="M42" s="29">
        <f>K42*L42*98%</f>
        <v>3812200</v>
      </c>
      <c r="N42" s="10">
        <v>0.02</v>
      </c>
      <c r="O42" s="49"/>
      <c r="P42" s="50"/>
      <c r="Q42" s="51"/>
      <c r="R42" s="9"/>
      <c r="S42" s="30"/>
      <c r="T42" s="5"/>
      <c r="U42" s="10"/>
      <c r="V42" s="49">
        <v>20</v>
      </c>
      <c r="W42" s="50">
        <v>279000</v>
      </c>
      <c r="X42" s="51">
        <f>V42*W42</f>
        <v>5580000</v>
      </c>
      <c r="Y42" s="82"/>
      <c r="Z42" s="30"/>
      <c r="AA42" s="5"/>
      <c r="AB42" s="49">
        <v>30</v>
      </c>
      <c r="AC42" s="50">
        <v>279000</v>
      </c>
      <c r="AD42" s="51">
        <f>AB42*AC42</f>
        <v>8370000</v>
      </c>
      <c r="AE42" s="9"/>
      <c r="AF42" s="30"/>
      <c r="AG42" s="5"/>
      <c r="AH42" s="49"/>
      <c r="AI42" s="50"/>
      <c r="AJ42" s="51"/>
      <c r="AK42" s="9"/>
      <c r="AL42" s="28"/>
      <c r="AM42" s="29"/>
      <c r="AN42" s="49"/>
      <c r="AO42" s="68"/>
      <c r="AP42" s="81">
        <f t="shared" si="4"/>
        <v>0</v>
      </c>
      <c r="AQ42" s="105">
        <v>6</v>
      </c>
      <c r="AR42" s="106">
        <v>210100</v>
      </c>
      <c r="AS42" s="107">
        <f>AQ42*AR42</f>
        <v>1260600</v>
      </c>
      <c r="AT42" s="105">
        <v>44</v>
      </c>
      <c r="AU42" s="106">
        <v>210100</v>
      </c>
      <c r="AV42" s="107">
        <f>AT42*AU42</f>
        <v>9244400</v>
      </c>
      <c r="AW42" s="105"/>
      <c r="AX42" s="106"/>
      <c r="AY42" s="107"/>
      <c r="AZ42" s="105"/>
      <c r="BA42" s="106"/>
      <c r="BB42" s="107"/>
      <c r="BC42" s="105">
        <v>4</v>
      </c>
      <c r="BD42" s="106">
        <v>279000</v>
      </c>
      <c r="BE42" s="107">
        <v>1116000</v>
      </c>
      <c r="BF42" s="105">
        <v>46</v>
      </c>
      <c r="BG42" s="106">
        <v>279000</v>
      </c>
      <c r="BH42" s="107">
        <f t="shared" si="2"/>
        <v>12834000</v>
      </c>
    </row>
    <row r="43" spans="1:60" s="12" customFormat="1" ht="22.5" customHeight="1">
      <c r="A43" s="82">
        <v>39</v>
      </c>
      <c r="B43" s="26" t="s">
        <v>80</v>
      </c>
      <c r="C43" s="3" t="s">
        <v>106</v>
      </c>
      <c r="D43" s="9"/>
      <c r="E43" s="28"/>
      <c r="F43" s="29"/>
      <c r="G43" s="10"/>
      <c r="H43" s="49"/>
      <c r="I43" s="50"/>
      <c r="J43" s="51"/>
      <c r="K43" s="9"/>
      <c r="L43" s="28"/>
      <c r="M43" s="29"/>
      <c r="N43" s="10"/>
      <c r="O43" s="49"/>
      <c r="P43" s="50"/>
      <c r="Q43" s="51"/>
      <c r="R43" s="9">
        <v>27</v>
      </c>
      <c r="S43" s="30">
        <v>186000</v>
      </c>
      <c r="T43" s="5">
        <f>R43*S43*98%</f>
        <v>4921560</v>
      </c>
      <c r="U43" s="10">
        <v>0.02</v>
      </c>
      <c r="V43" s="49"/>
      <c r="W43" s="50"/>
      <c r="X43" s="51"/>
      <c r="Y43" s="82"/>
      <c r="Z43" s="30"/>
      <c r="AA43" s="5"/>
      <c r="AB43" s="49"/>
      <c r="AC43" s="50"/>
      <c r="AD43" s="51"/>
      <c r="AE43" s="9"/>
      <c r="AF43" s="30"/>
      <c r="AG43" s="5"/>
      <c r="AH43" s="49"/>
      <c r="AI43" s="50"/>
      <c r="AJ43" s="51"/>
      <c r="AK43" s="9"/>
      <c r="AL43" s="28"/>
      <c r="AM43" s="29"/>
      <c r="AN43" s="49"/>
      <c r="AO43" s="68"/>
      <c r="AP43" s="81">
        <f t="shared" si="4"/>
        <v>0</v>
      </c>
      <c r="AQ43" s="105"/>
      <c r="AR43" s="106"/>
      <c r="AS43" s="107"/>
      <c r="AT43" s="105"/>
      <c r="AU43" s="106"/>
      <c r="AV43" s="107"/>
      <c r="AW43" s="105"/>
      <c r="AX43" s="106"/>
      <c r="AY43" s="107"/>
      <c r="AZ43" s="105"/>
      <c r="BA43" s="106"/>
      <c r="BB43" s="107"/>
      <c r="BC43" s="105"/>
      <c r="BD43" s="106"/>
      <c r="BE43" s="107"/>
      <c r="BF43" s="105">
        <v>33</v>
      </c>
      <c r="BG43" s="106">
        <v>259500</v>
      </c>
      <c r="BH43" s="107">
        <f t="shared" si="2"/>
        <v>8563500</v>
      </c>
    </row>
    <row r="44" spans="1:60" s="12" customFormat="1" ht="23.25" customHeight="1">
      <c r="A44" s="82">
        <v>40</v>
      </c>
      <c r="B44" s="26" t="s">
        <v>54</v>
      </c>
      <c r="C44" s="27" t="s">
        <v>107</v>
      </c>
      <c r="D44" s="9">
        <v>100</v>
      </c>
      <c r="E44" s="28">
        <v>196500</v>
      </c>
      <c r="F44" s="29">
        <f>D44*E44*98%</f>
        <v>19257000</v>
      </c>
      <c r="G44" s="10">
        <v>0.02</v>
      </c>
      <c r="H44" s="49">
        <v>33</v>
      </c>
      <c r="I44" s="50">
        <v>274500</v>
      </c>
      <c r="J44" s="51">
        <f>H44*I44</f>
        <v>9058500</v>
      </c>
      <c r="K44" s="9">
        <v>80</v>
      </c>
      <c r="L44" s="28">
        <v>196500</v>
      </c>
      <c r="M44" s="29">
        <f>K44*L44*98%</f>
        <v>15405600</v>
      </c>
      <c r="N44" s="10">
        <v>0.02</v>
      </c>
      <c r="O44" s="49">
        <v>48</v>
      </c>
      <c r="P44" s="50">
        <v>274500</v>
      </c>
      <c r="Q44" s="51">
        <f t="shared" si="3"/>
        <v>13176000</v>
      </c>
      <c r="R44" s="9"/>
      <c r="S44" s="30"/>
      <c r="T44" s="5"/>
      <c r="U44" s="10"/>
      <c r="V44" s="49">
        <v>47</v>
      </c>
      <c r="W44" s="50">
        <v>274500</v>
      </c>
      <c r="X44" s="51">
        <f>V44*W44</f>
        <v>12901500</v>
      </c>
      <c r="Y44" s="82"/>
      <c r="Z44" s="30"/>
      <c r="AA44" s="5"/>
      <c r="AB44" s="49">
        <v>41</v>
      </c>
      <c r="AC44" s="50">
        <v>274500</v>
      </c>
      <c r="AD44" s="51">
        <f>AB44*AC44</f>
        <v>11254500</v>
      </c>
      <c r="AE44" s="9">
        <v>40</v>
      </c>
      <c r="AF44" s="30">
        <v>212300</v>
      </c>
      <c r="AG44" s="5">
        <f>AE44*AF44</f>
        <v>8492000</v>
      </c>
      <c r="AH44" s="49">
        <v>61</v>
      </c>
      <c r="AI44" s="50">
        <v>274500</v>
      </c>
      <c r="AJ44" s="51">
        <f>AH44*AI44</f>
        <v>16744500</v>
      </c>
      <c r="AK44" s="9">
        <v>95</v>
      </c>
      <c r="AL44" s="28">
        <v>212300</v>
      </c>
      <c r="AM44" s="29">
        <f>AK44*AL44</f>
        <v>20168500</v>
      </c>
      <c r="AN44" s="49">
        <v>20</v>
      </c>
      <c r="AO44" s="68">
        <v>274500</v>
      </c>
      <c r="AP44" s="81">
        <f t="shared" si="4"/>
        <v>5490000</v>
      </c>
      <c r="AQ44" s="105"/>
      <c r="AR44" s="106"/>
      <c r="AS44" s="107"/>
      <c r="AT44" s="105">
        <v>50</v>
      </c>
      <c r="AU44" s="106">
        <v>212300</v>
      </c>
      <c r="AV44" s="107">
        <f>AT44*AU44</f>
        <v>10615000</v>
      </c>
      <c r="AW44" s="105">
        <v>15</v>
      </c>
      <c r="AX44" s="106">
        <v>212300</v>
      </c>
      <c r="AY44" s="107">
        <f>AW44*AX44</f>
        <v>3184500</v>
      </c>
      <c r="AZ44" s="105">
        <v>20</v>
      </c>
      <c r="BA44" s="106">
        <v>274500</v>
      </c>
      <c r="BB44" s="107">
        <f>AZ44*BA44</f>
        <v>5490000</v>
      </c>
      <c r="BC44" s="105">
        <v>34</v>
      </c>
      <c r="BD44" s="106">
        <v>274500</v>
      </c>
      <c r="BE44" s="107">
        <v>9333000</v>
      </c>
      <c r="BF44" s="105">
        <v>116</v>
      </c>
      <c r="BG44" s="106">
        <v>274500</v>
      </c>
      <c r="BH44" s="107">
        <f t="shared" si="2"/>
        <v>31842000</v>
      </c>
    </row>
    <row r="45" spans="1:60" s="12" customFormat="1" ht="23.25" customHeight="1">
      <c r="A45" s="82">
        <v>41</v>
      </c>
      <c r="B45" s="26" t="s">
        <v>84</v>
      </c>
      <c r="C45" s="27" t="s">
        <v>108</v>
      </c>
      <c r="D45" s="9"/>
      <c r="E45" s="28"/>
      <c r="F45" s="29"/>
      <c r="G45" s="10"/>
      <c r="H45" s="49">
        <v>59</v>
      </c>
      <c r="I45" s="50">
        <v>282000</v>
      </c>
      <c r="J45" s="51">
        <f>H45*I45</f>
        <v>16638000</v>
      </c>
      <c r="K45" s="9"/>
      <c r="L45" s="28"/>
      <c r="M45" s="29"/>
      <c r="N45" s="10"/>
      <c r="O45" s="49">
        <v>15</v>
      </c>
      <c r="P45" s="50">
        <v>282000</v>
      </c>
      <c r="Q45" s="51">
        <f t="shared" si="3"/>
        <v>4230000</v>
      </c>
      <c r="R45" s="9"/>
      <c r="S45" s="30"/>
      <c r="T45" s="5"/>
      <c r="U45" s="10"/>
      <c r="V45" s="49"/>
      <c r="W45" s="50"/>
      <c r="X45" s="51"/>
      <c r="Y45" s="82"/>
      <c r="Z45" s="30"/>
      <c r="AA45" s="5"/>
      <c r="AB45" s="49"/>
      <c r="AC45" s="50"/>
      <c r="AD45" s="51"/>
      <c r="AE45" s="9"/>
      <c r="AF45" s="30"/>
      <c r="AG45" s="5"/>
      <c r="AH45" s="49"/>
      <c r="AI45" s="50"/>
      <c r="AJ45" s="51"/>
      <c r="AK45" s="9"/>
      <c r="AL45" s="28"/>
      <c r="AM45" s="29"/>
      <c r="AN45" s="49">
        <v>26</v>
      </c>
      <c r="AO45" s="68">
        <v>282000</v>
      </c>
      <c r="AP45" s="81">
        <f t="shared" si="4"/>
        <v>7332000</v>
      </c>
      <c r="AQ45" s="105"/>
      <c r="AR45" s="106"/>
      <c r="AS45" s="107"/>
      <c r="AT45" s="105"/>
      <c r="AU45" s="106"/>
      <c r="AV45" s="107"/>
      <c r="AW45" s="105"/>
      <c r="AX45" s="106"/>
      <c r="AY45" s="107"/>
      <c r="AZ45" s="105"/>
      <c r="BA45" s="106"/>
      <c r="BB45" s="107"/>
      <c r="BC45" s="105">
        <v>50</v>
      </c>
      <c r="BD45" s="106">
        <v>282000</v>
      </c>
      <c r="BE45" s="107">
        <v>14100000</v>
      </c>
      <c r="BF45" s="105">
        <v>41</v>
      </c>
      <c r="BG45" s="106">
        <v>282000</v>
      </c>
      <c r="BH45" s="107">
        <f t="shared" si="2"/>
        <v>11562000</v>
      </c>
    </row>
    <row r="46" spans="1:60" s="12" customFormat="1" ht="23.25" customHeight="1">
      <c r="A46" s="82">
        <v>42</v>
      </c>
      <c r="B46" s="26" t="s">
        <v>74</v>
      </c>
      <c r="C46" s="27" t="s">
        <v>109</v>
      </c>
      <c r="D46" s="9"/>
      <c r="E46" s="28"/>
      <c r="F46" s="29"/>
      <c r="G46" s="10"/>
      <c r="H46" s="49"/>
      <c r="I46" s="50"/>
      <c r="J46" s="51"/>
      <c r="K46" s="9">
        <v>130</v>
      </c>
      <c r="L46" s="28">
        <v>83000</v>
      </c>
      <c r="M46" s="29">
        <f>K46*L46*98%</f>
        <v>10574200</v>
      </c>
      <c r="N46" s="10">
        <v>0.02</v>
      </c>
      <c r="O46" s="49"/>
      <c r="P46" s="50"/>
      <c r="Q46" s="51"/>
      <c r="R46" s="9">
        <v>75</v>
      </c>
      <c r="S46" s="30">
        <v>83000</v>
      </c>
      <c r="T46" s="5">
        <f>R46*S46*98%</f>
        <v>6100500</v>
      </c>
      <c r="U46" s="10">
        <v>0.02</v>
      </c>
      <c r="V46" s="49"/>
      <c r="W46" s="50"/>
      <c r="X46" s="51"/>
      <c r="Y46" s="82">
        <v>52</v>
      </c>
      <c r="Z46" s="30">
        <v>83000</v>
      </c>
      <c r="AA46" s="5">
        <f>Y46*Z46</f>
        <v>4316000</v>
      </c>
      <c r="AB46" s="49"/>
      <c r="AC46" s="50"/>
      <c r="AD46" s="51"/>
      <c r="AE46" s="9">
        <v>83</v>
      </c>
      <c r="AF46" s="30">
        <v>91300</v>
      </c>
      <c r="AG46" s="5">
        <f>AE46*AF46</f>
        <v>7577900</v>
      </c>
      <c r="AH46" s="49"/>
      <c r="AI46" s="50"/>
      <c r="AJ46" s="51"/>
      <c r="AK46" s="9">
        <v>15</v>
      </c>
      <c r="AL46" s="28">
        <v>91300</v>
      </c>
      <c r="AM46" s="29">
        <f>AK46*AL46</f>
        <v>1369500</v>
      </c>
      <c r="AN46" s="49">
        <v>50</v>
      </c>
      <c r="AO46" s="68">
        <v>122000</v>
      </c>
      <c r="AP46" s="81">
        <f t="shared" si="4"/>
        <v>6100000</v>
      </c>
      <c r="AQ46" s="105"/>
      <c r="AR46" s="106"/>
      <c r="AS46" s="107"/>
      <c r="AT46" s="105"/>
      <c r="AU46" s="106"/>
      <c r="AV46" s="107"/>
      <c r="AW46" s="105">
        <v>15</v>
      </c>
      <c r="AX46" s="106">
        <v>91300</v>
      </c>
      <c r="AY46" s="107">
        <f>AW46*AX46</f>
        <v>1369500</v>
      </c>
      <c r="AZ46" s="105"/>
      <c r="BA46" s="106"/>
      <c r="BB46" s="107"/>
      <c r="BC46" s="105"/>
      <c r="BD46" s="106"/>
      <c r="BE46" s="107"/>
      <c r="BF46" s="105"/>
      <c r="BG46" s="106"/>
      <c r="BH46" s="107"/>
    </row>
    <row r="47" spans="1:60" s="12" customFormat="1" ht="23.25" customHeight="1">
      <c r="A47" s="82">
        <v>43</v>
      </c>
      <c r="B47" s="26" t="s">
        <v>55</v>
      </c>
      <c r="C47" s="27" t="s">
        <v>110</v>
      </c>
      <c r="D47" s="9">
        <v>46</v>
      </c>
      <c r="E47" s="28">
        <v>255000</v>
      </c>
      <c r="F47" s="29">
        <f>D47*E47*98%</f>
        <v>11495400</v>
      </c>
      <c r="G47" s="10">
        <v>0.02</v>
      </c>
      <c r="H47" s="49">
        <v>49</v>
      </c>
      <c r="I47" s="50">
        <v>363500</v>
      </c>
      <c r="J47" s="51">
        <f>H47*I47</f>
        <v>17811500</v>
      </c>
      <c r="K47" s="9"/>
      <c r="L47" s="28"/>
      <c r="M47" s="29"/>
      <c r="N47" s="10"/>
      <c r="O47" s="49">
        <v>10</v>
      </c>
      <c r="P47" s="50">
        <v>363500</v>
      </c>
      <c r="Q47" s="51">
        <f t="shared" si="3"/>
        <v>3635000</v>
      </c>
      <c r="R47" s="9">
        <v>19</v>
      </c>
      <c r="S47" s="30">
        <v>255000</v>
      </c>
      <c r="T47" s="5">
        <f>R47*S47*98%</f>
        <v>4748100</v>
      </c>
      <c r="U47" s="10">
        <v>0.02</v>
      </c>
      <c r="V47" s="49">
        <v>31</v>
      </c>
      <c r="W47" s="50">
        <v>363500</v>
      </c>
      <c r="X47" s="51">
        <f>V47*W47</f>
        <v>11268500</v>
      </c>
      <c r="Y47" s="82"/>
      <c r="Z47" s="30"/>
      <c r="AA47" s="5"/>
      <c r="AB47" s="49">
        <v>41</v>
      </c>
      <c r="AC47" s="50">
        <v>363500</v>
      </c>
      <c r="AD47" s="51">
        <f>AB47*AC47</f>
        <v>14903500</v>
      </c>
      <c r="AE47" s="9">
        <v>60</v>
      </c>
      <c r="AF47" s="30">
        <v>272900</v>
      </c>
      <c r="AG47" s="5">
        <f>AE47*AF47</f>
        <v>16374000</v>
      </c>
      <c r="AH47" s="49"/>
      <c r="AI47" s="50"/>
      <c r="AJ47" s="51"/>
      <c r="AK47" s="9">
        <v>40</v>
      </c>
      <c r="AL47" s="28">
        <v>272900</v>
      </c>
      <c r="AM47" s="29">
        <f>AK47*AL47</f>
        <v>10916000</v>
      </c>
      <c r="AN47" s="49">
        <v>9</v>
      </c>
      <c r="AO47" s="68">
        <v>363500</v>
      </c>
      <c r="AP47" s="81">
        <f t="shared" si="4"/>
        <v>3271500</v>
      </c>
      <c r="AQ47" s="105"/>
      <c r="AR47" s="106"/>
      <c r="AS47" s="107"/>
      <c r="AT47" s="105"/>
      <c r="AU47" s="106"/>
      <c r="AV47" s="107"/>
      <c r="AW47" s="105"/>
      <c r="AX47" s="106"/>
      <c r="AY47" s="107"/>
      <c r="AZ47" s="105"/>
      <c r="BA47" s="106"/>
      <c r="BB47" s="107"/>
      <c r="BC47" s="105">
        <v>5</v>
      </c>
      <c r="BD47" s="106">
        <v>363500</v>
      </c>
      <c r="BE47" s="107">
        <v>1817500</v>
      </c>
      <c r="BF47" s="105">
        <v>54</v>
      </c>
      <c r="BG47" s="106">
        <v>363500</v>
      </c>
      <c r="BH47" s="107">
        <f t="shared" si="2"/>
        <v>19629000</v>
      </c>
    </row>
    <row r="48" spans="1:60" s="12" customFormat="1" ht="23.25" customHeight="1">
      <c r="A48" s="82">
        <v>44</v>
      </c>
      <c r="B48" s="26" t="s">
        <v>85</v>
      </c>
      <c r="C48" s="27" t="s">
        <v>111</v>
      </c>
      <c r="D48" s="9">
        <v>25</v>
      </c>
      <c r="E48" s="28">
        <v>239000</v>
      </c>
      <c r="F48" s="29">
        <f>D48*E48*98%</f>
        <v>5855500</v>
      </c>
      <c r="G48" s="10">
        <v>0.02</v>
      </c>
      <c r="H48" s="49">
        <v>23</v>
      </c>
      <c r="I48" s="50">
        <v>340500</v>
      </c>
      <c r="J48" s="51">
        <f>H48*I48</f>
        <v>7831500</v>
      </c>
      <c r="K48" s="9"/>
      <c r="L48" s="28"/>
      <c r="M48" s="29"/>
      <c r="N48" s="10"/>
      <c r="O48" s="49">
        <v>37</v>
      </c>
      <c r="P48" s="50">
        <v>340500</v>
      </c>
      <c r="Q48" s="51">
        <f t="shared" si="3"/>
        <v>12598500</v>
      </c>
      <c r="R48" s="9">
        <v>16</v>
      </c>
      <c r="S48" s="30">
        <v>239000</v>
      </c>
      <c r="T48" s="5">
        <f>R48*S48*98%</f>
        <v>3747520</v>
      </c>
      <c r="U48" s="10">
        <v>0.02</v>
      </c>
      <c r="V48" s="49">
        <v>30</v>
      </c>
      <c r="W48" s="50">
        <v>340500</v>
      </c>
      <c r="X48" s="51">
        <f>V48*W48</f>
        <v>10215000</v>
      </c>
      <c r="Y48" s="82"/>
      <c r="Z48" s="30"/>
      <c r="AA48" s="5"/>
      <c r="AB48" s="49">
        <v>20</v>
      </c>
      <c r="AC48" s="50">
        <v>340500</v>
      </c>
      <c r="AD48" s="51">
        <f>AB48*AC48</f>
        <v>6810000</v>
      </c>
      <c r="AE48" s="9">
        <v>54</v>
      </c>
      <c r="AF48" s="30">
        <v>255800</v>
      </c>
      <c r="AG48" s="5">
        <f>AE48*AF48</f>
        <v>13813200</v>
      </c>
      <c r="AH48" s="49">
        <v>30</v>
      </c>
      <c r="AI48" s="50">
        <v>340500</v>
      </c>
      <c r="AJ48" s="51">
        <f>AH48*AI48</f>
        <v>10215000</v>
      </c>
      <c r="AK48" s="9"/>
      <c r="AL48" s="28"/>
      <c r="AM48" s="29"/>
      <c r="AN48" s="49"/>
      <c r="AO48" s="68"/>
      <c r="AP48" s="81">
        <f t="shared" si="4"/>
        <v>0</v>
      </c>
      <c r="AQ48" s="105"/>
      <c r="AR48" s="106"/>
      <c r="AS48" s="107"/>
      <c r="AT48" s="105">
        <v>25</v>
      </c>
      <c r="AU48" s="106">
        <v>255800</v>
      </c>
      <c r="AV48" s="107">
        <f>AT48*AU48</f>
        <v>6395000</v>
      </c>
      <c r="AW48" s="105">
        <v>30</v>
      </c>
      <c r="AX48" s="106">
        <v>255800</v>
      </c>
      <c r="AY48" s="107">
        <f>AW48*AX48</f>
        <v>7674000</v>
      </c>
      <c r="AZ48" s="105"/>
      <c r="BA48" s="106"/>
      <c r="BB48" s="107"/>
      <c r="BC48" s="105">
        <v>18</v>
      </c>
      <c r="BD48" s="106">
        <v>340500</v>
      </c>
      <c r="BE48" s="107">
        <v>6129000</v>
      </c>
      <c r="BF48" s="105">
        <v>32</v>
      </c>
      <c r="BG48" s="106">
        <v>340500</v>
      </c>
      <c r="BH48" s="107">
        <f t="shared" si="2"/>
        <v>10896000</v>
      </c>
    </row>
    <row r="49" spans="1:60" s="12" customFormat="1" ht="23.25" customHeight="1">
      <c r="A49" s="82">
        <v>45</v>
      </c>
      <c r="B49" s="26" t="s">
        <v>56</v>
      </c>
      <c r="C49" s="27" t="s">
        <v>112</v>
      </c>
      <c r="D49" s="9">
        <v>6</v>
      </c>
      <c r="E49" s="28">
        <v>166500</v>
      </c>
      <c r="F49" s="29">
        <f>D49*E49*93%</f>
        <v>929070</v>
      </c>
      <c r="G49" s="10">
        <v>7.0000000000000007E-2</v>
      </c>
      <c r="H49" s="49"/>
      <c r="I49" s="50"/>
      <c r="J49" s="51"/>
      <c r="K49" s="9"/>
      <c r="L49" s="28"/>
      <c r="M49" s="29"/>
      <c r="N49" s="10"/>
      <c r="O49" s="49"/>
      <c r="P49" s="50"/>
      <c r="Q49" s="51"/>
      <c r="R49" s="9"/>
      <c r="S49" s="30"/>
      <c r="T49" s="5"/>
      <c r="U49" s="10"/>
      <c r="V49" s="49">
        <v>20</v>
      </c>
      <c r="W49" s="50">
        <v>222000</v>
      </c>
      <c r="X49" s="51">
        <f>V49*W49</f>
        <v>4440000</v>
      </c>
      <c r="Y49" s="82"/>
      <c r="Z49" s="30"/>
      <c r="AA49" s="5"/>
      <c r="AB49" s="49">
        <v>10</v>
      </c>
      <c r="AC49" s="50">
        <v>222000</v>
      </c>
      <c r="AD49" s="51">
        <f>AB49*AC49</f>
        <v>2220000</v>
      </c>
      <c r="AE49" s="9"/>
      <c r="AF49" s="30"/>
      <c r="AG49" s="5"/>
      <c r="AH49" s="49">
        <v>20</v>
      </c>
      <c r="AI49" s="50">
        <v>222000</v>
      </c>
      <c r="AJ49" s="51">
        <f>AH49*AI49</f>
        <v>4440000</v>
      </c>
      <c r="AK49" s="9">
        <v>10</v>
      </c>
      <c r="AL49" s="28">
        <v>175000</v>
      </c>
      <c r="AM49" s="29">
        <f>AK49*AL49</f>
        <v>1750000</v>
      </c>
      <c r="AN49" s="49">
        <v>20</v>
      </c>
      <c r="AO49" s="68">
        <v>222000</v>
      </c>
      <c r="AP49" s="81">
        <f t="shared" si="4"/>
        <v>4440000</v>
      </c>
      <c r="AQ49" s="105">
        <v>4</v>
      </c>
      <c r="AR49" s="106">
        <v>175000</v>
      </c>
      <c r="AS49" s="107">
        <f>AQ49*AR49</f>
        <v>700000</v>
      </c>
      <c r="AT49" s="105">
        <v>8</v>
      </c>
      <c r="AU49" s="106">
        <v>175000</v>
      </c>
      <c r="AV49" s="107">
        <f>AT49*AU49</f>
        <v>1400000</v>
      </c>
      <c r="AW49" s="105">
        <v>4</v>
      </c>
      <c r="AX49" s="106">
        <v>202000</v>
      </c>
      <c r="AY49" s="107">
        <f>AW49*AX49</f>
        <v>808000</v>
      </c>
      <c r="AZ49" s="105"/>
      <c r="BA49" s="106"/>
      <c r="BB49" s="107"/>
      <c r="BC49" s="105">
        <v>20</v>
      </c>
      <c r="BD49" s="106">
        <v>222000</v>
      </c>
      <c r="BE49" s="107">
        <v>4440000</v>
      </c>
      <c r="BF49" s="105"/>
      <c r="BG49" s="106"/>
      <c r="BH49" s="107"/>
    </row>
    <row r="50" spans="1:60" s="12" customFormat="1" ht="23.25" customHeight="1">
      <c r="A50" s="82">
        <v>46</v>
      </c>
      <c r="B50" s="26" t="s">
        <v>57</v>
      </c>
      <c r="C50" s="27" t="s">
        <v>113</v>
      </c>
      <c r="D50" s="9">
        <v>100</v>
      </c>
      <c r="E50" s="28">
        <v>14000</v>
      </c>
      <c r="F50" s="29">
        <f>D50*E50*98%</f>
        <v>1372000</v>
      </c>
      <c r="G50" s="10">
        <v>0.02</v>
      </c>
      <c r="H50" s="49">
        <v>80</v>
      </c>
      <c r="I50" s="50">
        <v>20000</v>
      </c>
      <c r="J50" s="51">
        <f>H50*I50</f>
        <v>1600000</v>
      </c>
      <c r="K50" s="9">
        <v>50</v>
      </c>
      <c r="L50" s="28">
        <v>14000</v>
      </c>
      <c r="M50" s="29">
        <f>K50*L50*98%</f>
        <v>686000</v>
      </c>
      <c r="N50" s="10">
        <v>0.02</v>
      </c>
      <c r="O50" s="49"/>
      <c r="P50" s="50"/>
      <c r="Q50" s="51"/>
      <c r="R50" s="9"/>
      <c r="S50" s="30"/>
      <c r="T50" s="5"/>
      <c r="U50" s="10"/>
      <c r="V50" s="49">
        <v>20</v>
      </c>
      <c r="W50" s="50">
        <v>20000</v>
      </c>
      <c r="X50" s="51">
        <f>V50*W50</f>
        <v>400000</v>
      </c>
      <c r="Y50" s="82">
        <v>60</v>
      </c>
      <c r="Z50" s="30">
        <v>14000</v>
      </c>
      <c r="AA50" s="5">
        <f>Y50*Z50</f>
        <v>840000</v>
      </c>
      <c r="AB50" s="49">
        <v>100</v>
      </c>
      <c r="AC50" s="50">
        <v>20000</v>
      </c>
      <c r="AD50" s="51">
        <f>AB50*AC50</f>
        <v>2000000</v>
      </c>
      <c r="AE50" s="9">
        <v>190</v>
      </c>
      <c r="AF50" s="30">
        <v>14000</v>
      </c>
      <c r="AG50" s="5">
        <f>AE50*AF50</f>
        <v>2660000</v>
      </c>
      <c r="AH50" s="49">
        <v>150</v>
      </c>
      <c r="AI50" s="50">
        <v>20000</v>
      </c>
      <c r="AJ50" s="51">
        <f>AH50*AI50</f>
        <v>3000000</v>
      </c>
      <c r="AK50" s="9">
        <v>50</v>
      </c>
      <c r="AL50" s="28">
        <v>14000</v>
      </c>
      <c r="AM50" s="29">
        <f>AK50*AL50</f>
        <v>700000</v>
      </c>
      <c r="AN50" s="49">
        <v>150</v>
      </c>
      <c r="AO50" s="68">
        <v>20000</v>
      </c>
      <c r="AP50" s="81">
        <f t="shared" si="4"/>
        <v>3000000</v>
      </c>
      <c r="AQ50" s="108"/>
      <c r="AR50" s="109"/>
      <c r="AS50" s="108"/>
      <c r="AT50" s="105">
        <v>100</v>
      </c>
      <c r="AU50" s="106">
        <v>14000</v>
      </c>
      <c r="AV50" s="107">
        <f>AT50*AU50</f>
        <v>1400000</v>
      </c>
      <c r="AW50" s="105">
        <v>50</v>
      </c>
      <c r="AX50" s="106">
        <v>18000</v>
      </c>
      <c r="AY50" s="107">
        <f>AW50*AX50</f>
        <v>900000</v>
      </c>
      <c r="AZ50" s="105">
        <v>160</v>
      </c>
      <c r="BA50" s="106">
        <v>20000</v>
      </c>
      <c r="BB50" s="107">
        <f>AZ50*BA50</f>
        <v>3200000</v>
      </c>
      <c r="BC50" s="105"/>
      <c r="BD50" s="106"/>
      <c r="BE50" s="107"/>
      <c r="BF50" s="105"/>
      <c r="BG50" s="106"/>
      <c r="BH50" s="107"/>
    </row>
    <row r="51" spans="1:60" s="12" customFormat="1" ht="23.25" customHeight="1">
      <c r="A51" s="82">
        <v>47</v>
      </c>
      <c r="B51" s="26" t="s">
        <v>58</v>
      </c>
      <c r="C51" s="27" t="s">
        <v>114</v>
      </c>
      <c r="D51" s="9"/>
      <c r="E51" s="28"/>
      <c r="F51" s="29"/>
      <c r="G51" s="10"/>
      <c r="H51" s="49"/>
      <c r="I51" s="50"/>
      <c r="J51" s="51"/>
      <c r="K51" s="9"/>
      <c r="L51" s="28"/>
      <c r="M51" s="29"/>
      <c r="N51" s="10"/>
      <c r="O51" s="49"/>
      <c r="P51" s="50"/>
      <c r="Q51" s="51"/>
      <c r="R51" s="9"/>
      <c r="S51" s="30"/>
      <c r="T51" s="5"/>
      <c r="U51" s="10"/>
      <c r="V51" s="49"/>
      <c r="W51" s="50"/>
      <c r="X51" s="51"/>
      <c r="Y51" s="82"/>
      <c r="Z51" s="30"/>
      <c r="AA51" s="5"/>
      <c r="AB51" s="49"/>
      <c r="AC51" s="50"/>
      <c r="AD51" s="51"/>
      <c r="AE51" s="9"/>
      <c r="AF51" s="30"/>
      <c r="AG51" s="5"/>
      <c r="AH51" s="49">
        <v>3</v>
      </c>
      <c r="AI51" s="50">
        <v>312500</v>
      </c>
      <c r="AJ51" s="51">
        <f>AH51*AI51</f>
        <v>937500</v>
      </c>
      <c r="AK51" s="9"/>
      <c r="AL51" s="28"/>
      <c r="AM51" s="29"/>
      <c r="AN51" s="49">
        <v>7</v>
      </c>
      <c r="AO51" s="68">
        <v>312500</v>
      </c>
      <c r="AP51" s="81">
        <f t="shared" si="4"/>
        <v>2187500</v>
      </c>
      <c r="AQ51" s="110"/>
      <c r="AR51" s="104"/>
      <c r="AS51" s="111"/>
      <c r="AT51" s="105"/>
      <c r="AU51" s="106"/>
      <c r="AV51" s="107"/>
      <c r="AW51" s="105"/>
      <c r="AX51" s="106"/>
      <c r="AY51" s="107"/>
      <c r="AZ51" s="105"/>
      <c r="BA51" s="106"/>
      <c r="BB51" s="107"/>
      <c r="BC51" s="105"/>
      <c r="BD51" s="106"/>
      <c r="BE51" s="107"/>
      <c r="BF51" s="105"/>
      <c r="BG51" s="106"/>
      <c r="BH51" s="107"/>
    </row>
    <row r="52" spans="1:60" s="12" customFormat="1" ht="23.25" customHeight="1">
      <c r="A52" s="82">
        <v>48</v>
      </c>
      <c r="B52" s="26" t="s">
        <v>86</v>
      </c>
      <c r="C52" s="27" t="s">
        <v>115</v>
      </c>
      <c r="D52" s="9">
        <v>14</v>
      </c>
      <c r="E52" s="28">
        <v>249000</v>
      </c>
      <c r="F52" s="29">
        <f>D52*E52*93%</f>
        <v>3241980</v>
      </c>
      <c r="G52" s="10">
        <v>7.0000000000000007E-2</v>
      </c>
      <c r="H52" s="49">
        <v>6</v>
      </c>
      <c r="I52" s="50">
        <v>339000</v>
      </c>
      <c r="J52" s="51">
        <f>H52*I52</f>
        <v>2034000</v>
      </c>
      <c r="K52" s="9"/>
      <c r="L52" s="28"/>
      <c r="M52" s="29"/>
      <c r="N52" s="10"/>
      <c r="O52" s="49"/>
      <c r="P52" s="50"/>
      <c r="Q52" s="51"/>
      <c r="R52" s="9"/>
      <c r="S52" s="30"/>
      <c r="T52" s="5"/>
      <c r="U52" s="10"/>
      <c r="V52" s="49">
        <v>9</v>
      </c>
      <c r="W52" s="50">
        <v>339000</v>
      </c>
      <c r="X52" s="51">
        <f>V52*W52</f>
        <v>3051000</v>
      </c>
      <c r="Y52" s="82">
        <v>10</v>
      </c>
      <c r="Z52" s="31">
        <v>249000</v>
      </c>
      <c r="AA52" s="5">
        <f>Y52*Z52</f>
        <v>2490000</v>
      </c>
      <c r="AB52" s="49">
        <v>5</v>
      </c>
      <c r="AC52" s="50">
        <v>339000</v>
      </c>
      <c r="AD52" s="51">
        <f>AB52*AC52</f>
        <v>1695000</v>
      </c>
      <c r="AE52" s="9"/>
      <c r="AF52" s="30"/>
      <c r="AG52" s="5"/>
      <c r="AH52" s="49">
        <v>10</v>
      </c>
      <c r="AI52" s="50">
        <v>339000</v>
      </c>
      <c r="AJ52" s="51">
        <f>AH52*AI52</f>
        <v>3390000</v>
      </c>
      <c r="AK52" s="9">
        <v>12</v>
      </c>
      <c r="AL52" s="28">
        <v>261500</v>
      </c>
      <c r="AM52" s="29">
        <f>AK52*AL52</f>
        <v>3138000</v>
      </c>
      <c r="AN52" s="49">
        <v>10</v>
      </c>
      <c r="AO52" s="68">
        <v>339000</v>
      </c>
      <c r="AP52" s="81">
        <f t="shared" si="4"/>
        <v>3390000</v>
      </c>
      <c r="AQ52" s="110"/>
      <c r="AR52" s="104"/>
      <c r="AS52" s="111"/>
      <c r="AT52" s="105"/>
      <c r="AU52" s="106"/>
      <c r="AV52" s="107"/>
      <c r="AW52" s="105">
        <v>2</v>
      </c>
      <c r="AX52" s="106">
        <v>302500</v>
      </c>
      <c r="AY52" s="107">
        <f>AW52*AX52</f>
        <v>605000</v>
      </c>
      <c r="AZ52" s="105">
        <v>12</v>
      </c>
      <c r="BA52" s="106">
        <v>339000</v>
      </c>
      <c r="BB52" s="107">
        <f>AZ52*BA52</f>
        <v>4068000</v>
      </c>
      <c r="BC52" s="105"/>
      <c r="BD52" s="106"/>
      <c r="BE52" s="107"/>
      <c r="BF52" s="105">
        <v>10</v>
      </c>
      <c r="BG52" s="106">
        <v>339000</v>
      </c>
      <c r="BH52" s="107">
        <f t="shared" si="2"/>
        <v>3390000</v>
      </c>
    </row>
    <row r="53" spans="1:60" s="12" customFormat="1" ht="23.25" customHeight="1">
      <c r="A53" s="82">
        <v>49</v>
      </c>
      <c r="B53" s="26" t="s">
        <v>59</v>
      </c>
      <c r="C53" s="27" t="s">
        <v>116</v>
      </c>
      <c r="D53" s="9">
        <v>57</v>
      </c>
      <c r="E53" s="28">
        <v>255000</v>
      </c>
      <c r="F53" s="29">
        <f>D53*E53*90%</f>
        <v>13081500</v>
      </c>
      <c r="G53" s="10">
        <v>0.1</v>
      </c>
      <c r="H53" s="49"/>
      <c r="I53" s="50"/>
      <c r="J53" s="51"/>
      <c r="K53" s="9"/>
      <c r="L53" s="28"/>
      <c r="M53" s="29"/>
      <c r="N53" s="10"/>
      <c r="O53" s="49"/>
      <c r="P53" s="50"/>
      <c r="Q53" s="51"/>
      <c r="R53" s="9"/>
      <c r="S53" s="30"/>
      <c r="T53" s="5"/>
      <c r="U53" s="10"/>
      <c r="V53" s="49"/>
      <c r="W53" s="50"/>
      <c r="X53" s="51"/>
      <c r="Y53" s="82"/>
      <c r="Z53" s="31"/>
      <c r="AA53" s="5"/>
      <c r="AB53" s="49"/>
      <c r="AC53" s="50"/>
      <c r="AD53" s="51"/>
      <c r="AE53" s="9"/>
      <c r="AF53" s="30"/>
      <c r="AG53" s="5"/>
      <c r="AH53" s="49"/>
      <c r="AI53" s="50"/>
      <c r="AJ53" s="51"/>
      <c r="AK53" s="9"/>
      <c r="AL53" s="28"/>
      <c r="AM53" s="29"/>
      <c r="AN53" s="49"/>
      <c r="AO53" s="68"/>
      <c r="AP53" s="81">
        <f t="shared" si="4"/>
        <v>0</v>
      </c>
      <c r="AQ53" s="110"/>
      <c r="AR53" s="104"/>
      <c r="AS53" s="111"/>
      <c r="AT53" s="105"/>
      <c r="AU53" s="106"/>
      <c r="AV53" s="107"/>
      <c r="AW53" s="105"/>
      <c r="AX53" s="106"/>
      <c r="AY53" s="107"/>
      <c r="AZ53" s="105"/>
      <c r="BA53" s="106"/>
      <c r="BB53" s="107"/>
      <c r="BC53" s="105"/>
      <c r="BD53" s="106"/>
      <c r="BE53" s="107"/>
      <c r="BF53" s="105"/>
      <c r="BG53" s="106"/>
      <c r="BH53" s="107"/>
    </row>
    <row r="54" spans="1:60" s="12" customFormat="1" ht="23.25" customHeight="1">
      <c r="A54" s="82">
        <v>50</v>
      </c>
      <c r="B54" s="26" t="s">
        <v>60</v>
      </c>
      <c r="C54" s="27" t="s">
        <v>117</v>
      </c>
      <c r="D54" s="9">
        <v>180</v>
      </c>
      <c r="E54" s="28">
        <v>15000</v>
      </c>
      <c r="F54" s="29">
        <f>D54*E54*98%</f>
        <v>2646000</v>
      </c>
      <c r="G54" s="10">
        <v>0.02</v>
      </c>
      <c r="H54" s="49">
        <v>100</v>
      </c>
      <c r="I54" s="50">
        <v>20000</v>
      </c>
      <c r="J54" s="51">
        <f>H54*I54</f>
        <v>2000000</v>
      </c>
      <c r="K54" s="9">
        <v>50</v>
      </c>
      <c r="L54" s="28">
        <v>15000</v>
      </c>
      <c r="M54" s="29">
        <f>K54*L54*98%</f>
        <v>735000</v>
      </c>
      <c r="N54" s="10">
        <v>0.02</v>
      </c>
      <c r="O54" s="49">
        <v>100</v>
      </c>
      <c r="P54" s="50">
        <v>20000</v>
      </c>
      <c r="Q54" s="51">
        <f t="shared" si="3"/>
        <v>2000000</v>
      </c>
      <c r="R54" s="9">
        <v>20</v>
      </c>
      <c r="S54" s="30">
        <v>15000</v>
      </c>
      <c r="T54" s="5">
        <f>R54*S54*98%</f>
        <v>294000</v>
      </c>
      <c r="U54" s="10">
        <v>0.02</v>
      </c>
      <c r="V54" s="49">
        <v>100</v>
      </c>
      <c r="W54" s="50">
        <v>20000</v>
      </c>
      <c r="X54" s="51">
        <f>V54*W54</f>
        <v>2000000</v>
      </c>
      <c r="Y54" s="82">
        <v>25</v>
      </c>
      <c r="Z54" s="30">
        <v>15000</v>
      </c>
      <c r="AA54" s="5">
        <f>Y54*Z54</f>
        <v>375000</v>
      </c>
      <c r="AB54" s="49">
        <v>200</v>
      </c>
      <c r="AC54" s="50">
        <v>20000</v>
      </c>
      <c r="AD54" s="51">
        <f>AB54*AC54</f>
        <v>4000000</v>
      </c>
      <c r="AE54" s="9">
        <v>175</v>
      </c>
      <c r="AF54" s="30">
        <v>15000</v>
      </c>
      <c r="AG54" s="5">
        <f>AE54*AF54</f>
        <v>2625000</v>
      </c>
      <c r="AH54" s="49">
        <v>128</v>
      </c>
      <c r="AI54" s="50">
        <v>20000</v>
      </c>
      <c r="AJ54" s="51">
        <f>AH54*AI54</f>
        <v>2560000</v>
      </c>
      <c r="AK54" s="9">
        <v>60</v>
      </c>
      <c r="AL54" s="28">
        <v>15000</v>
      </c>
      <c r="AM54" s="29">
        <f>AK54*AL54</f>
        <v>900000</v>
      </c>
      <c r="AN54" s="49">
        <v>372</v>
      </c>
      <c r="AO54" s="68">
        <v>20000</v>
      </c>
      <c r="AP54" s="81">
        <f t="shared" si="4"/>
        <v>7440000</v>
      </c>
      <c r="AQ54" s="110"/>
      <c r="AR54" s="104"/>
      <c r="AS54" s="111"/>
      <c r="AT54" s="105">
        <v>140</v>
      </c>
      <c r="AU54" s="106">
        <v>15000</v>
      </c>
      <c r="AV54" s="107">
        <f>AT54*AU54</f>
        <v>2100000</v>
      </c>
      <c r="AW54" s="105"/>
      <c r="AX54" s="106"/>
      <c r="AY54" s="107"/>
      <c r="AZ54" s="105">
        <v>100</v>
      </c>
      <c r="BA54" s="106">
        <v>20000</v>
      </c>
      <c r="BB54" s="107">
        <f>AZ54*BA54</f>
        <v>2000000</v>
      </c>
      <c r="BC54" s="105">
        <v>140</v>
      </c>
      <c r="BD54" s="106">
        <v>20000</v>
      </c>
      <c r="BE54" s="107">
        <v>2800000</v>
      </c>
      <c r="BF54" s="105">
        <v>260</v>
      </c>
      <c r="BG54" s="106">
        <v>20000</v>
      </c>
      <c r="BH54" s="107">
        <f t="shared" ref="BH54:BH58" si="20">BF54*BG54</f>
        <v>5200000</v>
      </c>
    </row>
    <row r="55" spans="1:60" s="12" customFormat="1" ht="23.25" customHeight="1">
      <c r="A55" s="82">
        <v>51</v>
      </c>
      <c r="B55" s="26" t="s">
        <v>61</v>
      </c>
      <c r="C55" s="27" t="s">
        <v>118</v>
      </c>
      <c r="D55" s="9"/>
      <c r="E55" s="28"/>
      <c r="F55" s="29"/>
      <c r="G55" s="10"/>
      <c r="H55" s="49"/>
      <c r="I55" s="50"/>
      <c r="J55" s="51"/>
      <c r="K55" s="9"/>
      <c r="L55" s="28"/>
      <c r="M55" s="29"/>
      <c r="N55" s="10"/>
      <c r="O55" s="49"/>
      <c r="P55" s="50"/>
      <c r="Q55" s="51"/>
      <c r="R55" s="9"/>
      <c r="S55" s="30"/>
      <c r="T55" s="5"/>
      <c r="U55" s="10"/>
      <c r="V55" s="49"/>
      <c r="W55" s="50"/>
      <c r="X55" s="51"/>
      <c r="Y55" s="82"/>
      <c r="Z55" s="30"/>
      <c r="AA55" s="5"/>
      <c r="AB55" s="49">
        <v>4</v>
      </c>
      <c r="AC55" s="50">
        <v>176500</v>
      </c>
      <c r="AD55" s="51">
        <f>AB55*AC55</f>
        <v>706000</v>
      </c>
      <c r="AE55" s="9"/>
      <c r="AF55" s="30"/>
      <c r="AG55" s="5"/>
      <c r="AH55" s="49"/>
      <c r="AI55" s="50"/>
      <c r="AJ55" s="51"/>
      <c r="AK55" s="9"/>
      <c r="AL55" s="28"/>
      <c r="AM55" s="29"/>
      <c r="AN55" s="49">
        <v>10</v>
      </c>
      <c r="AO55" s="68">
        <v>176500</v>
      </c>
      <c r="AP55" s="81">
        <f t="shared" si="4"/>
        <v>1765000</v>
      </c>
      <c r="AQ55" s="110"/>
      <c r="AR55" s="104"/>
      <c r="AS55" s="111"/>
      <c r="AT55" s="105"/>
      <c r="AU55" s="106"/>
      <c r="AV55" s="107"/>
      <c r="AW55" s="105">
        <v>2</v>
      </c>
      <c r="AX55" s="106">
        <v>157500</v>
      </c>
      <c r="AY55" s="107">
        <f>AW55*AX55</f>
        <v>315000</v>
      </c>
      <c r="AZ55" s="105"/>
      <c r="BA55" s="106"/>
      <c r="BB55" s="107"/>
      <c r="BC55" s="105">
        <v>6</v>
      </c>
      <c r="BD55" s="106">
        <v>176500</v>
      </c>
      <c r="BE55" s="107">
        <v>1059000</v>
      </c>
      <c r="BF55" s="105"/>
      <c r="BG55" s="106"/>
      <c r="BH55" s="107"/>
    </row>
    <row r="56" spans="1:60" s="12" customFormat="1" ht="23.25" customHeight="1">
      <c r="A56" s="82">
        <v>52</v>
      </c>
      <c r="B56" s="26" t="s">
        <v>87</v>
      </c>
      <c r="C56" s="27" t="s">
        <v>119</v>
      </c>
      <c r="D56" s="9"/>
      <c r="E56" s="28"/>
      <c r="F56" s="29"/>
      <c r="G56" s="10"/>
      <c r="H56" s="49"/>
      <c r="I56" s="50"/>
      <c r="J56" s="51"/>
      <c r="K56" s="9"/>
      <c r="L56" s="28"/>
      <c r="M56" s="29"/>
      <c r="N56" s="10"/>
      <c r="O56" s="49"/>
      <c r="P56" s="50"/>
      <c r="Q56" s="51"/>
      <c r="R56" s="9"/>
      <c r="S56" s="30"/>
      <c r="T56" s="5"/>
      <c r="U56" s="10"/>
      <c r="V56" s="49"/>
      <c r="W56" s="50"/>
      <c r="X56" s="51"/>
      <c r="Y56" s="82"/>
      <c r="Z56" s="30"/>
      <c r="AA56" s="5"/>
      <c r="AB56" s="49"/>
      <c r="AC56" s="50"/>
      <c r="AD56" s="51"/>
      <c r="AE56" s="9"/>
      <c r="AF56" s="30"/>
      <c r="AG56" s="5"/>
      <c r="AH56" s="49">
        <v>10</v>
      </c>
      <c r="AI56" s="50">
        <v>245000</v>
      </c>
      <c r="AJ56" s="51">
        <f>AH56*AI56</f>
        <v>2450000</v>
      </c>
      <c r="AK56" s="9">
        <v>8</v>
      </c>
      <c r="AL56" s="28">
        <v>189000</v>
      </c>
      <c r="AM56" s="29">
        <f>AK56*AL56</f>
        <v>1512000</v>
      </c>
      <c r="AN56" s="49"/>
      <c r="AO56" s="68"/>
      <c r="AP56" s="81">
        <f t="shared" si="4"/>
        <v>0</v>
      </c>
      <c r="AQ56" s="110"/>
      <c r="AR56" s="104"/>
      <c r="AS56" s="111"/>
      <c r="AT56" s="105"/>
      <c r="AU56" s="106"/>
      <c r="AV56" s="107"/>
      <c r="AW56" s="105">
        <v>4</v>
      </c>
      <c r="AX56" s="106">
        <v>218500</v>
      </c>
      <c r="AY56" s="107">
        <f>AW56*AX56</f>
        <v>874000</v>
      </c>
      <c r="AZ56" s="105">
        <v>6</v>
      </c>
      <c r="BA56" s="106">
        <v>218500</v>
      </c>
      <c r="BB56" s="107">
        <f>AZ56*BA56</f>
        <v>1311000</v>
      </c>
      <c r="BC56" s="105"/>
      <c r="BD56" s="106"/>
      <c r="BE56" s="107"/>
      <c r="BF56" s="105"/>
      <c r="BG56" s="106"/>
      <c r="BH56" s="107"/>
    </row>
    <row r="57" spans="1:60" s="12" customFormat="1" ht="23.25" customHeight="1">
      <c r="A57" s="82">
        <v>53</v>
      </c>
      <c r="B57" s="26" t="s">
        <v>64</v>
      </c>
      <c r="C57" s="27" t="s">
        <v>120</v>
      </c>
      <c r="D57" s="9"/>
      <c r="E57" s="28"/>
      <c r="F57" s="29"/>
      <c r="G57" s="10"/>
      <c r="H57" s="49"/>
      <c r="I57" s="50"/>
      <c r="J57" s="51"/>
      <c r="K57" s="9"/>
      <c r="L57" s="28"/>
      <c r="M57" s="29"/>
      <c r="N57" s="10"/>
      <c r="O57" s="49"/>
      <c r="P57" s="50"/>
      <c r="Q57" s="51"/>
      <c r="R57" s="9"/>
      <c r="S57" s="30"/>
      <c r="T57" s="5"/>
      <c r="U57" s="10"/>
      <c r="V57" s="49"/>
      <c r="W57" s="50"/>
      <c r="X57" s="51"/>
      <c r="Y57" s="82"/>
      <c r="Z57" s="30"/>
      <c r="AA57" s="5"/>
      <c r="AB57" s="49"/>
      <c r="AC57" s="50"/>
      <c r="AD57" s="51"/>
      <c r="AE57" s="9"/>
      <c r="AF57" s="30"/>
      <c r="AG57" s="5"/>
      <c r="AH57" s="49"/>
      <c r="AI57" s="50"/>
      <c r="AJ57" s="51"/>
      <c r="AK57" s="9"/>
      <c r="AL57" s="28"/>
      <c r="AM57" s="29"/>
      <c r="AN57" s="49"/>
      <c r="AO57" s="68"/>
      <c r="AP57" s="81">
        <f t="shared" si="4"/>
        <v>0</v>
      </c>
      <c r="AQ57" s="110"/>
      <c r="AR57" s="104"/>
      <c r="AS57" s="111"/>
      <c r="AT57" s="105"/>
      <c r="AU57" s="106"/>
      <c r="AV57" s="107"/>
      <c r="AW57" s="105"/>
      <c r="AX57" s="106"/>
      <c r="AY57" s="107"/>
      <c r="AZ57" s="105"/>
      <c r="BA57" s="106"/>
      <c r="BB57" s="107"/>
      <c r="BC57" s="105"/>
      <c r="BD57" s="106"/>
      <c r="BE57" s="107"/>
      <c r="BF57" s="105"/>
      <c r="BG57" s="106"/>
      <c r="BH57" s="107"/>
    </row>
    <row r="58" spans="1:60" s="12" customFormat="1" ht="23.25" customHeight="1">
      <c r="A58" s="82">
        <v>54</v>
      </c>
      <c r="B58" s="26" t="s">
        <v>88</v>
      </c>
      <c r="C58" s="27" t="s">
        <v>16</v>
      </c>
      <c r="D58" s="9">
        <v>140</v>
      </c>
      <c r="E58" s="28">
        <v>38500</v>
      </c>
      <c r="F58" s="29">
        <f>D58*E58*98%</f>
        <v>5282200</v>
      </c>
      <c r="G58" s="10">
        <v>0.02</v>
      </c>
      <c r="H58" s="49">
        <v>251</v>
      </c>
      <c r="I58" s="50">
        <v>55500</v>
      </c>
      <c r="J58" s="51">
        <f>H58*I58</f>
        <v>13930500</v>
      </c>
      <c r="K58" s="9">
        <v>185</v>
      </c>
      <c r="L58" s="28">
        <v>38500</v>
      </c>
      <c r="M58" s="29">
        <f>K58*L58*98%</f>
        <v>6980050</v>
      </c>
      <c r="N58" s="10">
        <v>0.02</v>
      </c>
      <c r="O58" s="49">
        <v>258</v>
      </c>
      <c r="P58" s="50">
        <v>55500</v>
      </c>
      <c r="Q58" s="51">
        <f t="shared" si="3"/>
        <v>14319000</v>
      </c>
      <c r="R58" s="9">
        <v>55</v>
      </c>
      <c r="S58" s="30">
        <v>38500</v>
      </c>
      <c r="T58" s="5">
        <f>R58*S58*98%</f>
        <v>2075150</v>
      </c>
      <c r="U58" s="10">
        <v>0.02</v>
      </c>
      <c r="V58" s="49">
        <v>289</v>
      </c>
      <c r="W58" s="50">
        <v>55500</v>
      </c>
      <c r="X58" s="51">
        <f>V58*W58</f>
        <v>16039500</v>
      </c>
      <c r="Y58" s="82">
        <v>100</v>
      </c>
      <c r="Z58" s="30">
        <v>38500</v>
      </c>
      <c r="AA58" s="5">
        <f>Y58*Z58</f>
        <v>3850000</v>
      </c>
      <c r="AB58" s="49">
        <v>182</v>
      </c>
      <c r="AC58" s="50">
        <v>55500</v>
      </c>
      <c r="AD58" s="51">
        <f>AB58*AC58</f>
        <v>10101000</v>
      </c>
      <c r="AE58" s="9">
        <v>585</v>
      </c>
      <c r="AF58" s="30">
        <v>42400</v>
      </c>
      <c r="AG58" s="5">
        <f>AE58*AF58</f>
        <v>24804000</v>
      </c>
      <c r="AH58" s="49">
        <v>146</v>
      </c>
      <c r="AI58" s="50">
        <v>55500</v>
      </c>
      <c r="AJ58" s="51">
        <f>AH58*AI58</f>
        <v>8103000</v>
      </c>
      <c r="AK58" s="9">
        <v>245</v>
      </c>
      <c r="AL58" s="28">
        <v>42400</v>
      </c>
      <c r="AM58" s="29">
        <f>AK58*AL58</f>
        <v>10388000</v>
      </c>
      <c r="AN58" s="49">
        <v>325</v>
      </c>
      <c r="AO58" s="68">
        <v>55500</v>
      </c>
      <c r="AP58" s="81">
        <f t="shared" si="4"/>
        <v>18037500</v>
      </c>
      <c r="AQ58" s="110"/>
      <c r="AR58" s="104"/>
      <c r="AS58" s="111"/>
      <c r="AT58" s="105">
        <f>70+30</f>
        <v>100</v>
      </c>
      <c r="AU58" s="106" t="s">
        <v>141</v>
      </c>
      <c r="AV58" s="107">
        <f>2968000+1410000</f>
        <v>4378000</v>
      </c>
      <c r="AW58" s="105">
        <f>110+90</f>
        <v>200</v>
      </c>
      <c r="AX58" s="106" t="s">
        <v>142</v>
      </c>
      <c r="AY58" s="107">
        <f>5170000+4455000</f>
        <v>9625000</v>
      </c>
      <c r="AZ58" s="105">
        <v>120</v>
      </c>
      <c r="BA58" s="106">
        <v>55500</v>
      </c>
      <c r="BB58" s="107">
        <f>AZ58*BA58</f>
        <v>6660000</v>
      </c>
      <c r="BC58" s="105">
        <v>228</v>
      </c>
      <c r="BD58" s="106">
        <v>55500</v>
      </c>
      <c r="BE58" s="107">
        <v>12654000</v>
      </c>
      <c r="BF58" s="105">
        <v>131</v>
      </c>
      <c r="BG58" s="106">
        <v>55500</v>
      </c>
      <c r="BH58" s="107">
        <f t="shared" si="20"/>
        <v>7270500</v>
      </c>
    </row>
    <row r="59" spans="1:60" s="12" customFormat="1" ht="23.25" customHeight="1">
      <c r="A59" s="82">
        <v>55</v>
      </c>
      <c r="B59" s="26" t="s">
        <v>62</v>
      </c>
      <c r="C59" s="27" t="s">
        <v>121</v>
      </c>
      <c r="D59" s="9"/>
      <c r="E59" s="28"/>
      <c r="F59" s="29"/>
      <c r="G59" s="10"/>
      <c r="H59" s="52">
        <v>10</v>
      </c>
      <c r="I59" s="53">
        <v>139500</v>
      </c>
      <c r="J59" s="54">
        <f>H59*I59</f>
        <v>1395000</v>
      </c>
      <c r="K59" s="9"/>
      <c r="L59" s="28"/>
      <c r="M59" s="29"/>
      <c r="N59" s="10"/>
      <c r="O59" s="57"/>
      <c r="P59" s="58"/>
      <c r="Q59" s="57"/>
      <c r="R59" s="9"/>
      <c r="S59" s="30"/>
      <c r="T59" s="5"/>
      <c r="U59" s="10"/>
      <c r="V59" s="52"/>
      <c r="W59" s="53"/>
      <c r="X59" s="54"/>
      <c r="Y59" s="82"/>
      <c r="Z59" s="30"/>
      <c r="AA59" s="5"/>
      <c r="AB59" s="55"/>
      <c r="AC59" s="56"/>
      <c r="AD59" s="55"/>
      <c r="AE59" s="9"/>
      <c r="AF59" s="30"/>
      <c r="AG59" s="5"/>
      <c r="AH59" s="60"/>
      <c r="AI59" s="50"/>
      <c r="AJ59" s="61"/>
      <c r="AK59" s="9">
        <v>6</v>
      </c>
      <c r="AL59" s="28">
        <v>105000</v>
      </c>
      <c r="AM59" s="29">
        <f>AK59*AL59</f>
        <v>630000</v>
      </c>
      <c r="AN59" s="49">
        <v>10</v>
      </c>
      <c r="AO59" s="68">
        <v>139500</v>
      </c>
      <c r="AP59" s="81">
        <f t="shared" si="4"/>
        <v>1395000</v>
      </c>
      <c r="AQ59" s="110"/>
      <c r="AR59" s="104"/>
      <c r="AS59" s="111"/>
      <c r="AT59" s="105">
        <v>6</v>
      </c>
      <c r="AU59" s="106">
        <v>105000</v>
      </c>
      <c r="AV59" s="107">
        <f>AT59*AU59</f>
        <v>630000</v>
      </c>
      <c r="AW59" s="108"/>
      <c r="AX59" s="109"/>
      <c r="AY59" s="108"/>
      <c r="AZ59" s="108"/>
      <c r="BA59" s="109"/>
      <c r="BB59" s="108"/>
      <c r="BC59" s="108"/>
      <c r="BD59" s="109"/>
      <c r="BE59" s="108"/>
      <c r="BF59" s="108"/>
      <c r="BG59" s="109"/>
      <c r="BH59" s="108"/>
    </row>
    <row r="60" spans="1:60" s="12" customFormat="1" ht="23.25" customHeight="1">
      <c r="A60" s="82">
        <v>56</v>
      </c>
      <c r="B60" s="26" t="s">
        <v>75</v>
      </c>
      <c r="C60" s="27" t="s">
        <v>122</v>
      </c>
      <c r="D60" s="9"/>
      <c r="E60" s="28"/>
      <c r="F60" s="29"/>
      <c r="G60" s="10"/>
      <c r="H60" s="49"/>
      <c r="I60" s="50"/>
      <c r="J60" s="51"/>
      <c r="K60" s="9"/>
      <c r="L60" s="28"/>
      <c r="M60" s="29"/>
      <c r="N60" s="10"/>
      <c r="O60" s="55"/>
      <c r="P60" s="56"/>
      <c r="Q60" s="55"/>
      <c r="R60" s="9"/>
      <c r="S60" s="30"/>
      <c r="T60" s="5"/>
      <c r="U60" s="10"/>
      <c r="V60" s="49">
        <v>10</v>
      </c>
      <c r="W60" s="50">
        <v>234500</v>
      </c>
      <c r="X60" s="51">
        <f>V60*W60</f>
        <v>2345000</v>
      </c>
      <c r="Y60" s="82"/>
      <c r="Z60" s="30"/>
      <c r="AA60" s="5"/>
      <c r="AB60" s="55"/>
      <c r="AC60" s="56"/>
      <c r="AD60" s="55"/>
      <c r="AE60" s="9"/>
      <c r="AF60" s="30"/>
      <c r="AG60" s="5"/>
      <c r="AH60" s="62"/>
      <c r="AI60" s="63"/>
      <c r="AJ60" s="64"/>
      <c r="AK60" s="9"/>
      <c r="AL60" s="28"/>
      <c r="AM60" s="29"/>
      <c r="AN60" s="49"/>
      <c r="AO60" s="68"/>
      <c r="AP60" s="81">
        <f t="shared" si="4"/>
        <v>0</v>
      </c>
      <c r="AQ60" s="110"/>
      <c r="AR60" s="104"/>
      <c r="AS60" s="111"/>
      <c r="AT60" s="110"/>
      <c r="AU60" s="104"/>
      <c r="AV60" s="111"/>
      <c r="AW60" s="108"/>
      <c r="AX60" s="109"/>
      <c r="AY60" s="108"/>
      <c r="AZ60" s="108"/>
      <c r="BA60" s="109"/>
      <c r="BB60" s="108"/>
      <c r="BC60" s="108"/>
      <c r="BD60" s="109"/>
      <c r="BE60" s="108"/>
      <c r="BF60" s="108"/>
      <c r="BG60" s="109"/>
      <c r="BH60" s="108"/>
    </row>
    <row r="61" spans="1:60" s="12" customFormat="1" ht="23.25" customHeight="1">
      <c r="A61" s="82">
        <v>57</v>
      </c>
      <c r="B61" s="26" t="s">
        <v>89</v>
      </c>
      <c r="C61" s="27" t="s">
        <v>123</v>
      </c>
      <c r="D61" s="9"/>
      <c r="E61" s="28"/>
      <c r="F61" s="29"/>
      <c r="G61" s="10"/>
      <c r="H61" s="55"/>
      <c r="I61" s="56"/>
      <c r="J61" s="55"/>
      <c r="K61" s="9"/>
      <c r="L61" s="28"/>
      <c r="M61" s="29"/>
      <c r="N61" s="10"/>
      <c r="O61" s="55"/>
      <c r="P61" s="56"/>
      <c r="Q61" s="55"/>
      <c r="R61" s="9"/>
      <c r="S61" s="30"/>
      <c r="T61" s="5"/>
      <c r="U61" s="10"/>
      <c r="V61" s="49">
        <v>10</v>
      </c>
      <c r="W61" s="50">
        <v>165000</v>
      </c>
      <c r="X61" s="51">
        <f>V61*W61</f>
        <v>1650000</v>
      </c>
      <c r="Y61" s="82"/>
      <c r="Z61" s="30"/>
      <c r="AA61" s="5"/>
      <c r="AB61" s="55"/>
      <c r="AC61" s="56"/>
      <c r="AD61" s="55"/>
      <c r="AE61" s="9"/>
      <c r="AF61" s="30"/>
      <c r="AG61" s="5"/>
      <c r="AH61" s="62"/>
      <c r="AI61" s="63"/>
      <c r="AJ61" s="64"/>
      <c r="AK61" s="9"/>
      <c r="AL61" s="28"/>
      <c r="AM61" s="29"/>
      <c r="AN61" s="49"/>
      <c r="AO61" s="68"/>
      <c r="AP61" s="81">
        <f t="shared" si="4"/>
        <v>0</v>
      </c>
      <c r="AQ61" s="110"/>
      <c r="AR61" s="104"/>
      <c r="AS61" s="111"/>
      <c r="AT61" s="108"/>
      <c r="AU61" s="109"/>
      <c r="AV61" s="108"/>
      <c r="AW61" s="108"/>
      <c r="AX61" s="109"/>
      <c r="AY61" s="108"/>
      <c r="AZ61" s="108"/>
      <c r="BA61" s="109"/>
      <c r="BB61" s="108"/>
      <c r="BC61" s="108"/>
      <c r="BD61" s="109"/>
      <c r="BE61" s="108"/>
      <c r="BF61" s="108"/>
      <c r="BG61" s="109"/>
      <c r="BH61" s="108"/>
    </row>
    <row r="62" spans="1:60" s="12" customFormat="1" ht="23.25" customHeight="1">
      <c r="A62" s="124" t="s">
        <v>1</v>
      </c>
      <c r="B62" s="124"/>
      <c r="C62" s="124"/>
      <c r="D62" s="9">
        <f>SUM(D5:D59)</f>
        <v>6445</v>
      </c>
      <c r="E62" s="28"/>
      <c r="F62" s="29">
        <f>SUM(F5:F59)</f>
        <v>511080920</v>
      </c>
      <c r="G62" s="10"/>
      <c r="H62" s="55">
        <f>SUM(H5:H61)</f>
        <v>4283</v>
      </c>
      <c r="I62" s="56"/>
      <c r="J62" s="55">
        <f>SUM(J5:J61)</f>
        <v>508782500</v>
      </c>
      <c r="K62" s="9">
        <f>SUM(K5:K59)</f>
        <v>4083</v>
      </c>
      <c r="L62" s="28"/>
      <c r="M62" s="29">
        <f>SUM(M5:M59)</f>
        <v>342050380</v>
      </c>
      <c r="N62" s="10"/>
      <c r="O62" s="55">
        <f>SUM(O5:O61)</f>
        <v>3722</v>
      </c>
      <c r="P62" s="56"/>
      <c r="Q62" s="59">
        <f>SUM(Q5:Q61)</f>
        <v>461999500</v>
      </c>
      <c r="R62" s="9">
        <f>SUM(R5:R59)</f>
        <v>2671</v>
      </c>
      <c r="S62" s="30"/>
      <c r="T62" s="5">
        <f>SUM(T5:T59)</f>
        <v>227780420</v>
      </c>
      <c r="U62" s="10"/>
      <c r="V62" s="55">
        <f>SUM(V5:V61)</f>
        <v>4806</v>
      </c>
      <c r="W62" s="56"/>
      <c r="X62" s="59">
        <f>SUM(X5:X61)</f>
        <v>572604500</v>
      </c>
      <c r="Y62" s="82">
        <f>SUM(Y5:Y59)</f>
        <v>2480</v>
      </c>
      <c r="Z62" s="30"/>
      <c r="AA62" s="5">
        <f>SUM(AA5:AA59)</f>
        <v>200362000</v>
      </c>
      <c r="AB62" s="55">
        <f>SUM(AB5:AB61)</f>
        <v>3113</v>
      </c>
      <c r="AC62" s="56"/>
      <c r="AD62" s="59">
        <f>SUM(AD5:AD61)</f>
        <v>354076500</v>
      </c>
      <c r="AE62" s="9">
        <f>SUM(AE5:AE59)</f>
        <v>6768</v>
      </c>
      <c r="AF62" s="30"/>
      <c r="AG62" s="5">
        <f>SUM(AG5:AG59)</f>
        <v>609916500</v>
      </c>
      <c r="AH62" s="62">
        <f>SUM(AH5:AH61)</f>
        <v>3848</v>
      </c>
      <c r="AI62" s="63"/>
      <c r="AJ62" s="65">
        <f>SUM(AJ5:AJ61)</f>
        <v>449567000</v>
      </c>
      <c r="AK62" s="9">
        <f>SUM(AK5:AK59)</f>
        <v>4674</v>
      </c>
      <c r="AL62" s="28"/>
      <c r="AM62" s="29">
        <f>SUM(AM5:AM59)</f>
        <v>432405900</v>
      </c>
      <c r="AN62" s="49">
        <f>SUM(AN5:AN61)</f>
        <v>3425</v>
      </c>
      <c r="AO62" s="68"/>
      <c r="AP62" s="51">
        <f>SUM(AP5:AP61)</f>
        <v>345997500</v>
      </c>
      <c r="AQ62" s="110"/>
      <c r="AR62" s="104"/>
      <c r="AS62" s="111"/>
      <c r="AT62" s="112"/>
      <c r="AU62" s="113"/>
      <c r="AV62" s="112"/>
      <c r="AW62" s="112"/>
      <c r="AX62" s="113"/>
      <c r="AY62" s="112"/>
      <c r="AZ62" s="112"/>
      <c r="BA62" s="113"/>
      <c r="BB62" s="112"/>
      <c r="BC62" s="112"/>
      <c r="BD62" s="113"/>
      <c r="BE62" s="112"/>
      <c r="BF62" s="112"/>
      <c r="BG62" s="113"/>
      <c r="BH62" s="112"/>
    </row>
    <row r="63" spans="1:60" ht="23.25" customHeight="1">
      <c r="H63" s="7"/>
      <c r="I63" s="41"/>
      <c r="J63" s="7"/>
      <c r="O63" s="7"/>
      <c r="P63" s="41"/>
      <c r="Q63" s="7"/>
      <c r="V63" s="7"/>
      <c r="W63" s="41"/>
      <c r="X63" s="7"/>
      <c r="AB63" s="7"/>
      <c r="AC63" s="41"/>
      <c r="AD63" s="7"/>
      <c r="AH63" s="37"/>
    </row>
    <row r="64" spans="1:60">
      <c r="B64" s="32"/>
      <c r="C64" s="32"/>
      <c r="D64" s="32"/>
      <c r="E64" s="32"/>
      <c r="H64" s="12"/>
      <c r="I64" s="40"/>
      <c r="J64" s="12"/>
      <c r="O64" s="12"/>
      <c r="P64" s="40"/>
      <c r="Q64" s="12"/>
      <c r="V64" s="12"/>
      <c r="W64" s="40"/>
      <c r="X64" s="12"/>
      <c r="AB64" s="12"/>
      <c r="AC64" s="40"/>
      <c r="AD64" s="12"/>
      <c r="AH64" s="37"/>
      <c r="AI64" s="32"/>
      <c r="AJ64" s="32"/>
      <c r="AL64" s="32"/>
      <c r="AO64" s="32"/>
      <c r="AQ64" s="98"/>
      <c r="AR64" s="99"/>
    </row>
    <row r="65" spans="2:60">
      <c r="B65" s="32"/>
      <c r="C65" s="32"/>
      <c r="D65" s="32"/>
      <c r="E65" s="32"/>
      <c r="H65" s="7"/>
      <c r="I65" s="41"/>
      <c r="J65" s="7"/>
      <c r="O65" s="7"/>
      <c r="P65" s="41"/>
      <c r="Q65" s="7"/>
      <c r="V65" s="7"/>
      <c r="W65" s="41"/>
      <c r="X65" s="7"/>
      <c r="AB65" s="7"/>
      <c r="AC65" s="41"/>
      <c r="AD65" s="7"/>
      <c r="AH65" s="37"/>
      <c r="AI65" s="32"/>
      <c r="AJ65" s="32"/>
      <c r="AL65" s="32"/>
      <c r="AO65" s="32"/>
      <c r="AQ65" s="123"/>
      <c r="AR65" s="123"/>
      <c r="AS65" s="123"/>
      <c r="AT65" s="101"/>
      <c r="AU65" s="102"/>
      <c r="AV65" s="101"/>
      <c r="AW65" s="101"/>
      <c r="AX65" s="102"/>
      <c r="AY65" s="101"/>
      <c r="AZ65" s="101"/>
      <c r="BA65" s="102"/>
      <c r="BB65" s="101"/>
      <c r="BC65" s="101"/>
      <c r="BD65" s="102"/>
      <c r="BE65" s="101"/>
      <c r="BF65" s="101"/>
      <c r="BG65" s="102"/>
      <c r="BH65" s="101"/>
    </row>
    <row r="66" spans="2:60">
      <c r="B66" s="32"/>
      <c r="C66" s="32"/>
      <c r="D66" s="32"/>
      <c r="E66" s="32"/>
      <c r="H66" s="7"/>
      <c r="I66" s="41"/>
      <c r="J66" s="7"/>
      <c r="O66" s="7"/>
      <c r="P66" s="41"/>
      <c r="Q66" s="7"/>
      <c r="V66" s="7"/>
      <c r="W66" s="41"/>
      <c r="X66" s="7"/>
      <c r="AB66" s="7"/>
      <c r="AC66" s="41"/>
      <c r="AD66" s="7"/>
      <c r="AH66" s="37"/>
      <c r="AI66" s="32"/>
      <c r="AJ66" s="32"/>
      <c r="AL66" s="32"/>
      <c r="AO66" s="32"/>
      <c r="AQ66" s="98"/>
      <c r="AR66" s="99"/>
    </row>
    <row r="67" spans="2:60">
      <c r="B67" s="32"/>
      <c r="C67" s="32"/>
      <c r="D67" s="32"/>
      <c r="E67" s="32"/>
      <c r="H67" s="12"/>
      <c r="I67" s="40"/>
      <c r="J67" s="12"/>
      <c r="O67" s="12"/>
      <c r="P67" s="40"/>
      <c r="Q67" s="12"/>
      <c r="V67" s="12"/>
      <c r="W67" s="40"/>
      <c r="X67" s="12"/>
      <c r="AB67" s="12"/>
      <c r="AC67" s="40"/>
      <c r="AD67" s="12"/>
      <c r="AH67" s="37"/>
      <c r="AI67" s="32"/>
      <c r="AJ67" s="32"/>
      <c r="AL67" s="32"/>
      <c r="AO67" s="32"/>
      <c r="AQ67" s="101"/>
      <c r="AR67" s="102"/>
      <c r="AS67" s="101"/>
      <c r="AT67" s="101"/>
      <c r="AU67" s="102"/>
      <c r="AV67" s="101"/>
      <c r="AW67" s="101"/>
      <c r="AX67" s="102"/>
      <c r="AY67" s="101"/>
      <c r="AZ67" s="101"/>
      <c r="BA67" s="102"/>
      <c r="BB67" s="101"/>
      <c r="BC67" s="101"/>
      <c r="BD67" s="102"/>
      <c r="BE67" s="101"/>
      <c r="BF67" s="101"/>
      <c r="BG67" s="102"/>
      <c r="BH67" s="101"/>
    </row>
    <row r="68" spans="2:60">
      <c r="B68" s="32"/>
      <c r="C68" s="32"/>
      <c r="D68" s="32"/>
      <c r="E68" s="32"/>
      <c r="H68" s="12"/>
      <c r="I68" s="40"/>
      <c r="J68" s="12"/>
      <c r="O68" s="12"/>
      <c r="P68" s="40"/>
      <c r="Q68" s="12"/>
      <c r="V68" s="12"/>
      <c r="W68" s="40"/>
      <c r="X68" s="12"/>
      <c r="AB68" s="12"/>
      <c r="AC68" s="40"/>
      <c r="AD68" s="12"/>
      <c r="AH68" s="37"/>
      <c r="AI68" s="32"/>
      <c r="AJ68" s="32"/>
      <c r="AL68" s="32"/>
      <c r="AO68" s="32"/>
      <c r="AQ68" s="114"/>
      <c r="AR68" s="115"/>
      <c r="AS68" s="114"/>
      <c r="AT68" s="114"/>
      <c r="AU68" s="115"/>
      <c r="AV68" s="114"/>
      <c r="AW68" s="114"/>
      <c r="AX68" s="115"/>
      <c r="AY68" s="114"/>
      <c r="AZ68" s="114"/>
      <c r="BA68" s="115"/>
      <c r="BB68" s="114"/>
      <c r="BC68" s="114"/>
      <c r="BD68" s="115"/>
      <c r="BE68" s="114"/>
      <c r="BF68" s="114"/>
      <c r="BG68" s="115"/>
      <c r="BH68" s="114"/>
    </row>
    <row r="69" spans="2:60">
      <c r="B69" s="32"/>
      <c r="C69" s="32"/>
      <c r="D69" s="32"/>
      <c r="E69" s="32"/>
      <c r="H69" s="12"/>
      <c r="I69" s="40"/>
      <c r="J69" s="12"/>
      <c r="O69" s="12"/>
      <c r="P69" s="40"/>
      <c r="Q69" s="12"/>
      <c r="V69" s="12"/>
      <c r="W69" s="40"/>
      <c r="X69" s="12"/>
      <c r="AB69" s="12"/>
      <c r="AC69" s="40"/>
      <c r="AD69" s="12"/>
      <c r="AH69" s="37"/>
      <c r="AI69" s="32"/>
      <c r="AJ69" s="32"/>
      <c r="AL69" s="32"/>
      <c r="AO69" s="32"/>
      <c r="AQ69" s="114"/>
      <c r="AR69" s="115"/>
      <c r="AS69" s="114"/>
      <c r="AT69" s="114"/>
      <c r="AU69" s="115"/>
      <c r="AV69" s="114"/>
      <c r="AW69" s="114"/>
      <c r="AX69" s="115"/>
      <c r="AY69" s="114"/>
      <c r="AZ69" s="114"/>
      <c r="BA69" s="115"/>
      <c r="BB69" s="114"/>
      <c r="BC69" s="114"/>
      <c r="BD69" s="115"/>
      <c r="BE69" s="114"/>
      <c r="BF69" s="114"/>
      <c r="BG69" s="115"/>
      <c r="BH69" s="114"/>
    </row>
    <row r="70" spans="2:60">
      <c r="B70" s="32"/>
      <c r="C70" s="32"/>
      <c r="D70" s="32"/>
      <c r="E70" s="32"/>
      <c r="H70" s="12"/>
      <c r="I70" s="40"/>
      <c r="J70" s="12"/>
      <c r="O70" s="12"/>
      <c r="P70" s="40"/>
      <c r="Q70" s="12"/>
      <c r="V70" s="12"/>
      <c r="W70" s="40"/>
      <c r="X70" s="12"/>
      <c r="AB70" s="12"/>
      <c r="AC70" s="40"/>
      <c r="AD70" s="12"/>
      <c r="AH70" s="37"/>
      <c r="AI70" s="32"/>
      <c r="AJ70" s="32"/>
      <c r="AL70" s="32"/>
      <c r="AO70" s="32"/>
      <c r="AQ70" s="114"/>
      <c r="AR70" s="115"/>
      <c r="AS70" s="114"/>
      <c r="AT70" s="114"/>
      <c r="AU70" s="115"/>
      <c r="AV70" s="114"/>
      <c r="AW70" s="114"/>
      <c r="AX70" s="115"/>
      <c r="AY70" s="114"/>
      <c r="AZ70" s="114"/>
      <c r="BA70" s="115"/>
      <c r="BB70" s="114"/>
      <c r="BC70" s="114"/>
      <c r="BD70" s="115"/>
      <c r="BE70" s="114"/>
      <c r="BF70" s="114"/>
      <c r="BG70" s="115"/>
      <c r="BH70" s="114"/>
    </row>
    <row r="71" spans="2:60">
      <c r="B71" s="32"/>
      <c r="C71" s="32"/>
      <c r="D71" s="32"/>
      <c r="E71" s="32"/>
      <c r="H71" s="12"/>
      <c r="I71" s="40"/>
      <c r="J71" s="12"/>
      <c r="O71" s="12"/>
      <c r="P71" s="40"/>
      <c r="Q71" s="12"/>
      <c r="V71" s="12"/>
      <c r="W71" s="40"/>
      <c r="X71" s="12"/>
      <c r="AB71" s="12"/>
      <c r="AC71" s="40"/>
      <c r="AD71" s="12"/>
      <c r="AH71" s="37"/>
      <c r="AI71" s="32"/>
      <c r="AJ71" s="32"/>
      <c r="AL71" s="32"/>
      <c r="AO71" s="32"/>
      <c r="AQ71" s="114"/>
      <c r="AR71" s="115"/>
      <c r="AS71" s="114"/>
      <c r="AT71" s="114"/>
      <c r="AU71" s="115"/>
      <c r="AV71" s="114"/>
      <c r="AW71" s="114"/>
      <c r="AX71" s="115"/>
      <c r="AY71" s="114"/>
      <c r="AZ71" s="114"/>
      <c r="BA71" s="115"/>
      <c r="BB71" s="114"/>
      <c r="BC71" s="114"/>
      <c r="BD71" s="115"/>
      <c r="BE71" s="114"/>
      <c r="BF71" s="114"/>
      <c r="BG71" s="115"/>
      <c r="BH71" s="114"/>
    </row>
    <row r="72" spans="2:60">
      <c r="B72" s="32"/>
      <c r="C72" s="32"/>
      <c r="D72" s="32"/>
      <c r="E72" s="32"/>
      <c r="H72" s="12"/>
      <c r="I72" s="40"/>
      <c r="J72" s="12"/>
      <c r="O72" s="12"/>
      <c r="P72" s="40"/>
      <c r="Q72" s="12"/>
      <c r="V72" s="12"/>
      <c r="W72" s="40"/>
      <c r="X72" s="12"/>
      <c r="AB72" s="12"/>
      <c r="AC72" s="40"/>
      <c r="AD72" s="12"/>
      <c r="AH72" s="37"/>
      <c r="AI72" s="32"/>
      <c r="AJ72" s="32"/>
      <c r="AL72" s="32"/>
      <c r="AO72" s="32"/>
      <c r="AQ72" s="114"/>
      <c r="AR72" s="115"/>
      <c r="AS72" s="114"/>
      <c r="AT72" s="114"/>
      <c r="AU72" s="115"/>
      <c r="AV72" s="114"/>
      <c r="AW72" s="114"/>
      <c r="AX72" s="115"/>
      <c r="AY72" s="114"/>
      <c r="AZ72" s="114"/>
      <c r="BA72" s="115"/>
      <c r="BB72" s="114"/>
      <c r="BC72" s="114"/>
      <c r="BD72" s="115"/>
      <c r="BE72" s="114"/>
      <c r="BF72" s="114"/>
      <c r="BG72" s="115"/>
      <c r="BH72" s="114"/>
    </row>
    <row r="73" spans="2:60">
      <c r="B73" s="32"/>
      <c r="C73" s="32"/>
      <c r="D73" s="32"/>
      <c r="E73" s="32"/>
      <c r="H73" s="12"/>
      <c r="I73" s="40"/>
      <c r="J73" s="12"/>
      <c r="O73" s="12"/>
      <c r="P73" s="40"/>
      <c r="Q73" s="12"/>
      <c r="V73" s="12"/>
      <c r="W73" s="40"/>
      <c r="X73" s="12"/>
      <c r="AB73" s="12"/>
      <c r="AC73" s="40"/>
      <c r="AD73" s="12"/>
      <c r="AH73" s="37"/>
      <c r="AI73" s="32"/>
      <c r="AJ73" s="32"/>
      <c r="AL73" s="32"/>
      <c r="AO73" s="32"/>
      <c r="AQ73" s="114"/>
      <c r="AR73" s="115"/>
      <c r="AS73" s="114"/>
      <c r="AT73" s="114"/>
      <c r="AU73" s="115"/>
      <c r="AV73" s="114"/>
      <c r="AW73" s="114"/>
      <c r="AX73" s="115"/>
      <c r="AY73" s="114"/>
      <c r="AZ73" s="114"/>
      <c r="BA73" s="115"/>
      <c r="BB73" s="114"/>
      <c r="BC73" s="114"/>
      <c r="BD73" s="115"/>
      <c r="BE73" s="114"/>
      <c r="BF73" s="114"/>
      <c r="BG73" s="115"/>
      <c r="BH73" s="114"/>
    </row>
    <row r="74" spans="2:60">
      <c r="B74" s="32"/>
      <c r="C74" s="32"/>
      <c r="D74" s="32"/>
      <c r="E74" s="32"/>
      <c r="H74" s="12"/>
      <c r="I74" s="40"/>
      <c r="J74" s="12"/>
      <c r="O74" s="12"/>
      <c r="P74" s="40"/>
      <c r="Q74" s="12"/>
      <c r="V74" s="12"/>
      <c r="W74" s="40"/>
      <c r="X74" s="12"/>
      <c r="AB74" s="12"/>
      <c r="AC74" s="40"/>
      <c r="AD74" s="12"/>
      <c r="AH74" s="37"/>
      <c r="AI74" s="32"/>
      <c r="AJ74" s="32"/>
      <c r="AL74" s="32"/>
      <c r="AO74" s="32"/>
      <c r="AQ74" s="114"/>
      <c r="AR74" s="115"/>
      <c r="AS74" s="114"/>
      <c r="AT74" s="114"/>
      <c r="AU74" s="115"/>
      <c r="AV74" s="114"/>
      <c r="AW74" s="114"/>
      <c r="AX74" s="115"/>
      <c r="AY74" s="114"/>
      <c r="AZ74" s="114"/>
      <c r="BA74" s="115"/>
      <c r="BB74" s="114"/>
      <c r="BC74" s="114"/>
      <c r="BD74" s="115"/>
      <c r="BE74" s="114"/>
      <c r="BF74" s="114"/>
      <c r="BG74" s="115"/>
      <c r="BH74" s="114"/>
    </row>
    <row r="75" spans="2:60">
      <c r="B75" s="32"/>
      <c r="C75" s="32"/>
      <c r="D75" s="32"/>
      <c r="E75" s="32"/>
      <c r="H75" s="12"/>
      <c r="I75" s="40"/>
      <c r="J75" s="12"/>
      <c r="O75" s="12"/>
      <c r="P75" s="40"/>
      <c r="Q75" s="12"/>
      <c r="V75" s="12"/>
      <c r="W75" s="40"/>
      <c r="X75" s="12"/>
      <c r="AB75" s="12"/>
      <c r="AC75" s="40"/>
      <c r="AD75" s="12"/>
      <c r="AH75" s="37"/>
      <c r="AI75" s="32"/>
      <c r="AJ75" s="32"/>
      <c r="AL75" s="32"/>
      <c r="AO75" s="32"/>
      <c r="AQ75" s="114"/>
      <c r="AR75" s="115"/>
      <c r="AS75" s="114"/>
      <c r="AT75" s="114"/>
      <c r="AU75" s="115"/>
      <c r="AV75" s="114"/>
      <c r="AW75" s="114"/>
      <c r="AX75" s="115"/>
      <c r="AY75" s="114"/>
      <c r="AZ75" s="114"/>
      <c r="BA75" s="115"/>
      <c r="BB75" s="114"/>
      <c r="BC75" s="114"/>
      <c r="BD75" s="115"/>
      <c r="BE75" s="114"/>
      <c r="BF75" s="114"/>
      <c r="BG75" s="115"/>
      <c r="BH75" s="114"/>
    </row>
    <row r="76" spans="2:60">
      <c r="B76" s="32"/>
      <c r="C76" s="32"/>
      <c r="D76" s="32"/>
      <c r="E76" s="32"/>
      <c r="H76" s="12"/>
      <c r="I76" s="40"/>
      <c r="J76" s="12"/>
      <c r="O76" s="12"/>
      <c r="P76" s="40"/>
      <c r="Q76" s="12"/>
      <c r="V76" s="12"/>
      <c r="W76" s="40"/>
      <c r="X76" s="12"/>
      <c r="AB76" s="12"/>
      <c r="AC76" s="40"/>
      <c r="AD76" s="12"/>
      <c r="AH76" s="37"/>
      <c r="AI76" s="32"/>
      <c r="AJ76" s="32"/>
      <c r="AL76" s="32"/>
      <c r="AO76" s="32"/>
      <c r="AQ76" s="114"/>
      <c r="AR76" s="115"/>
      <c r="AS76" s="114"/>
      <c r="AT76" s="114"/>
      <c r="AU76" s="115"/>
      <c r="AV76" s="114"/>
      <c r="AW76" s="114"/>
      <c r="AX76" s="115"/>
      <c r="AY76" s="114"/>
      <c r="AZ76" s="114"/>
      <c r="BA76" s="115"/>
      <c r="BB76" s="114"/>
      <c r="BC76" s="114"/>
      <c r="BD76" s="115"/>
      <c r="BE76" s="114"/>
      <c r="BF76" s="114"/>
      <c r="BG76" s="115"/>
      <c r="BH76" s="114"/>
    </row>
    <row r="77" spans="2:60">
      <c r="B77" s="32"/>
      <c r="C77" s="32"/>
      <c r="D77" s="32"/>
      <c r="E77" s="32"/>
      <c r="H77" s="12"/>
      <c r="I77" s="40"/>
      <c r="J77" s="12"/>
      <c r="O77" s="12"/>
      <c r="P77" s="40"/>
      <c r="Q77" s="12"/>
      <c r="V77" s="12"/>
      <c r="W77" s="40"/>
      <c r="X77" s="12"/>
      <c r="AB77" s="12"/>
      <c r="AC77" s="40"/>
      <c r="AD77" s="12"/>
      <c r="AH77" s="37"/>
      <c r="AI77" s="32"/>
      <c r="AJ77" s="32"/>
      <c r="AL77" s="32"/>
      <c r="AO77" s="32"/>
      <c r="AQ77" s="114"/>
      <c r="AR77" s="115"/>
      <c r="AS77" s="114"/>
      <c r="AT77" s="114"/>
      <c r="AU77" s="115"/>
      <c r="AV77" s="114"/>
      <c r="AW77" s="114"/>
      <c r="AX77" s="115"/>
      <c r="AY77" s="114"/>
      <c r="AZ77" s="114"/>
      <c r="BA77" s="115"/>
      <c r="BB77" s="114"/>
      <c r="BC77" s="114"/>
      <c r="BD77" s="115"/>
      <c r="BE77" s="114"/>
      <c r="BF77" s="114"/>
      <c r="BG77" s="115"/>
      <c r="BH77" s="114"/>
    </row>
    <row r="78" spans="2:60">
      <c r="B78" s="32"/>
      <c r="C78" s="32"/>
      <c r="D78" s="32"/>
      <c r="E78" s="32"/>
      <c r="H78" s="12"/>
      <c r="I78" s="40"/>
      <c r="J78" s="12"/>
      <c r="O78" s="12"/>
      <c r="P78" s="40"/>
      <c r="Q78" s="12"/>
      <c r="V78" s="12"/>
      <c r="W78" s="40"/>
      <c r="X78" s="12"/>
      <c r="AB78" s="12"/>
      <c r="AC78" s="40"/>
      <c r="AD78" s="12"/>
      <c r="AH78" s="37"/>
      <c r="AI78" s="32"/>
      <c r="AJ78" s="32"/>
      <c r="AL78" s="32"/>
      <c r="AO78" s="32"/>
      <c r="AQ78" s="114"/>
      <c r="AR78" s="115"/>
      <c r="AS78" s="114"/>
      <c r="AT78" s="114"/>
      <c r="AU78" s="115"/>
      <c r="AV78" s="114"/>
      <c r="AW78" s="114"/>
      <c r="AX78" s="115"/>
      <c r="AY78" s="114"/>
      <c r="AZ78" s="114"/>
      <c r="BA78" s="115"/>
      <c r="BB78" s="114"/>
      <c r="BC78" s="114"/>
      <c r="BD78" s="115"/>
      <c r="BE78" s="114"/>
      <c r="BF78" s="114"/>
      <c r="BG78" s="115"/>
      <c r="BH78" s="114"/>
    </row>
    <row r="79" spans="2:60">
      <c r="B79" s="32"/>
      <c r="C79" s="32"/>
      <c r="D79" s="32"/>
      <c r="E79" s="32"/>
      <c r="H79" s="12"/>
      <c r="I79" s="40"/>
      <c r="J79" s="12"/>
      <c r="O79" s="12"/>
      <c r="P79" s="40"/>
      <c r="Q79" s="12"/>
      <c r="V79" s="12"/>
      <c r="W79" s="40"/>
      <c r="X79" s="12"/>
      <c r="AB79" s="12"/>
      <c r="AC79" s="40"/>
      <c r="AD79" s="12"/>
      <c r="AH79" s="37"/>
      <c r="AI79" s="32"/>
      <c r="AJ79" s="32"/>
      <c r="AL79" s="32"/>
      <c r="AO79" s="32"/>
      <c r="AQ79" s="114"/>
      <c r="AR79" s="115"/>
      <c r="AS79" s="114"/>
      <c r="AT79" s="114"/>
      <c r="AU79" s="115"/>
      <c r="AV79" s="114"/>
      <c r="AW79" s="114"/>
      <c r="AX79" s="115"/>
      <c r="AY79" s="114"/>
      <c r="AZ79" s="114"/>
      <c r="BA79" s="115"/>
      <c r="BB79" s="114"/>
      <c r="BC79" s="114"/>
      <c r="BD79" s="115"/>
      <c r="BE79" s="114"/>
      <c r="BF79" s="114"/>
      <c r="BG79" s="115"/>
      <c r="BH79" s="114"/>
    </row>
    <row r="80" spans="2:60">
      <c r="B80" s="32"/>
      <c r="C80" s="32"/>
      <c r="D80" s="32"/>
      <c r="E80" s="32"/>
      <c r="H80" s="12"/>
      <c r="I80" s="40"/>
      <c r="J80" s="12"/>
      <c r="O80" s="12"/>
      <c r="P80" s="40"/>
      <c r="Q80" s="12"/>
      <c r="V80" s="12"/>
      <c r="W80" s="40"/>
      <c r="X80" s="12"/>
      <c r="AB80" s="12"/>
      <c r="AC80" s="40"/>
      <c r="AD80" s="12"/>
      <c r="AH80" s="37"/>
      <c r="AI80" s="32"/>
      <c r="AJ80" s="32"/>
      <c r="AL80" s="32"/>
      <c r="AO80" s="32"/>
      <c r="AQ80" s="114"/>
      <c r="AR80" s="115"/>
      <c r="AS80" s="114"/>
      <c r="AT80" s="114"/>
      <c r="AU80" s="115"/>
      <c r="AV80" s="114"/>
      <c r="AW80" s="114"/>
      <c r="AX80" s="115"/>
      <c r="AY80" s="114"/>
      <c r="AZ80" s="114"/>
      <c r="BA80" s="115"/>
      <c r="BB80" s="114"/>
      <c r="BC80" s="114"/>
      <c r="BD80" s="115"/>
      <c r="BE80" s="114"/>
      <c r="BF80" s="114"/>
      <c r="BG80" s="115"/>
      <c r="BH80" s="114"/>
    </row>
    <row r="81" spans="2:60">
      <c r="B81" s="32"/>
      <c r="C81" s="32"/>
      <c r="D81" s="32"/>
      <c r="E81" s="32"/>
      <c r="H81" s="12"/>
      <c r="I81" s="40"/>
      <c r="J81" s="12"/>
      <c r="O81" s="12"/>
      <c r="P81" s="40"/>
      <c r="Q81" s="12"/>
      <c r="V81" s="12"/>
      <c r="W81" s="40"/>
      <c r="X81" s="12"/>
      <c r="AB81" s="12"/>
      <c r="AC81" s="40"/>
      <c r="AD81" s="12"/>
      <c r="AH81" s="37"/>
      <c r="AI81" s="32"/>
      <c r="AJ81" s="32"/>
      <c r="AL81" s="32"/>
      <c r="AO81" s="32"/>
      <c r="AQ81" s="114"/>
      <c r="AR81" s="115"/>
      <c r="AS81" s="114"/>
      <c r="AT81" s="114"/>
      <c r="AU81" s="115"/>
      <c r="AV81" s="114"/>
      <c r="AW81" s="114"/>
      <c r="AX81" s="115"/>
      <c r="AY81" s="114"/>
      <c r="AZ81" s="114"/>
      <c r="BA81" s="115"/>
      <c r="BB81" s="114"/>
      <c r="BC81" s="114"/>
      <c r="BD81" s="115"/>
      <c r="BE81" s="114"/>
      <c r="BF81" s="114"/>
      <c r="BG81" s="115"/>
      <c r="BH81" s="114"/>
    </row>
    <row r="82" spans="2:60">
      <c r="B82" s="32"/>
      <c r="C82" s="32"/>
      <c r="D82" s="32"/>
      <c r="E82" s="32"/>
      <c r="H82" s="12"/>
      <c r="I82" s="40"/>
      <c r="J82" s="12"/>
      <c r="O82" s="12"/>
      <c r="P82" s="40"/>
      <c r="Q82" s="12"/>
      <c r="V82" s="12"/>
      <c r="W82" s="40"/>
      <c r="X82" s="12"/>
      <c r="AB82" s="12"/>
      <c r="AC82" s="40"/>
      <c r="AD82" s="12"/>
      <c r="AH82" s="37"/>
      <c r="AI82" s="32"/>
      <c r="AJ82" s="32"/>
      <c r="AL82" s="32"/>
      <c r="AO82" s="32"/>
      <c r="AQ82" s="114"/>
      <c r="AR82" s="115"/>
      <c r="AS82" s="114"/>
      <c r="AT82" s="114"/>
      <c r="AU82" s="115"/>
      <c r="AV82" s="114"/>
      <c r="AW82" s="114"/>
      <c r="AX82" s="115"/>
      <c r="AY82" s="114"/>
      <c r="AZ82" s="114"/>
      <c r="BA82" s="115"/>
      <c r="BB82" s="114"/>
      <c r="BC82" s="114"/>
      <c r="BD82" s="115"/>
      <c r="BE82" s="114"/>
      <c r="BF82" s="114"/>
      <c r="BG82" s="115"/>
      <c r="BH82" s="114"/>
    </row>
    <row r="83" spans="2:60">
      <c r="B83" s="32"/>
      <c r="C83" s="32"/>
      <c r="D83" s="32"/>
      <c r="E83" s="32"/>
      <c r="H83" s="12"/>
      <c r="I83" s="40"/>
      <c r="J83" s="12"/>
      <c r="O83" s="12"/>
      <c r="P83" s="40"/>
      <c r="Q83" s="12"/>
      <c r="V83" s="12"/>
      <c r="W83" s="40"/>
      <c r="X83" s="12"/>
      <c r="AB83" s="12"/>
      <c r="AC83" s="40"/>
      <c r="AD83" s="12"/>
      <c r="AH83" s="37"/>
      <c r="AI83" s="32"/>
      <c r="AJ83" s="32"/>
      <c r="AL83" s="32"/>
      <c r="AO83" s="32"/>
      <c r="AQ83" s="114"/>
      <c r="AR83" s="115"/>
      <c r="AS83" s="114"/>
      <c r="AT83" s="114"/>
      <c r="AU83" s="115"/>
      <c r="AV83" s="114"/>
      <c r="AW83" s="114"/>
      <c r="AX83" s="115"/>
      <c r="AY83" s="114"/>
      <c r="AZ83" s="114"/>
      <c r="BA83" s="115"/>
      <c r="BB83" s="114"/>
      <c r="BC83" s="114"/>
      <c r="BD83" s="115"/>
      <c r="BE83" s="114"/>
      <c r="BF83" s="114"/>
      <c r="BG83" s="115"/>
      <c r="BH83" s="114"/>
    </row>
    <row r="84" spans="2:60">
      <c r="B84" s="32"/>
      <c r="C84" s="32"/>
      <c r="D84" s="32"/>
      <c r="E84" s="32"/>
      <c r="H84" s="12"/>
      <c r="I84" s="40"/>
      <c r="J84" s="12"/>
      <c r="O84" s="12"/>
      <c r="P84" s="40"/>
      <c r="Q84" s="12"/>
      <c r="V84" s="12"/>
      <c r="W84" s="40"/>
      <c r="X84" s="12"/>
      <c r="AB84" s="12"/>
      <c r="AC84" s="40"/>
      <c r="AD84" s="12"/>
      <c r="AH84" s="37"/>
      <c r="AI84" s="32"/>
      <c r="AJ84" s="32"/>
      <c r="AL84" s="32"/>
      <c r="AO84" s="32"/>
      <c r="AQ84" s="114"/>
      <c r="AR84" s="115"/>
      <c r="AS84" s="114"/>
      <c r="AT84" s="114"/>
      <c r="AU84" s="115"/>
      <c r="AV84" s="114"/>
      <c r="AW84" s="114"/>
      <c r="AX84" s="115"/>
      <c r="AY84" s="114"/>
      <c r="AZ84" s="114"/>
      <c r="BA84" s="115"/>
      <c r="BB84" s="114"/>
      <c r="BC84" s="114"/>
      <c r="BD84" s="115"/>
      <c r="BE84" s="114"/>
      <c r="BF84" s="114"/>
      <c r="BG84" s="115"/>
      <c r="BH84" s="114"/>
    </row>
    <row r="85" spans="2:60">
      <c r="B85" s="32"/>
      <c r="C85" s="32"/>
      <c r="D85" s="32"/>
      <c r="E85" s="32"/>
      <c r="H85" s="12"/>
      <c r="I85" s="40"/>
      <c r="J85" s="12"/>
      <c r="O85" s="12"/>
      <c r="P85" s="40"/>
      <c r="Q85" s="12"/>
      <c r="V85" s="12"/>
      <c r="W85" s="40"/>
      <c r="X85" s="12"/>
      <c r="AB85" s="12"/>
      <c r="AC85" s="40"/>
      <c r="AD85" s="12"/>
      <c r="AH85" s="37"/>
      <c r="AI85" s="32"/>
      <c r="AJ85" s="32"/>
      <c r="AL85" s="32"/>
      <c r="AO85" s="32"/>
      <c r="AQ85" s="114"/>
      <c r="AR85" s="115"/>
      <c r="AS85" s="114"/>
      <c r="AT85" s="114"/>
      <c r="AU85" s="115"/>
      <c r="AV85" s="114"/>
      <c r="AW85" s="114"/>
      <c r="AX85" s="115"/>
      <c r="AY85" s="114"/>
      <c r="AZ85" s="114"/>
      <c r="BA85" s="115"/>
      <c r="BB85" s="114"/>
      <c r="BC85" s="114"/>
      <c r="BD85" s="115"/>
      <c r="BE85" s="114"/>
      <c r="BF85" s="114"/>
      <c r="BG85" s="115"/>
      <c r="BH85" s="114"/>
    </row>
    <row r="86" spans="2:60">
      <c r="B86" s="32"/>
      <c r="C86" s="32"/>
      <c r="D86" s="32"/>
      <c r="E86" s="32"/>
      <c r="H86" s="12"/>
      <c r="I86" s="40"/>
      <c r="J86" s="12"/>
      <c r="O86" s="12"/>
      <c r="P86" s="40"/>
      <c r="Q86" s="12"/>
      <c r="V86" s="12"/>
      <c r="W86" s="40"/>
      <c r="X86" s="12"/>
      <c r="AB86" s="12"/>
      <c r="AC86" s="40"/>
      <c r="AD86" s="12"/>
      <c r="AH86" s="37"/>
      <c r="AI86" s="32"/>
      <c r="AJ86" s="32"/>
      <c r="AL86" s="32"/>
      <c r="AO86" s="32"/>
      <c r="AQ86" s="114"/>
      <c r="AR86" s="115"/>
      <c r="AS86" s="114"/>
      <c r="AT86" s="114"/>
      <c r="AU86" s="115"/>
      <c r="AV86" s="114"/>
      <c r="AW86" s="114"/>
      <c r="AX86" s="115"/>
      <c r="AY86" s="114"/>
      <c r="AZ86" s="114"/>
      <c r="BA86" s="115"/>
      <c r="BB86" s="114"/>
      <c r="BC86" s="114"/>
      <c r="BD86" s="115"/>
      <c r="BE86" s="114"/>
      <c r="BF86" s="114"/>
      <c r="BG86" s="115"/>
      <c r="BH86" s="114"/>
    </row>
    <row r="87" spans="2:60">
      <c r="B87" s="32"/>
      <c r="C87" s="32"/>
      <c r="D87" s="32"/>
      <c r="E87" s="32"/>
      <c r="H87" s="12"/>
      <c r="I87" s="40"/>
      <c r="J87" s="12"/>
      <c r="O87" s="12"/>
      <c r="P87" s="40"/>
      <c r="Q87" s="12"/>
      <c r="V87" s="12"/>
      <c r="W87" s="40"/>
      <c r="X87" s="12"/>
      <c r="AB87" s="12"/>
      <c r="AC87" s="40"/>
      <c r="AD87" s="12"/>
      <c r="AH87" s="37"/>
      <c r="AI87" s="32"/>
      <c r="AJ87" s="32"/>
      <c r="AL87" s="32"/>
      <c r="AO87" s="32"/>
      <c r="AQ87" s="114"/>
      <c r="AR87" s="115"/>
      <c r="AS87" s="114"/>
      <c r="AT87" s="114"/>
      <c r="AU87" s="115"/>
      <c r="AV87" s="114"/>
      <c r="AW87" s="114"/>
      <c r="AX87" s="115"/>
      <c r="AY87" s="114"/>
      <c r="AZ87" s="114"/>
      <c r="BA87" s="115"/>
      <c r="BB87" s="114"/>
      <c r="BC87" s="114"/>
      <c r="BD87" s="115"/>
      <c r="BE87" s="114"/>
      <c r="BF87" s="114"/>
      <c r="BG87" s="115"/>
      <c r="BH87" s="114"/>
    </row>
    <row r="88" spans="2:60">
      <c r="B88" s="32"/>
      <c r="C88" s="32"/>
      <c r="D88" s="32"/>
      <c r="E88" s="32"/>
      <c r="H88" s="12"/>
      <c r="I88" s="40"/>
      <c r="J88" s="12"/>
      <c r="O88" s="12"/>
      <c r="P88" s="40"/>
      <c r="Q88" s="12"/>
      <c r="V88" s="12"/>
      <c r="W88" s="40"/>
      <c r="X88" s="12"/>
      <c r="AB88" s="12"/>
      <c r="AC88" s="40"/>
      <c r="AD88" s="12"/>
      <c r="AH88" s="37"/>
      <c r="AI88" s="32"/>
      <c r="AJ88" s="32"/>
      <c r="AL88" s="32"/>
      <c r="AO88" s="32"/>
      <c r="AQ88" s="114"/>
      <c r="AR88" s="115"/>
      <c r="AS88" s="114"/>
      <c r="AT88" s="114"/>
      <c r="AU88" s="115"/>
      <c r="AV88" s="114"/>
      <c r="AW88" s="114"/>
      <c r="AX88" s="115"/>
      <c r="AY88" s="114"/>
      <c r="AZ88" s="114"/>
      <c r="BA88" s="115"/>
      <c r="BB88" s="114"/>
      <c r="BC88" s="114"/>
      <c r="BD88" s="115"/>
      <c r="BE88" s="114"/>
      <c r="BF88" s="114"/>
      <c r="BG88" s="115"/>
      <c r="BH88" s="114"/>
    </row>
    <row r="89" spans="2:60">
      <c r="B89" s="32"/>
      <c r="C89" s="32"/>
      <c r="D89" s="32"/>
      <c r="E89" s="32"/>
      <c r="H89" s="12"/>
      <c r="I89" s="40"/>
      <c r="J89" s="12"/>
      <c r="O89" s="12"/>
      <c r="P89" s="40"/>
      <c r="Q89" s="12"/>
      <c r="V89" s="12"/>
      <c r="W89" s="40"/>
      <c r="X89" s="12"/>
      <c r="AB89" s="12"/>
      <c r="AC89" s="40"/>
      <c r="AD89" s="12"/>
      <c r="AH89" s="37"/>
      <c r="AI89" s="32"/>
      <c r="AJ89" s="32"/>
      <c r="AL89" s="32"/>
      <c r="AO89" s="32"/>
      <c r="AQ89" s="114"/>
      <c r="AR89" s="115"/>
      <c r="AS89" s="114"/>
      <c r="AT89" s="114"/>
      <c r="AU89" s="115"/>
      <c r="AV89" s="114"/>
      <c r="AW89" s="114"/>
      <c r="AX89" s="115"/>
      <c r="AY89" s="114"/>
      <c r="AZ89" s="114"/>
      <c r="BA89" s="115"/>
      <c r="BB89" s="114"/>
      <c r="BC89" s="114"/>
      <c r="BD89" s="115"/>
      <c r="BE89" s="114"/>
      <c r="BF89" s="114"/>
      <c r="BG89" s="115"/>
      <c r="BH89" s="114"/>
    </row>
    <row r="90" spans="2:60">
      <c r="B90" s="32"/>
      <c r="C90" s="32"/>
      <c r="D90" s="32"/>
      <c r="E90" s="32"/>
      <c r="H90" s="12"/>
      <c r="I90" s="40"/>
      <c r="J90" s="12"/>
      <c r="O90" s="12"/>
      <c r="P90" s="40"/>
      <c r="Q90" s="12"/>
      <c r="V90" s="12"/>
      <c r="W90" s="40"/>
      <c r="X90" s="12"/>
      <c r="AB90" s="12"/>
      <c r="AC90" s="40"/>
      <c r="AD90" s="12"/>
      <c r="AH90" s="37"/>
      <c r="AI90" s="32"/>
      <c r="AJ90" s="32"/>
      <c r="AL90" s="32"/>
      <c r="AO90" s="32"/>
      <c r="AQ90" s="114"/>
      <c r="AR90" s="115"/>
      <c r="AS90" s="114"/>
      <c r="AT90" s="114"/>
      <c r="AU90" s="115"/>
      <c r="AV90" s="114"/>
      <c r="AW90" s="114"/>
      <c r="AX90" s="115"/>
      <c r="AY90" s="114"/>
      <c r="AZ90" s="114"/>
      <c r="BA90" s="115"/>
      <c r="BB90" s="114"/>
      <c r="BC90" s="114"/>
      <c r="BD90" s="115"/>
      <c r="BE90" s="114"/>
      <c r="BF90" s="114"/>
      <c r="BG90" s="115"/>
      <c r="BH90" s="114"/>
    </row>
    <row r="91" spans="2:60">
      <c r="B91" s="32"/>
      <c r="C91" s="32"/>
      <c r="D91" s="32"/>
      <c r="E91" s="32"/>
      <c r="H91" s="12"/>
      <c r="I91" s="40"/>
      <c r="J91" s="12"/>
      <c r="O91" s="12"/>
      <c r="P91" s="40"/>
      <c r="Q91" s="12"/>
      <c r="V91" s="12"/>
      <c r="W91" s="40"/>
      <c r="X91" s="12"/>
      <c r="AB91" s="12"/>
      <c r="AC91" s="40"/>
      <c r="AD91" s="12"/>
      <c r="AH91" s="37"/>
      <c r="AI91" s="32"/>
      <c r="AJ91" s="32"/>
      <c r="AL91" s="32"/>
      <c r="AO91" s="32"/>
      <c r="AQ91" s="114"/>
      <c r="AR91" s="115"/>
      <c r="AS91" s="114"/>
      <c r="AT91" s="114"/>
      <c r="AU91" s="115"/>
      <c r="AV91" s="114"/>
      <c r="AW91" s="114"/>
      <c r="AX91" s="115"/>
      <c r="AY91" s="114"/>
      <c r="AZ91" s="114"/>
      <c r="BA91" s="115"/>
      <c r="BB91" s="114"/>
      <c r="BC91" s="114"/>
      <c r="BD91" s="115"/>
      <c r="BE91" s="114"/>
      <c r="BF91" s="114"/>
      <c r="BG91" s="115"/>
      <c r="BH91" s="114"/>
    </row>
    <row r="92" spans="2:60">
      <c r="B92" s="32"/>
      <c r="C92" s="32"/>
      <c r="D92" s="32"/>
      <c r="E92" s="32"/>
      <c r="H92" s="12"/>
      <c r="I92" s="40"/>
      <c r="J92" s="12"/>
      <c r="O92" s="12"/>
      <c r="P92" s="40"/>
      <c r="Q92" s="12"/>
      <c r="V92" s="12"/>
      <c r="W92" s="40"/>
      <c r="X92" s="12"/>
      <c r="AB92" s="12"/>
      <c r="AC92" s="40"/>
      <c r="AD92" s="12"/>
      <c r="AH92" s="37"/>
      <c r="AI92" s="32"/>
      <c r="AJ92" s="32"/>
      <c r="AL92" s="32"/>
      <c r="AO92" s="32"/>
      <c r="AQ92" s="114"/>
      <c r="AR92" s="115"/>
      <c r="AS92" s="114"/>
      <c r="AT92" s="114"/>
      <c r="AU92" s="115"/>
      <c r="AV92" s="114"/>
      <c r="AW92" s="114"/>
      <c r="AX92" s="115"/>
      <c r="AY92" s="114"/>
      <c r="AZ92" s="114"/>
      <c r="BA92" s="115"/>
      <c r="BB92" s="114"/>
      <c r="BC92" s="114"/>
      <c r="BD92" s="115"/>
      <c r="BE92" s="114"/>
      <c r="BF92" s="114"/>
      <c r="BG92" s="115"/>
      <c r="BH92" s="114"/>
    </row>
    <row r="93" spans="2:60">
      <c r="B93" s="32"/>
      <c r="C93" s="32"/>
      <c r="D93" s="32"/>
      <c r="E93" s="32"/>
      <c r="H93" s="12"/>
      <c r="I93" s="40"/>
      <c r="J93" s="12"/>
      <c r="O93" s="12"/>
      <c r="P93" s="40"/>
      <c r="Q93" s="12"/>
      <c r="V93" s="12"/>
      <c r="W93" s="40"/>
      <c r="X93" s="12"/>
      <c r="AB93" s="12"/>
      <c r="AC93" s="40"/>
      <c r="AD93" s="12"/>
      <c r="AH93" s="37"/>
      <c r="AI93" s="32"/>
      <c r="AJ93" s="32"/>
      <c r="AL93" s="32"/>
      <c r="AO93" s="32"/>
      <c r="AQ93" s="114"/>
      <c r="AR93" s="115"/>
      <c r="AS93" s="114"/>
      <c r="AT93" s="114"/>
      <c r="AU93" s="115"/>
      <c r="AV93" s="114"/>
      <c r="AW93" s="114"/>
      <c r="AX93" s="115"/>
      <c r="AY93" s="114"/>
      <c r="AZ93" s="114"/>
      <c r="BA93" s="115"/>
      <c r="BB93" s="114"/>
      <c r="BC93" s="114"/>
      <c r="BD93" s="115"/>
      <c r="BE93" s="114"/>
      <c r="BF93" s="114"/>
      <c r="BG93" s="115"/>
      <c r="BH93" s="114"/>
    </row>
    <row r="94" spans="2:60">
      <c r="B94" s="32"/>
      <c r="C94" s="32"/>
      <c r="D94" s="32"/>
      <c r="E94" s="32"/>
      <c r="H94" s="12"/>
      <c r="I94" s="40"/>
      <c r="J94" s="12"/>
      <c r="O94" s="12"/>
      <c r="P94" s="40"/>
      <c r="Q94" s="12"/>
      <c r="V94" s="12"/>
      <c r="W94" s="40"/>
      <c r="X94" s="12"/>
      <c r="AB94" s="12"/>
      <c r="AC94" s="40"/>
      <c r="AD94" s="12"/>
      <c r="AH94" s="37"/>
      <c r="AI94" s="32"/>
      <c r="AJ94" s="32"/>
      <c r="AL94" s="32"/>
      <c r="AO94" s="32"/>
      <c r="AQ94" s="114"/>
      <c r="AR94" s="115"/>
      <c r="AS94" s="114"/>
      <c r="AT94" s="114"/>
      <c r="AU94" s="115"/>
      <c r="AV94" s="114"/>
      <c r="AW94" s="114"/>
      <c r="AX94" s="115"/>
      <c r="AY94" s="114"/>
      <c r="AZ94" s="114"/>
      <c r="BA94" s="115"/>
      <c r="BB94" s="114"/>
      <c r="BC94" s="114"/>
      <c r="BD94" s="115"/>
      <c r="BE94" s="114"/>
      <c r="BF94" s="114"/>
      <c r="BG94" s="115"/>
      <c r="BH94" s="114"/>
    </row>
    <row r="95" spans="2:60">
      <c r="B95" s="32"/>
      <c r="C95" s="32"/>
      <c r="D95" s="32"/>
      <c r="E95" s="32"/>
      <c r="H95" s="12"/>
      <c r="I95" s="40"/>
      <c r="J95" s="12"/>
      <c r="O95" s="12"/>
      <c r="P95" s="40"/>
      <c r="Q95" s="12"/>
      <c r="V95" s="12"/>
      <c r="W95" s="40"/>
      <c r="X95" s="12"/>
      <c r="AB95" s="12"/>
      <c r="AC95" s="40"/>
      <c r="AD95" s="12"/>
      <c r="AH95" s="37"/>
      <c r="AI95" s="32"/>
      <c r="AJ95" s="32"/>
      <c r="AL95" s="32"/>
      <c r="AO95" s="32"/>
      <c r="AQ95" s="114"/>
      <c r="AR95" s="115"/>
      <c r="AS95" s="114"/>
      <c r="AT95" s="114"/>
      <c r="AU95" s="115"/>
      <c r="AV95" s="114"/>
      <c r="AW95" s="114"/>
      <c r="AX95" s="115"/>
      <c r="AY95" s="114"/>
      <c r="AZ95" s="114"/>
      <c r="BA95" s="115"/>
      <c r="BB95" s="114"/>
      <c r="BC95" s="114"/>
      <c r="BD95" s="115"/>
      <c r="BE95" s="114"/>
      <c r="BF95" s="114"/>
      <c r="BG95" s="115"/>
      <c r="BH95" s="114"/>
    </row>
    <row r="96" spans="2:60">
      <c r="B96" s="32"/>
      <c r="C96" s="32"/>
      <c r="D96" s="32"/>
      <c r="E96" s="32"/>
      <c r="H96" s="12"/>
      <c r="I96" s="40"/>
      <c r="J96" s="12"/>
      <c r="O96" s="12"/>
      <c r="P96" s="40"/>
      <c r="Q96" s="12"/>
      <c r="V96" s="12"/>
      <c r="W96" s="40"/>
      <c r="X96" s="12"/>
      <c r="AB96" s="12"/>
      <c r="AC96" s="40"/>
      <c r="AD96" s="12"/>
      <c r="AH96" s="37"/>
      <c r="AL96" s="32"/>
      <c r="AO96" s="32"/>
      <c r="AQ96" s="114"/>
      <c r="AR96" s="115"/>
      <c r="AS96" s="114"/>
      <c r="AT96" s="114"/>
      <c r="AU96" s="115"/>
      <c r="AV96" s="114"/>
      <c r="AW96" s="114"/>
      <c r="AX96" s="115"/>
      <c r="AY96" s="114"/>
      <c r="AZ96" s="114"/>
      <c r="BA96" s="115"/>
      <c r="BB96" s="114"/>
      <c r="BC96" s="114"/>
      <c r="BD96" s="115"/>
      <c r="BE96" s="114"/>
      <c r="BF96" s="114"/>
      <c r="BG96" s="115"/>
      <c r="BH96" s="114"/>
    </row>
    <row r="97" spans="2:60">
      <c r="B97" s="32"/>
      <c r="C97" s="32"/>
      <c r="D97" s="32"/>
      <c r="E97" s="32"/>
      <c r="H97" s="12"/>
      <c r="I97" s="40"/>
      <c r="J97" s="12"/>
      <c r="O97" s="12"/>
      <c r="P97" s="40"/>
      <c r="Q97" s="12"/>
      <c r="V97" s="12"/>
      <c r="W97" s="40"/>
      <c r="X97" s="12"/>
      <c r="AB97" s="12"/>
      <c r="AC97" s="40"/>
      <c r="AD97" s="12"/>
      <c r="AH97" s="37"/>
      <c r="AL97" s="32"/>
      <c r="AO97" s="32"/>
      <c r="AQ97" s="114"/>
      <c r="AR97" s="115"/>
      <c r="AS97" s="114"/>
      <c r="AT97" s="114"/>
      <c r="AU97" s="115"/>
      <c r="AV97" s="114"/>
      <c r="AW97" s="114"/>
      <c r="AX97" s="115"/>
      <c r="AY97" s="114"/>
      <c r="AZ97" s="114"/>
      <c r="BA97" s="115"/>
      <c r="BB97" s="114"/>
      <c r="BC97" s="114"/>
      <c r="BD97" s="115"/>
      <c r="BE97" s="114"/>
      <c r="BF97" s="114"/>
      <c r="BG97" s="115"/>
      <c r="BH97" s="114"/>
    </row>
    <row r="98" spans="2:60">
      <c r="B98" s="32"/>
      <c r="C98" s="32"/>
      <c r="D98" s="32"/>
      <c r="E98" s="32"/>
      <c r="H98" s="12"/>
      <c r="I98" s="40"/>
      <c r="J98" s="12"/>
      <c r="O98" s="12"/>
      <c r="P98" s="40"/>
      <c r="Q98" s="12"/>
      <c r="V98" s="12"/>
      <c r="W98" s="40"/>
      <c r="X98" s="12"/>
      <c r="AB98" s="12"/>
      <c r="AC98" s="40"/>
      <c r="AD98" s="12"/>
      <c r="AH98" s="37"/>
      <c r="AL98" s="32"/>
      <c r="AO98" s="32"/>
      <c r="AQ98" s="114"/>
      <c r="AR98" s="115"/>
      <c r="AS98" s="114"/>
      <c r="AT98" s="114"/>
      <c r="AU98" s="115"/>
      <c r="AV98" s="114"/>
      <c r="AW98" s="114"/>
      <c r="AX98" s="115"/>
      <c r="AY98" s="114"/>
      <c r="AZ98" s="114"/>
      <c r="BA98" s="115"/>
      <c r="BB98" s="114"/>
      <c r="BC98" s="114"/>
      <c r="BD98" s="115"/>
      <c r="BE98" s="114"/>
      <c r="BF98" s="114"/>
      <c r="BG98" s="115"/>
      <c r="BH98" s="114"/>
    </row>
    <row r="99" spans="2:60">
      <c r="B99" s="32"/>
      <c r="C99" s="32"/>
      <c r="D99" s="32"/>
      <c r="E99" s="32"/>
      <c r="H99" s="12"/>
      <c r="I99" s="40"/>
      <c r="J99" s="12"/>
      <c r="O99" s="12"/>
      <c r="P99" s="40"/>
      <c r="Q99" s="12"/>
      <c r="V99" s="12"/>
      <c r="W99" s="40"/>
      <c r="X99" s="12"/>
      <c r="AB99" s="12"/>
      <c r="AC99" s="40"/>
      <c r="AD99" s="12"/>
      <c r="AH99" s="37"/>
      <c r="AL99" s="32"/>
      <c r="AO99" s="32"/>
      <c r="AQ99" s="114"/>
      <c r="AR99" s="115"/>
      <c r="AS99" s="114"/>
      <c r="AT99" s="114"/>
      <c r="AU99" s="115"/>
      <c r="AV99" s="114"/>
      <c r="AW99" s="114"/>
      <c r="AX99" s="115"/>
      <c r="AY99" s="114"/>
      <c r="AZ99" s="114"/>
      <c r="BA99" s="115"/>
      <c r="BB99" s="114"/>
      <c r="BC99" s="114"/>
      <c r="BD99" s="115"/>
      <c r="BE99" s="114"/>
      <c r="BF99" s="114"/>
      <c r="BG99" s="115"/>
      <c r="BH99" s="114"/>
    </row>
    <row r="100" spans="2:60">
      <c r="B100" s="32"/>
      <c r="C100" s="32"/>
      <c r="D100" s="32"/>
      <c r="E100" s="32"/>
      <c r="H100" s="12"/>
      <c r="I100" s="40"/>
      <c r="J100" s="12"/>
      <c r="O100" s="12"/>
      <c r="P100" s="40"/>
      <c r="Q100" s="12"/>
      <c r="V100" s="12"/>
      <c r="W100" s="40"/>
      <c r="X100" s="12"/>
      <c r="AB100" s="12"/>
      <c r="AC100" s="40"/>
      <c r="AD100" s="12"/>
      <c r="AH100" s="37"/>
      <c r="AL100" s="32"/>
      <c r="AO100" s="32"/>
      <c r="AQ100" s="114"/>
      <c r="AR100" s="115"/>
      <c r="AS100" s="114"/>
      <c r="AT100" s="114"/>
      <c r="AU100" s="115"/>
      <c r="AV100" s="114"/>
      <c r="AW100" s="114"/>
      <c r="AX100" s="115"/>
      <c r="AY100" s="114"/>
      <c r="AZ100" s="114"/>
      <c r="BA100" s="115"/>
      <c r="BB100" s="114"/>
      <c r="BC100" s="114"/>
      <c r="BD100" s="115"/>
      <c r="BE100" s="114"/>
      <c r="BF100" s="114"/>
      <c r="BG100" s="115"/>
      <c r="BH100" s="114"/>
    </row>
    <row r="101" spans="2:60">
      <c r="B101" s="32"/>
      <c r="C101" s="32"/>
      <c r="D101" s="32"/>
      <c r="E101" s="32"/>
      <c r="H101" s="12"/>
      <c r="I101" s="40"/>
      <c r="J101" s="12"/>
      <c r="O101" s="12"/>
      <c r="P101" s="40"/>
      <c r="Q101" s="12"/>
      <c r="V101" s="12"/>
      <c r="W101" s="40"/>
      <c r="X101" s="12"/>
      <c r="AB101" s="12"/>
      <c r="AC101" s="40"/>
      <c r="AD101" s="12"/>
      <c r="AH101" s="37"/>
      <c r="AL101" s="32"/>
      <c r="AO101" s="32"/>
      <c r="AQ101" s="114"/>
      <c r="AR101" s="115"/>
      <c r="AS101" s="114"/>
      <c r="AT101" s="114"/>
      <c r="AU101" s="115"/>
      <c r="AV101" s="114"/>
      <c r="AW101" s="114"/>
      <c r="AX101" s="115"/>
      <c r="AY101" s="114"/>
      <c r="AZ101" s="114"/>
      <c r="BA101" s="115"/>
      <c r="BB101" s="114"/>
      <c r="BC101" s="114"/>
      <c r="BD101" s="115"/>
      <c r="BE101" s="114"/>
      <c r="BF101" s="114"/>
      <c r="BG101" s="115"/>
      <c r="BH101" s="114"/>
    </row>
    <row r="102" spans="2:60">
      <c r="B102" s="32"/>
      <c r="C102" s="32"/>
      <c r="D102" s="32"/>
      <c r="E102" s="32"/>
      <c r="H102" s="12"/>
      <c r="I102" s="40"/>
      <c r="J102" s="12"/>
      <c r="O102" s="12"/>
      <c r="P102" s="40"/>
      <c r="Q102" s="12"/>
      <c r="V102" s="12"/>
      <c r="W102" s="40"/>
      <c r="X102" s="12"/>
      <c r="AB102" s="12"/>
      <c r="AC102" s="40"/>
      <c r="AD102" s="12"/>
      <c r="AH102" s="37"/>
      <c r="AL102" s="32"/>
      <c r="AO102" s="32"/>
      <c r="AQ102" s="114"/>
      <c r="AR102" s="115"/>
      <c r="AS102" s="114"/>
      <c r="AT102" s="114"/>
      <c r="AU102" s="115"/>
      <c r="AV102" s="114"/>
      <c r="AW102" s="114"/>
      <c r="AX102" s="115"/>
      <c r="AY102" s="114"/>
      <c r="AZ102" s="114"/>
      <c r="BA102" s="115"/>
      <c r="BB102" s="114"/>
      <c r="BC102" s="114"/>
      <c r="BD102" s="115"/>
      <c r="BE102" s="114"/>
      <c r="BF102" s="114"/>
      <c r="BG102" s="115"/>
      <c r="BH102" s="114"/>
    </row>
    <row r="103" spans="2:60">
      <c r="B103" s="32"/>
      <c r="C103" s="32"/>
      <c r="D103" s="32"/>
      <c r="E103" s="32"/>
      <c r="H103" s="12"/>
      <c r="I103" s="40"/>
      <c r="J103" s="12"/>
      <c r="O103" s="12"/>
      <c r="P103" s="40"/>
      <c r="Q103" s="12"/>
      <c r="V103" s="12"/>
      <c r="W103" s="40"/>
      <c r="X103" s="12"/>
      <c r="AB103" s="12"/>
      <c r="AC103" s="40"/>
      <c r="AD103" s="12"/>
      <c r="AH103" s="37"/>
      <c r="AL103" s="32"/>
      <c r="AO103" s="32"/>
      <c r="AQ103" s="114"/>
      <c r="AR103" s="115"/>
      <c r="AS103" s="114"/>
      <c r="AT103" s="114"/>
      <c r="AU103" s="115"/>
      <c r="AV103" s="114"/>
      <c r="AW103" s="114"/>
      <c r="AX103" s="115"/>
      <c r="AY103" s="114"/>
      <c r="AZ103" s="114"/>
      <c r="BA103" s="115"/>
      <c r="BB103" s="114"/>
      <c r="BC103" s="114"/>
      <c r="BD103" s="115"/>
      <c r="BE103" s="114"/>
      <c r="BF103" s="114"/>
      <c r="BG103" s="115"/>
      <c r="BH103" s="114"/>
    </row>
    <row r="104" spans="2:60">
      <c r="B104" s="32"/>
      <c r="C104" s="32"/>
      <c r="D104" s="32"/>
      <c r="E104" s="32"/>
      <c r="H104" s="12"/>
      <c r="I104" s="40"/>
      <c r="J104" s="12"/>
      <c r="O104" s="12"/>
      <c r="P104" s="40"/>
      <c r="Q104" s="12"/>
      <c r="V104" s="12"/>
      <c r="W104" s="40"/>
      <c r="X104" s="12"/>
      <c r="AB104" s="12"/>
      <c r="AC104" s="40"/>
      <c r="AD104" s="12"/>
      <c r="AH104" s="37"/>
      <c r="AL104" s="32"/>
      <c r="AO104" s="32"/>
      <c r="AQ104" s="114"/>
      <c r="AR104" s="115"/>
      <c r="AS104" s="114"/>
      <c r="AT104" s="114"/>
      <c r="AU104" s="115"/>
      <c r="AV104" s="114"/>
      <c r="AW104" s="114"/>
      <c r="AX104" s="115"/>
      <c r="AY104" s="114"/>
      <c r="AZ104" s="114"/>
      <c r="BA104" s="115"/>
      <c r="BB104" s="114"/>
      <c r="BC104" s="114"/>
      <c r="BD104" s="115"/>
      <c r="BE104" s="114"/>
      <c r="BF104" s="114"/>
      <c r="BG104" s="115"/>
      <c r="BH104" s="114"/>
    </row>
    <row r="105" spans="2:60">
      <c r="B105" s="32"/>
      <c r="C105" s="32"/>
      <c r="D105" s="32"/>
      <c r="E105" s="32"/>
      <c r="H105" s="12"/>
      <c r="I105" s="40"/>
      <c r="J105" s="12"/>
      <c r="O105" s="12"/>
      <c r="P105" s="40"/>
      <c r="Q105" s="12"/>
      <c r="V105" s="12"/>
      <c r="W105" s="40"/>
      <c r="X105" s="12"/>
      <c r="AB105" s="12"/>
      <c r="AC105" s="40"/>
      <c r="AD105" s="12"/>
      <c r="AH105" s="12"/>
      <c r="AI105" s="40"/>
      <c r="AJ105" s="12"/>
      <c r="AL105" s="32"/>
      <c r="AO105" s="32"/>
      <c r="AQ105" s="114"/>
      <c r="AR105" s="115"/>
      <c r="AS105" s="114"/>
      <c r="AT105" s="114"/>
      <c r="AU105" s="115"/>
      <c r="AV105" s="114"/>
      <c r="AW105" s="114"/>
      <c r="AX105" s="115"/>
      <c r="AY105" s="114"/>
      <c r="AZ105" s="114"/>
      <c r="BA105" s="115"/>
      <c r="BB105" s="114"/>
      <c r="BC105" s="114"/>
      <c r="BD105" s="115"/>
      <c r="BE105" s="114"/>
      <c r="BF105" s="114"/>
      <c r="BG105" s="115"/>
      <c r="BH105" s="114"/>
    </row>
    <row r="106" spans="2:60">
      <c r="B106" s="32"/>
      <c r="C106" s="32"/>
      <c r="D106" s="32"/>
      <c r="E106" s="32"/>
      <c r="H106" s="12"/>
      <c r="I106" s="40"/>
      <c r="J106" s="12"/>
      <c r="O106" s="12"/>
      <c r="P106" s="40"/>
      <c r="Q106" s="12"/>
      <c r="V106" s="12"/>
      <c r="W106" s="40"/>
      <c r="X106" s="12"/>
      <c r="AB106" s="12"/>
      <c r="AC106" s="40"/>
      <c r="AD106" s="12"/>
      <c r="AH106" s="12"/>
      <c r="AI106" s="40"/>
      <c r="AJ106" s="12"/>
      <c r="AL106" s="32"/>
      <c r="AO106" s="32"/>
      <c r="AQ106" s="114"/>
      <c r="AR106" s="115"/>
      <c r="AS106" s="114"/>
      <c r="AT106" s="114"/>
      <c r="AU106" s="115"/>
      <c r="AV106" s="114"/>
      <c r="AW106" s="114"/>
      <c r="AX106" s="115"/>
      <c r="AY106" s="114"/>
      <c r="AZ106" s="114"/>
      <c r="BA106" s="115"/>
      <c r="BB106" s="114"/>
      <c r="BC106" s="114"/>
      <c r="BD106" s="115"/>
      <c r="BE106" s="114"/>
      <c r="BF106" s="114"/>
      <c r="BG106" s="115"/>
      <c r="BH106" s="114"/>
    </row>
    <row r="107" spans="2:60">
      <c r="B107" s="32"/>
      <c r="C107" s="32"/>
      <c r="D107" s="32"/>
      <c r="E107" s="32"/>
      <c r="H107" s="12"/>
      <c r="I107" s="40"/>
      <c r="J107" s="12"/>
      <c r="O107" s="12"/>
      <c r="P107" s="40"/>
      <c r="Q107" s="12"/>
      <c r="V107" s="12"/>
      <c r="W107" s="40"/>
      <c r="X107" s="12"/>
      <c r="AB107" s="12"/>
      <c r="AC107" s="40"/>
      <c r="AD107" s="12"/>
      <c r="AH107" s="12"/>
      <c r="AI107" s="40"/>
      <c r="AJ107" s="12"/>
      <c r="AL107" s="32"/>
      <c r="AO107" s="32"/>
      <c r="AQ107" s="114"/>
      <c r="AR107" s="115"/>
      <c r="AS107" s="114"/>
      <c r="AT107" s="114"/>
      <c r="AU107" s="115"/>
      <c r="AV107" s="114"/>
      <c r="AW107" s="114"/>
      <c r="AX107" s="115"/>
      <c r="AY107" s="114"/>
      <c r="AZ107" s="114"/>
      <c r="BA107" s="115"/>
      <c r="BB107" s="114"/>
      <c r="BC107" s="114"/>
      <c r="BD107" s="115"/>
      <c r="BE107" s="114"/>
      <c r="BF107" s="114"/>
      <c r="BG107" s="115"/>
      <c r="BH107" s="114"/>
    </row>
    <row r="108" spans="2:60">
      <c r="B108" s="32"/>
      <c r="C108" s="32"/>
      <c r="D108" s="32"/>
      <c r="E108" s="32"/>
      <c r="H108" s="12"/>
      <c r="I108" s="40"/>
      <c r="J108" s="12"/>
      <c r="O108" s="12"/>
      <c r="P108" s="40"/>
      <c r="Q108" s="12"/>
      <c r="V108" s="12"/>
      <c r="W108" s="40"/>
      <c r="X108" s="12"/>
      <c r="AB108" s="12"/>
      <c r="AC108" s="40"/>
      <c r="AD108" s="12"/>
      <c r="AH108" s="12"/>
      <c r="AI108" s="40"/>
      <c r="AJ108" s="12"/>
      <c r="AL108" s="32"/>
      <c r="AO108" s="32"/>
      <c r="AQ108" s="114"/>
      <c r="AR108" s="115"/>
      <c r="AS108" s="114"/>
      <c r="AT108" s="114"/>
      <c r="AU108" s="115"/>
      <c r="AV108" s="114"/>
      <c r="AW108" s="114"/>
      <c r="AX108" s="115"/>
      <c r="AY108" s="114"/>
      <c r="AZ108" s="114"/>
      <c r="BA108" s="115"/>
      <c r="BB108" s="114"/>
      <c r="BC108" s="114"/>
      <c r="BD108" s="115"/>
      <c r="BE108" s="114"/>
      <c r="BF108" s="114"/>
      <c r="BG108" s="115"/>
      <c r="BH108" s="114"/>
    </row>
    <row r="109" spans="2:60">
      <c r="B109" s="32"/>
      <c r="C109" s="32"/>
      <c r="D109" s="32"/>
      <c r="E109" s="32"/>
      <c r="H109" s="12"/>
      <c r="I109" s="40"/>
      <c r="J109" s="12"/>
      <c r="O109" s="12"/>
      <c r="P109" s="40"/>
      <c r="Q109" s="12"/>
      <c r="V109" s="12"/>
      <c r="W109" s="40"/>
      <c r="X109" s="12"/>
      <c r="AB109" s="12"/>
      <c r="AC109" s="40"/>
      <c r="AD109" s="12"/>
      <c r="AH109" s="12"/>
      <c r="AI109" s="40"/>
      <c r="AJ109" s="12"/>
      <c r="AL109" s="32"/>
      <c r="AO109" s="32"/>
      <c r="AQ109" s="114"/>
      <c r="AR109" s="115"/>
      <c r="AS109" s="114"/>
      <c r="AT109" s="114"/>
      <c r="AU109" s="115"/>
      <c r="AV109" s="114"/>
      <c r="AW109" s="114"/>
      <c r="AX109" s="115"/>
      <c r="AY109" s="114"/>
      <c r="AZ109" s="114"/>
      <c r="BA109" s="115"/>
      <c r="BB109" s="114"/>
      <c r="BC109" s="114"/>
      <c r="BD109" s="115"/>
      <c r="BE109" s="114"/>
      <c r="BF109" s="114"/>
      <c r="BG109" s="115"/>
      <c r="BH109" s="114"/>
    </row>
    <row r="110" spans="2:60">
      <c r="B110" s="32"/>
      <c r="C110" s="32"/>
      <c r="D110" s="32"/>
      <c r="E110" s="32"/>
      <c r="H110" s="12"/>
      <c r="I110" s="40"/>
      <c r="J110" s="12"/>
      <c r="O110" s="12"/>
      <c r="P110" s="40"/>
      <c r="Q110" s="12"/>
      <c r="V110" s="12"/>
      <c r="W110" s="40"/>
      <c r="X110" s="12"/>
      <c r="AB110" s="12"/>
      <c r="AC110" s="40"/>
      <c r="AD110" s="12"/>
      <c r="AH110" s="12"/>
      <c r="AI110" s="40"/>
      <c r="AJ110" s="12"/>
      <c r="AL110" s="32"/>
      <c r="AO110" s="32"/>
      <c r="AQ110" s="114"/>
      <c r="AR110" s="115"/>
      <c r="AS110" s="114"/>
      <c r="AT110" s="114"/>
      <c r="AU110" s="115"/>
      <c r="AV110" s="114"/>
      <c r="AW110" s="114"/>
      <c r="AX110" s="115"/>
      <c r="AY110" s="114"/>
      <c r="AZ110" s="114"/>
      <c r="BA110" s="115"/>
      <c r="BB110" s="114"/>
      <c r="BC110" s="114"/>
      <c r="BD110" s="115"/>
      <c r="BE110" s="114"/>
      <c r="BF110" s="114"/>
      <c r="BG110" s="115"/>
      <c r="BH110" s="114"/>
    </row>
    <row r="111" spans="2:60">
      <c r="B111" s="32"/>
      <c r="C111" s="32"/>
      <c r="D111" s="32"/>
      <c r="E111" s="32"/>
      <c r="H111" s="12"/>
      <c r="I111" s="40"/>
      <c r="J111" s="12"/>
      <c r="O111" s="12"/>
      <c r="P111" s="40"/>
      <c r="Q111" s="12"/>
      <c r="V111" s="12"/>
      <c r="W111" s="40"/>
      <c r="X111" s="12"/>
      <c r="AB111" s="12"/>
      <c r="AC111" s="40"/>
      <c r="AD111" s="12"/>
      <c r="AH111" s="12"/>
      <c r="AI111" s="40"/>
      <c r="AJ111" s="12"/>
      <c r="AL111" s="32"/>
      <c r="AO111" s="32"/>
      <c r="AQ111" s="114"/>
      <c r="AR111" s="115"/>
      <c r="AS111" s="114"/>
      <c r="AT111" s="114"/>
      <c r="AU111" s="115"/>
      <c r="AV111" s="114"/>
      <c r="AW111" s="114"/>
      <c r="AX111" s="115"/>
      <c r="AY111" s="114"/>
      <c r="AZ111" s="114"/>
      <c r="BA111" s="115"/>
      <c r="BB111" s="114"/>
      <c r="BC111" s="114"/>
      <c r="BD111" s="115"/>
      <c r="BE111" s="114"/>
      <c r="BF111" s="114"/>
      <c r="BG111" s="115"/>
      <c r="BH111" s="114"/>
    </row>
    <row r="112" spans="2:60">
      <c r="B112" s="32"/>
      <c r="C112" s="32"/>
      <c r="D112" s="32"/>
      <c r="E112" s="32"/>
      <c r="H112" s="12"/>
      <c r="I112" s="40"/>
      <c r="J112" s="12"/>
      <c r="O112" s="12"/>
      <c r="P112" s="40"/>
      <c r="Q112" s="12"/>
      <c r="V112" s="12"/>
      <c r="W112" s="40"/>
      <c r="X112" s="12"/>
      <c r="AB112" s="12"/>
      <c r="AC112" s="40"/>
      <c r="AD112" s="12"/>
      <c r="AH112" s="12"/>
      <c r="AI112" s="40"/>
      <c r="AJ112" s="12"/>
      <c r="AL112" s="32"/>
      <c r="AO112" s="32"/>
      <c r="AQ112" s="114"/>
      <c r="AR112" s="115"/>
      <c r="AS112" s="114"/>
      <c r="AT112" s="114"/>
      <c r="AU112" s="115"/>
      <c r="AV112" s="114"/>
      <c r="AW112" s="114"/>
      <c r="AX112" s="115"/>
      <c r="AY112" s="114"/>
      <c r="AZ112" s="114"/>
      <c r="BA112" s="115"/>
      <c r="BB112" s="114"/>
      <c r="BC112" s="114"/>
      <c r="BD112" s="115"/>
      <c r="BE112" s="114"/>
      <c r="BF112" s="114"/>
      <c r="BG112" s="115"/>
      <c r="BH112" s="114"/>
    </row>
    <row r="113" spans="2:60">
      <c r="B113" s="32"/>
      <c r="C113" s="32"/>
      <c r="D113" s="32"/>
      <c r="E113" s="32"/>
      <c r="H113" s="12"/>
      <c r="I113" s="40"/>
      <c r="J113" s="12"/>
      <c r="O113" s="12"/>
      <c r="P113" s="40"/>
      <c r="Q113" s="12"/>
      <c r="V113" s="12"/>
      <c r="W113" s="40"/>
      <c r="X113" s="12"/>
      <c r="AB113" s="12"/>
      <c r="AC113" s="40"/>
      <c r="AD113" s="12"/>
      <c r="AH113" s="12"/>
      <c r="AI113" s="40"/>
      <c r="AJ113" s="12"/>
      <c r="AL113" s="32"/>
      <c r="AO113" s="32"/>
      <c r="AQ113" s="114"/>
      <c r="AR113" s="115"/>
      <c r="AS113" s="114"/>
      <c r="AT113" s="114"/>
      <c r="AU113" s="115"/>
      <c r="AV113" s="114"/>
      <c r="AW113" s="114"/>
      <c r="AX113" s="115"/>
      <c r="AY113" s="114"/>
      <c r="AZ113" s="114"/>
      <c r="BA113" s="115"/>
      <c r="BB113" s="114"/>
      <c r="BC113" s="114"/>
      <c r="BD113" s="115"/>
      <c r="BE113" s="114"/>
      <c r="BF113" s="114"/>
      <c r="BG113" s="115"/>
      <c r="BH113" s="114"/>
    </row>
    <row r="114" spans="2:60">
      <c r="B114" s="32"/>
      <c r="C114" s="32"/>
      <c r="D114" s="32"/>
      <c r="E114" s="32"/>
      <c r="H114" s="12"/>
      <c r="I114" s="40"/>
      <c r="J114" s="12"/>
      <c r="O114" s="12"/>
      <c r="P114" s="40"/>
      <c r="Q114" s="12"/>
      <c r="V114" s="12"/>
      <c r="W114" s="40"/>
      <c r="X114" s="12"/>
      <c r="AB114" s="12"/>
      <c r="AC114" s="40"/>
      <c r="AD114" s="12"/>
      <c r="AH114" s="12"/>
      <c r="AI114" s="40"/>
      <c r="AJ114" s="12"/>
      <c r="AL114" s="32"/>
      <c r="AO114" s="32"/>
      <c r="AQ114" s="114"/>
      <c r="AR114" s="115"/>
      <c r="AS114" s="114"/>
      <c r="AT114" s="114"/>
      <c r="AU114" s="115"/>
      <c r="AV114" s="114"/>
      <c r="AW114" s="114"/>
      <c r="AX114" s="115"/>
      <c r="AY114" s="114"/>
      <c r="AZ114" s="114"/>
      <c r="BA114" s="115"/>
      <c r="BB114" s="114"/>
      <c r="BC114" s="114"/>
      <c r="BD114" s="115"/>
      <c r="BE114" s="114"/>
      <c r="BF114" s="114"/>
      <c r="BG114" s="115"/>
      <c r="BH114" s="114"/>
    </row>
    <row r="115" spans="2:60">
      <c r="B115" s="32"/>
      <c r="C115" s="32"/>
      <c r="D115" s="32"/>
      <c r="E115" s="32"/>
      <c r="H115" s="12"/>
      <c r="I115" s="40"/>
      <c r="J115" s="12"/>
      <c r="O115" s="12"/>
      <c r="P115" s="40"/>
      <c r="Q115" s="12"/>
      <c r="V115" s="12"/>
      <c r="W115" s="40"/>
      <c r="X115" s="12"/>
      <c r="AB115" s="12"/>
      <c r="AC115" s="40"/>
      <c r="AD115" s="12"/>
      <c r="AH115" s="12"/>
      <c r="AI115" s="40"/>
      <c r="AJ115" s="12"/>
      <c r="AL115" s="32"/>
      <c r="AO115" s="32"/>
      <c r="AQ115" s="114"/>
      <c r="AR115" s="115"/>
      <c r="AS115" s="114"/>
      <c r="AT115" s="114"/>
      <c r="AU115" s="115"/>
      <c r="AV115" s="114"/>
      <c r="AW115" s="114"/>
      <c r="AX115" s="115"/>
      <c r="AY115" s="114"/>
      <c r="AZ115" s="114"/>
      <c r="BA115" s="115"/>
      <c r="BB115" s="114"/>
      <c r="BC115" s="114"/>
      <c r="BD115" s="115"/>
      <c r="BE115" s="114"/>
      <c r="BF115" s="114"/>
      <c r="BG115" s="115"/>
      <c r="BH115" s="114"/>
    </row>
    <row r="116" spans="2:60">
      <c r="B116" s="32"/>
      <c r="C116" s="32"/>
      <c r="D116" s="32"/>
      <c r="E116" s="32"/>
      <c r="H116" s="12"/>
      <c r="I116" s="40"/>
      <c r="J116" s="12"/>
      <c r="O116" s="12"/>
      <c r="P116" s="40"/>
      <c r="Q116" s="12"/>
      <c r="V116" s="12"/>
      <c r="W116" s="40"/>
      <c r="X116" s="12"/>
      <c r="AB116" s="12"/>
      <c r="AC116" s="40"/>
      <c r="AD116" s="12"/>
      <c r="AH116" s="12"/>
      <c r="AI116" s="40"/>
      <c r="AJ116" s="12"/>
      <c r="AL116" s="32"/>
      <c r="AO116" s="32"/>
      <c r="AQ116" s="114"/>
      <c r="AR116" s="115"/>
      <c r="AS116" s="114"/>
      <c r="AT116" s="114"/>
      <c r="AU116" s="115"/>
      <c r="AV116" s="114"/>
      <c r="AW116" s="114"/>
      <c r="AX116" s="115"/>
      <c r="AY116" s="114"/>
      <c r="AZ116" s="114"/>
      <c r="BA116" s="115"/>
      <c r="BB116" s="114"/>
      <c r="BC116" s="114"/>
      <c r="BD116" s="115"/>
      <c r="BE116" s="114"/>
      <c r="BF116" s="114"/>
      <c r="BG116" s="115"/>
      <c r="BH116" s="114"/>
    </row>
    <row r="117" spans="2:60">
      <c r="B117" s="32"/>
      <c r="C117" s="32"/>
      <c r="D117" s="32"/>
      <c r="E117" s="32"/>
      <c r="H117" s="12"/>
      <c r="I117" s="40"/>
      <c r="J117" s="12"/>
      <c r="O117" s="12"/>
      <c r="P117" s="40"/>
      <c r="Q117" s="12"/>
      <c r="V117" s="12"/>
      <c r="W117" s="40"/>
      <c r="X117" s="12"/>
      <c r="AB117" s="12"/>
      <c r="AC117" s="40"/>
      <c r="AD117" s="12"/>
      <c r="AH117" s="12"/>
      <c r="AI117" s="40"/>
      <c r="AJ117" s="12"/>
      <c r="AL117" s="32"/>
      <c r="AO117" s="32"/>
      <c r="AQ117" s="114"/>
      <c r="AR117" s="115"/>
      <c r="AS117" s="114"/>
      <c r="AT117" s="114"/>
      <c r="AU117" s="115"/>
      <c r="AV117" s="114"/>
      <c r="AW117" s="114"/>
      <c r="AX117" s="115"/>
      <c r="AY117" s="114"/>
      <c r="AZ117" s="114"/>
      <c r="BA117" s="115"/>
      <c r="BB117" s="114"/>
      <c r="BC117" s="114"/>
      <c r="BD117" s="115"/>
      <c r="BE117" s="114"/>
      <c r="BF117" s="114"/>
      <c r="BG117" s="115"/>
      <c r="BH117" s="114"/>
    </row>
    <row r="118" spans="2:60">
      <c r="B118" s="32"/>
      <c r="C118" s="32"/>
      <c r="D118" s="32"/>
      <c r="E118" s="32"/>
      <c r="H118" s="12"/>
      <c r="I118" s="40"/>
      <c r="J118" s="12"/>
      <c r="O118" s="12"/>
      <c r="P118" s="40"/>
      <c r="Q118" s="12"/>
      <c r="V118" s="12"/>
      <c r="W118" s="40"/>
      <c r="X118" s="12"/>
      <c r="AB118" s="12"/>
      <c r="AC118" s="40"/>
      <c r="AD118" s="12"/>
      <c r="AH118" s="12"/>
      <c r="AI118" s="40"/>
      <c r="AJ118" s="12"/>
      <c r="AL118" s="32"/>
      <c r="AO118" s="32"/>
      <c r="AQ118" s="114"/>
      <c r="AR118" s="115"/>
      <c r="AS118" s="114"/>
      <c r="AT118" s="114"/>
      <c r="AU118" s="115"/>
      <c r="AV118" s="114"/>
      <c r="AW118" s="114"/>
      <c r="AX118" s="115"/>
      <c r="AY118" s="114"/>
      <c r="AZ118" s="114"/>
      <c r="BA118" s="115"/>
      <c r="BB118" s="114"/>
      <c r="BC118" s="114"/>
      <c r="BD118" s="115"/>
      <c r="BE118" s="114"/>
      <c r="BF118" s="114"/>
      <c r="BG118" s="115"/>
      <c r="BH118" s="114"/>
    </row>
    <row r="119" spans="2:60">
      <c r="B119" s="32"/>
      <c r="C119" s="32"/>
      <c r="D119" s="32"/>
      <c r="E119" s="32"/>
      <c r="H119" s="12"/>
      <c r="I119" s="40"/>
      <c r="J119" s="12"/>
      <c r="O119" s="12"/>
      <c r="P119" s="40"/>
      <c r="Q119" s="12"/>
      <c r="V119" s="12"/>
      <c r="W119" s="40"/>
      <c r="X119" s="12"/>
      <c r="AB119" s="12"/>
      <c r="AC119" s="40"/>
      <c r="AD119" s="12"/>
      <c r="AH119" s="12"/>
      <c r="AI119" s="40"/>
      <c r="AJ119" s="12"/>
      <c r="AL119" s="32"/>
      <c r="AO119" s="32"/>
      <c r="AQ119" s="114"/>
      <c r="AR119" s="115"/>
      <c r="AS119" s="114"/>
      <c r="AT119" s="114"/>
      <c r="AU119" s="115"/>
      <c r="AV119" s="114"/>
      <c r="AW119" s="114"/>
      <c r="AX119" s="115"/>
      <c r="AY119" s="114"/>
      <c r="AZ119" s="114"/>
      <c r="BA119" s="115"/>
      <c r="BB119" s="114"/>
      <c r="BC119" s="114"/>
      <c r="BD119" s="115"/>
      <c r="BE119" s="114"/>
      <c r="BF119" s="114"/>
      <c r="BG119" s="115"/>
      <c r="BH119" s="114"/>
    </row>
    <row r="120" spans="2:60">
      <c r="B120" s="32"/>
      <c r="C120" s="32"/>
      <c r="D120" s="32"/>
      <c r="E120" s="32"/>
      <c r="H120" s="12"/>
      <c r="I120" s="40"/>
      <c r="J120" s="12"/>
      <c r="O120" s="12"/>
      <c r="P120" s="40"/>
      <c r="Q120" s="12"/>
      <c r="V120" s="12"/>
      <c r="W120" s="40"/>
      <c r="X120" s="12"/>
      <c r="AB120" s="12"/>
      <c r="AC120" s="40"/>
      <c r="AD120" s="12"/>
      <c r="AH120" s="12"/>
      <c r="AI120" s="40"/>
      <c r="AJ120" s="12"/>
      <c r="AL120" s="32"/>
      <c r="AO120" s="32"/>
      <c r="AQ120" s="114"/>
      <c r="AR120" s="115"/>
      <c r="AS120" s="114"/>
      <c r="AT120" s="114"/>
      <c r="AU120" s="115"/>
      <c r="AV120" s="114"/>
      <c r="AW120" s="114"/>
      <c r="AX120" s="115"/>
      <c r="AY120" s="114"/>
      <c r="AZ120" s="114"/>
      <c r="BA120" s="115"/>
      <c r="BB120" s="114"/>
      <c r="BC120" s="114"/>
      <c r="BD120" s="115"/>
      <c r="BE120" s="114"/>
      <c r="BF120" s="114"/>
      <c r="BG120" s="115"/>
      <c r="BH120" s="114"/>
    </row>
    <row r="121" spans="2:60">
      <c r="B121" s="32"/>
      <c r="C121" s="32"/>
      <c r="D121" s="32"/>
      <c r="E121" s="32"/>
      <c r="H121" s="12"/>
      <c r="I121" s="40"/>
      <c r="J121" s="12"/>
      <c r="O121" s="12"/>
      <c r="P121" s="40"/>
      <c r="Q121" s="12"/>
      <c r="V121" s="12"/>
      <c r="W121" s="40"/>
      <c r="X121" s="12"/>
      <c r="AB121" s="12"/>
      <c r="AC121" s="40"/>
      <c r="AD121" s="12"/>
      <c r="AH121" s="12"/>
      <c r="AI121" s="40"/>
      <c r="AJ121" s="12"/>
      <c r="AL121" s="32"/>
      <c r="AO121" s="32"/>
      <c r="AQ121" s="114"/>
      <c r="AR121" s="115"/>
      <c r="AS121" s="114"/>
      <c r="AT121" s="114"/>
      <c r="AU121" s="115"/>
      <c r="AV121" s="114"/>
      <c r="AW121" s="114"/>
      <c r="AX121" s="115"/>
      <c r="AY121" s="114"/>
      <c r="AZ121" s="114"/>
      <c r="BA121" s="115"/>
      <c r="BB121" s="114"/>
      <c r="BC121" s="114"/>
      <c r="BD121" s="115"/>
      <c r="BE121" s="114"/>
      <c r="BF121" s="114"/>
      <c r="BG121" s="115"/>
      <c r="BH121" s="114"/>
    </row>
    <row r="122" spans="2:60">
      <c r="B122" s="32"/>
      <c r="C122" s="32"/>
      <c r="D122" s="32"/>
      <c r="E122" s="32"/>
      <c r="H122" s="7"/>
      <c r="I122" s="41"/>
      <c r="J122" s="7"/>
      <c r="O122" s="7"/>
      <c r="P122" s="41"/>
      <c r="Q122" s="7"/>
      <c r="V122" s="7"/>
      <c r="W122" s="41"/>
      <c r="X122" s="7"/>
      <c r="AB122" s="7"/>
      <c r="AC122" s="41"/>
      <c r="AD122" s="7"/>
      <c r="AH122" s="7"/>
      <c r="AI122" s="41"/>
      <c r="AJ122" s="7"/>
      <c r="AL122" s="32"/>
      <c r="AO122" s="32"/>
      <c r="AQ122" s="114"/>
      <c r="AR122" s="115"/>
      <c r="AS122" s="114"/>
      <c r="AT122" s="114"/>
      <c r="AU122" s="115"/>
      <c r="AV122" s="114"/>
      <c r="AW122" s="114"/>
      <c r="AX122" s="115"/>
      <c r="AY122" s="114"/>
      <c r="AZ122" s="114"/>
      <c r="BA122" s="115"/>
      <c r="BB122" s="114"/>
      <c r="BC122" s="114"/>
      <c r="BD122" s="115"/>
      <c r="BE122" s="114"/>
      <c r="BF122" s="114"/>
      <c r="BG122" s="115"/>
      <c r="BH122" s="114"/>
    </row>
    <row r="123" spans="2:60">
      <c r="B123" s="32"/>
      <c r="C123" s="32"/>
      <c r="D123" s="32"/>
      <c r="E123" s="32"/>
      <c r="H123" s="38"/>
      <c r="AL123" s="32"/>
      <c r="AO123" s="32"/>
      <c r="AQ123" s="114"/>
      <c r="AR123" s="115"/>
      <c r="AS123" s="114"/>
      <c r="AT123" s="114"/>
      <c r="AU123" s="115"/>
      <c r="AV123" s="114"/>
      <c r="AW123" s="114"/>
      <c r="AX123" s="115"/>
      <c r="AY123" s="114"/>
      <c r="AZ123" s="114"/>
      <c r="BA123" s="115"/>
      <c r="BB123" s="114"/>
      <c r="BC123" s="114"/>
      <c r="BD123" s="115"/>
      <c r="BE123" s="114"/>
      <c r="BF123" s="114"/>
      <c r="BG123" s="115"/>
      <c r="BH123" s="114"/>
    </row>
    <row r="124" spans="2:60">
      <c r="B124" s="32"/>
      <c r="C124" s="32"/>
      <c r="D124" s="32"/>
      <c r="E124" s="32"/>
      <c r="H124" s="38"/>
      <c r="AL124" s="32"/>
      <c r="AO124" s="32"/>
      <c r="AQ124" s="114"/>
      <c r="AR124" s="115"/>
      <c r="AS124" s="114"/>
      <c r="AT124" s="114"/>
      <c r="AU124" s="115"/>
      <c r="AV124" s="114"/>
      <c r="AW124" s="114"/>
      <c r="AX124" s="115"/>
      <c r="AY124" s="114"/>
      <c r="AZ124" s="114"/>
      <c r="BA124" s="115"/>
      <c r="BB124" s="114"/>
      <c r="BC124" s="114"/>
      <c r="BD124" s="115"/>
      <c r="BE124" s="114"/>
      <c r="BF124" s="114"/>
      <c r="BG124" s="115"/>
      <c r="BH124" s="114"/>
    </row>
    <row r="125" spans="2:60">
      <c r="B125" s="32"/>
      <c r="C125" s="32"/>
      <c r="D125" s="32"/>
      <c r="E125" s="32"/>
      <c r="H125" s="38"/>
      <c r="AL125" s="32"/>
      <c r="AO125" s="32"/>
      <c r="AQ125" s="114"/>
      <c r="AR125" s="115"/>
      <c r="AS125" s="114"/>
      <c r="AT125" s="114"/>
      <c r="AU125" s="115"/>
      <c r="AV125" s="114"/>
      <c r="AW125" s="114"/>
      <c r="AX125" s="115"/>
      <c r="AY125" s="114"/>
      <c r="AZ125" s="114"/>
      <c r="BA125" s="115"/>
      <c r="BB125" s="114"/>
      <c r="BC125" s="114"/>
      <c r="BD125" s="115"/>
      <c r="BE125" s="114"/>
      <c r="BF125" s="114"/>
      <c r="BG125" s="115"/>
      <c r="BH125" s="114"/>
    </row>
    <row r="126" spans="2:60">
      <c r="B126" s="32"/>
      <c r="C126" s="32"/>
      <c r="D126" s="32"/>
      <c r="E126" s="32"/>
      <c r="H126" s="38"/>
      <c r="AL126" s="32"/>
      <c r="AO126" s="32"/>
      <c r="AQ126" s="114"/>
      <c r="AR126" s="115"/>
      <c r="AS126" s="114"/>
      <c r="AT126" s="114"/>
      <c r="AU126" s="115"/>
      <c r="AV126" s="114"/>
      <c r="AW126" s="114"/>
      <c r="AX126" s="115"/>
      <c r="AY126" s="114"/>
      <c r="AZ126" s="114"/>
      <c r="BA126" s="115"/>
      <c r="BB126" s="114"/>
      <c r="BC126" s="114"/>
      <c r="BD126" s="115"/>
      <c r="BE126" s="114"/>
      <c r="BF126" s="114"/>
      <c r="BG126" s="115"/>
      <c r="BH126" s="114"/>
    </row>
    <row r="127" spans="2:60">
      <c r="B127" s="32"/>
      <c r="C127" s="32"/>
      <c r="D127" s="32"/>
      <c r="E127" s="32"/>
      <c r="H127" s="38"/>
      <c r="AL127" s="32"/>
      <c r="AO127" s="32"/>
      <c r="AQ127" s="114"/>
      <c r="AR127" s="115"/>
      <c r="AS127" s="114"/>
      <c r="AT127" s="114"/>
      <c r="AU127" s="115"/>
      <c r="AV127" s="114"/>
      <c r="AW127" s="114"/>
      <c r="AX127" s="115"/>
      <c r="AY127" s="114"/>
      <c r="AZ127" s="114"/>
      <c r="BA127" s="115"/>
      <c r="BB127" s="114"/>
      <c r="BC127" s="114"/>
      <c r="BD127" s="115"/>
      <c r="BE127" s="114"/>
      <c r="BF127" s="114"/>
      <c r="BG127" s="115"/>
      <c r="BH127" s="114"/>
    </row>
    <row r="128" spans="2:60">
      <c r="B128" s="32"/>
      <c r="C128" s="32"/>
      <c r="D128" s="32"/>
      <c r="E128" s="32"/>
      <c r="H128" s="38"/>
      <c r="I128" s="32"/>
      <c r="J128" s="32"/>
      <c r="L128" s="32"/>
      <c r="O128" s="32"/>
      <c r="P128" s="32"/>
      <c r="Q128" s="32"/>
      <c r="S128" s="32"/>
      <c r="V128" s="32"/>
      <c r="W128" s="32"/>
      <c r="X128" s="32"/>
      <c r="Z128" s="32"/>
      <c r="AB128" s="32"/>
      <c r="AC128" s="32"/>
      <c r="AD128" s="32"/>
      <c r="AF128" s="32"/>
      <c r="AH128" s="32"/>
      <c r="AI128" s="32"/>
      <c r="AJ128" s="32"/>
      <c r="AL128" s="32"/>
      <c r="AO128" s="32"/>
      <c r="AQ128" s="114"/>
      <c r="AR128" s="115"/>
      <c r="AS128" s="114"/>
      <c r="AT128" s="114"/>
      <c r="AU128" s="115"/>
      <c r="AV128" s="114"/>
      <c r="AW128" s="114"/>
      <c r="AX128" s="115"/>
      <c r="AY128" s="114"/>
      <c r="AZ128" s="114"/>
      <c r="BA128" s="115"/>
      <c r="BB128" s="114"/>
      <c r="BC128" s="114"/>
      <c r="BD128" s="115"/>
      <c r="BE128" s="114"/>
      <c r="BF128" s="114"/>
      <c r="BG128" s="115"/>
      <c r="BH128" s="114"/>
    </row>
    <row r="129" spans="2:60">
      <c r="B129" s="32"/>
      <c r="C129" s="32"/>
      <c r="D129" s="32"/>
      <c r="E129" s="32"/>
      <c r="H129" s="38"/>
      <c r="I129" s="32"/>
      <c r="J129" s="32"/>
      <c r="L129" s="32"/>
      <c r="O129" s="32"/>
      <c r="P129" s="32"/>
      <c r="Q129" s="32"/>
      <c r="S129" s="32"/>
      <c r="V129" s="32"/>
      <c r="W129" s="32"/>
      <c r="X129" s="32"/>
      <c r="Z129" s="32"/>
      <c r="AB129" s="32"/>
      <c r="AC129" s="32"/>
      <c r="AD129" s="32"/>
      <c r="AF129" s="32"/>
      <c r="AH129" s="32"/>
      <c r="AI129" s="32"/>
      <c r="AJ129" s="32"/>
      <c r="AL129" s="32"/>
      <c r="AO129" s="32"/>
      <c r="AQ129" s="114"/>
      <c r="AR129" s="115"/>
      <c r="AS129" s="114"/>
      <c r="AT129" s="114"/>
      <c r="AU129" s="115"/>
      <c r="AV129" s="114"/>
      <c r="AW129" s="114"/>
      <c r="AX129" s="115"/>
      <c r="AY129" s="114"/>
      <c r="AZ129" s="114"/>
      <c r="BA129" s="115"/>
      <c r="BB129" s="114"/>
      <c r="BC129" s="114"/>
      <c r="BD129" s="115"/>
      <c r="BE129" s="114"/>
      <c r="BF129" s="114"/>
      <c r="BG129" s="115"/>
      <c r="BH129" s="114"/>
    </row>
    <row r="130" spans="2:60">
      <c r="B130" s="32"/>
      <c r="C130" s="32"/>
      <c r="D130" s="32"/>
      <c r="E130" s="32"/>
      <c r="H130" s="38"/>
      <c r="I130" s="32"/>
      <c r="J130" s="32"/>
      <c r="L130" s="32"/>
      <c r="O130" s="32"/>
      <c r="P130" s="32"/>
      <c r="Q130" s="32"/>
      <c r="S130" s="32"/>
      <c r="V130" s="32"/>
      <c r="W130" s="32"/>
      <c r="X130" s="32"/>
      <c r="Z130" s="32"/>
      <c r="AB130" s="32"/>
      <c r="AC130" s="32"/>
      <c r="AD130" s="32"/>
      <c r="AF130" s="32"/>
      <c r="AH130" s="32"/>
      <c r="AI130" s="32"/>
      <c r="AJ130" s="32"/>
      <c r="AL130" s="32"/>
      <c r="AO130" s="32"/>
      <c r="AQ130" s="114"/>
      <c r="AR130" s="115"/>
      <c r="AS130" s="114"/>
      <c r="AT130" s="114"/>
      <c r="AU130" s="115"/>
      <c r="AV130" s="114"/>
      <c r="AW130" s="114"/>
      <c r="AX130" s="115"/>
      <c r="AY130" s="114"/>
      <c r="AZ130" s="114"/>
      <c r="BA130" s="115"/>
      <c r="BB130" s="114"/>
      <c r="BC130" s="114"/>
      <c r="BD130" s="115"/>
      <c r="BE130" s="114"/>
      <c r="BF130" s="114"/>
      <c r="BG130" s="115"/>
      <c r="BH130" s="114"/>
    </row>
    <row r="131" spans="2:60">
      <c r="B131" s="32"/>
      <c r="C131" s="32"/>
      <c r="D131" s="32"/>
      <c r="E131" s="32"/>
      <c r="H131" s="38"/>
      <c r="I131" s="32"/>
      <c r="J131" s="32"/>
      <c r="L131" s="32"/>
      <c r="O131" s="32"/>
      <c r="P131" s="32"/>
      <c r="Q131" s="32"/>
      <c r="S131" s="32"/>
      <c r="V131" s="32"/>
      <c r="W131" s="32"/>
      <c r="X131" s="32"/>
      <c r="Z131" s="32"/>
      <c r="AB131" s="32"/>
      <c r="AC131" s="32"/>
      <c r="AD131" s="32"/>
      <c r="AF131" s="32"/>
      <c r="AH131" s="32"/>
      <c r="AI131" s="32"/>
      <c r="AJ131" s="32"/>
      <c r="AL131" s="32"/>
      <c r="AO131" s="32"/>
      <c r="AQ131" s="114"/>
      <c r="AR131" s="115"/>
      <c r="AS131" s="114"/>
      <c r="AT131" s="114"/>
      <c r="AU131" s="115"/>
      <c r="AV131" s="114"/>
      <c r="AW131" s="114"/>
      <c r="AX131" s="115"/>
      <c r="AY131" s="114"/>
      <c r="AZ131" s="114"/>
      <c r="BA131" s="115"/>
      <c r="BB131" s="114"/>
      <c r="BC131" s="114"/>
      <c r="BD131" s="115"/>
      <c r="BE131" s="114"/>
      <c r="BF131" s="114"/>
      <c r="BG131" s="115"/>
      <c r="BH131" s="114"/>
    </row>
    <row r="132" spans="2:60">
      <c r="B132" s="32"/>
      <c r="C132" s="32"/>
      <c r="D132" s="32"/>
      <c r="E132" s="32"/>
      <c r="H132" s="38"/>
      <c r="I132" s="32"/>
      <c r="J132" s="32"/>
      <c r="L132" s="32"/>
      <c r="O132" s="32"/>
      <c r="P132" s="32"/>
      <c r="Q132" s="32"/>
      <c r="S132" s="32"/>
      <c r="V132" s="32"/>
      <c r="W132" s="32"/>
      <c r="X132" s="32"/>
      <c r="Z132" s="32"/>
      <c r="AB132" s="32"/>
      <c r="AC132" s="32"/>
      <c r="AD132" s="32"/>
      <c r="AF132" s="32"/>
      <c r="AH132" s="32"/>
      <c r="AI132" s="32"/>
      <c r="AJ132" s="32"/>
      <c r="AL132" s="32"/>
      <c r="AO132" s="32"/>
      <c r="AQ132" s="114"/>
      <c r="AR132" s="115"/>
      <c r="AS132" s="114"/>
      <c r="AT132" s="114"/>
      <c r="AU132" s="115"/>
      <c r="AV132" s="114"/>
      <c r="AW132" s="114"/>
      <c r="AX132" s="115"/>
      <c r="AY132" s="114"/>
      <c r="AZ132" s="114"/>
      <c r="BA132" s="115"/>
      <c r="BB132" s="114"/>
      <c r="BC132" s="114"/>
      <c r="BD132" s="115"/>
      <c r="BE132" s="114"/>
      <c r="BF132" s="114"/>
      <c r="BG132" s="115"/>
      <c r="BH132" s="114"/>
    </row>
    <row r="133" spans="2:60">
      <c r="B133" s="32"/>
      <c r="C133" s="32"/>
      <c r="D133" s="32"/>
      <c r="E133" s="32"/>
      <c r="H133" s="38"/>
      <c r="I133" s="32"/>
      <c r="J133" s="32"/>
      <c r="L133" s="32"/>
      <c r="O133" s="32"/>
      <c r="P133" s="32"/>
      <c r="Q133" s="32"/>
      <c r="S133" s="32"/>
      <c r="V133" s="32"/>
      <c r="W133" s="32"/>
      <c r="X133" s="32"/>
      <c r="Z133" s="32"/>
      <c r="AB133" s="32"/>
      <c r="AC133" s="32"/>
      <c r="AD133" s="32"/>
      <c r="AF133" s="32"/>
      <c r="AH133" s="32"/>
      <c r="AI133" s="32"/>
      <c r="AJ133" s="32"/>
      <c r="AL133" s="32"/>
      <c r="AO133" s="32"/>
      <c r="AQ133" s="114"/>
      <c r="AR133" s="115"/>
      <c r="AS133" s="114"/>
      <c r="AT133" s="114"/>
      <c r="AU133" s="115"/>
      <c r="AV133" s="114"/>
      <c r="AW133" s="114"/>
      <c r="AX133" s="115"/>
      <c r="AY133" s="114"/>
      <c r="AZ133" s="114"/>
      <c r="BA133" s="115"/>
      <c r="BB133" s="114"/>
      <c r="BC133" s="114"/>
      <c r="BD133" s="115"/>
      <c r="BE133" s="114"/>
      <c r="BF133" s="114"/>
      <c r="BG133" s="115"/>
      <c r="BH133" s="114"/>
    </row>
    <row r="134" spans="2:60">
      <c r="B134" s="32"/>
      <c r="C134" s="32"/>
      <c r="D134" s="32"/>
      <c r="E134" s="32"/>
      <c r="H134" s="38"/>
      <c r="I134" s="32"/>
      <c r="J134" s="32"/>
      <c r="L134" s="32"/>
      <c r="O134" s="32"/>
      <c r="P134" s="32"/>
      <c r="Q134" s="32"/>
      <c r="S134" s="32"/>
      <c r="V134" s="32"/>
      <c r="W134" s="32"/>
      <c r="X134" s="32"/>
      <c r="Z134" s="32"/>
      <c r="AB134" s="32"/>
      <c r="AC134" s="32"/>
      <c r="AD134" s="32"/>
      <c r="AF134" s="32"/>
      <c r="AH134" s="32"/>
      <c r="AI134" s="32"/>
      <c r="AJ134" s="32"/>
      <c r="AL134" s="32"/>
      <c r="AO134" s="32"/>
      <c r="AQ134" s="114"/>
      <c r="AR134" s="115"/>
      <c r="AS134" s="114"/>
      <c r="AT134" s="114"/>
      <c r="AU134" s="115"/>
      <c r="AV134" s="114"/>
      <c r="AW134" s="114"/>
      <c r="AX134" s="115"/>
      <c r="AY134" s="114"/>
      <c r="AZ134" s="114"/>
      <c r="BA134" s="115"/>
      <c r="BB134" s="114"/>
      <c r="BC134" s="114"/>
      <c r="BD134" s="115"/>
      <c r="BE134" s="114"/>
      <c r="BF134" s="114"/>
      <c r="BG134" s="115"/>
      <c r="BH134" s="114"/>
    </row>
    <row r="135" spans="2:60">
      <c r="B135" s="32"/>
      <c r="C135" s="32"/>
      <c r="D135" s="32"/>
      <c r="E135" s="32"/>
      <c r="H135" s="38"/>
      <c r="I135" s="32"/>
      <c r="J135" s="32"/>
      <c r="L135" s="32"/>
      <c r="O135" s="32"/>
      <c r="P135" s="32"/>
      <c r="Q135" s="32"/>
      <c r="S135" s="32"/>
      <c r="V135" s="32"/>
      <c r="W135" s="32"/>
      <c r="X135" s="32"/>
      <c r="Z135" s="32"/>
      <c r="AB135" s="32"/>
      <c r="AC135" s="32"/>
      <c r="AD135" s="32"/>
      <c r="AF135" s="32"/>
      <c r="AH135" s="32"/>
      <c r="AI135" s="32"/>
      <c r="AJ135" s="32"/>
      <c r="AL135" s="32"/>
      <c r="AO135" s="32"/>
      <c r="AQ135" s="114"/>
      <c r="AR135" s="115"/>
      <c r="AS135" s="114"/>
      <c r="AT135" s="114"/>
      <c r="AU135" s="115"/>
      <c r="AV135" s="114"/>
      <c r="AW135" s="114"/>
      <c r="AX135" s="115"/>
      <c r="AY135" s="114"/>
      <c r="AZ135" s="114"/>
      <c r="BA135" s="115"/>
      <c r="BB135" s="114"/>
      <c r="BC135" s="114"/>
      <c r="BD135" s="115"/>
      <c r="BE135" s="114"/>
      <c r="BF135" s="114"/>
      <c r="BG135" s="115"/>
      <c r="BH135" s="114"/>
    </row>
    <row r="136" spans="2:60">
      <c r="B136" s="32"/>
      <c r="C136" s="32"/>
      <c r="D136" s="32"/>
      <c r="E136" s="32"/>
      <c r="H136" s="38"/>
      <c r="I136" s="32"/>
      <c r="J136" s="32"/>
      <c r="L136" s="32"/>
      <c r="O136" s="32"/>
      <c r="P136" s="32"/>
      <c r="Q136" s="32"/>
      <c r="S136" s="32"/>
      <c r="V136" s="32"/>
      <c r="W136" s="32"/>
      <c r="X136" s="32"/>
      <c r="Z136" s="32"/>
      <c r="AB136" s="32"/>
      <c r="AC136" s="32"/>
      <c r="AD136" s="32"/>
      <c r="AF136" s="32"/>
      <c r="AH136" s="32"/>
      <c r="AI136" s="32"/>
      <c r="AJ136" s="32"/>
      <c r="AL136" s="32"/>
      <c r="AO136" s="32"/>
      <c r="AQ136" s="114"/>
      <c r="AR136" s="115"/>
      <c r="AS136" s="114"/>
      <c r="AT136" s="114"/>
      <c r="AU136" s="115"/>
      <c r="AV136" s="114"/>
      <c r="AW136" s="114"/>
      <c r="AX136" s="115"/>
      <c r="AY136" s="114"/>
      <c r="AZ136" s="114"/>
      <c r="BA136" s="115"/>
      <c r="BB136" s="114"/>
      <c r="BC136" s="114"/>
      <c r="BD136" s="115"/>
      <c r="BE136" s="114"/>
      <c r="BF136" s="114"/>
      <c r="BG136" s="115"/>
      <c r="BH136" s="114"/>
    </row>
    <row r="137" spans="2:60">
      <c r="B137" s="32"/>
      <c r="C137" s="32"/>
      <c r="D137" s="32"/>
      <c r="E137" s="32"/>
      <c r="H137" s="38"/>
      <c r="I137" s="32"/>
      <c r="J137" s="32"/>
      <c r="L137" s="32"/>
      <c r="O137" s="32"/>
      <c r="P137" s="32"/>
      <c r="Q137" s="32"/>
      <c r="S137" s="32"/>
      <c r="V137" s="32"/>
      <c r="W137" s="32"/>
      <c r="X137" s="32"/>
      <c r="Z137" s="32"/>
      <c r="AB137" s="32"/>
      <c r="AC137" s="32"/>
      <c r="AD137" s="32"/>
      <c r="AF137" s="32"/>
      <c r="AH137" s="32"/>
      <c r="AI137" s="32"/>
      <c r="AJ137" s="32"/>
      <c r="AL137" s="32"/>
      <c r="AO137" s="32"/>
      <c r="AQ137" s="114"/>
      <c r="AR137" s="115"/>
      <c r="AS137" s="114"/>
      <c r="AT137" s="114"/>
      <c r="AU137" s="115"/>
      <c r="AV137" s="114"/>
      <c r="AW137" s="114"/>
      <c r="AX137" s="115"/>
      <c r="AY137" s="114"/>
      <c r="AZ137" s="114"/>
      <c r="BA137" s="115"/>
      <c r="BB137" s="114"/>
      <c r="BC137" s="114"/>
      <c r="BD137" s="115"/>
      <c r="BE137" s="114"/>
      <c r="BF137" s="114"/>
      <c r="BG137" s="115"/>
      <c r="BH137" s="114"/>
    </row>
    <row r="138" spans="2:60">
      <c r="B138" s="32"/>
      <c r="C138" s="32"/>
      <c r="D138" s="32"/>
      <c r="E138" s="32"/>
      <c r="H138" s="38"/>
      <c r="I138" s="32"/>
      <c r="J138" s="32"/>
      <c r="L138" s="32"/>
      <c r="O138" s="32"/>
      <c r="P138" s="32"/>
      <c r="Q138" s="32"/>
      <c r="S138" s="32"/>
      <c r="V138" s="32"/>
      <c r="W138" s="32"/>
      <c r="X138" s="32"/>
      <c r="Z138" s="32"/>
      <c r="AB138" s="32"/>
      <c r="AC138" s="32"/>
      <c r="AD138" s="32"/>
      <c r="AF138" s="32"/>
      <c r="AH138" s="32"/>
      <c r="AI138" s="32"/>
      <c r="AJ138" s="32"/>
      <c r="AL138" s="32"/>
      <c r="AO138" s="32"/>
      <c r="AQ138" s="114"/>
      <c r="AR138" s="115"/>
      <c r="AS138" s="114"/>
      <c r="AT138" s="114"/>
      <c r="AU138" s="115"/>
      <c r="AV138" s="114"/>
      <c r="AW138" s="114"/>
      <c r="AX138" s="115"/>
      <c r="AY138" s="114"/>
      <c r="AZ138" s="114"/>
      <c r="BA138" s="115"/>
      <c r="BB138" s="114"/>
      <c r="BC138" s="114"/>
      <c r="BD138" s="115"/>
      <c r="BE138" s="114"/>
      <c r="BF138" s="114"/>
      <c r="BG138" s="115"/>
      <c r="BH138" s="114"/>
    </row>
    <row r="139" spans="2:60">
      <c r="B139" s="32"/>
      <c r="C139" s="32"/>
      <c r="D139" s="32"/>
      <c r="E139" s="32"/>
      <c r="H139" s="38"/>
      <c r="I139" s="32"/>
      <c r="J139" s="32"/>
      <c r="L139" s="32"/>
      <c r="O139" s="32"/>
      <c r="P139" s="32"/>
      <c r="Q139" s="32"/>
      <c r="S139" s="32"/>
      <c r="V139" s="32"/>
      <c r="W139" s="32"/>
      <c r="X139" s="32"/>
      <c r="Z139" s="32"/>
      <c r="AB139" s="32"/>
      <c r="AC139" s="32"/>
      <c r="AD139" s="32"/>
      <c r="AF139" s="32"/>
      <c r="AH139" s="32"/>
      <c r="AI139" s="32"/>
      <c r="AJ139" s="32"/>
      <c r="AL139" s="32"/>
      <c r="AO139" s="32"/>
      <c r="AQ139" s="110">
        <f>SUM(AW5:AW59)</f>
        <v>3473</v>
      </c>
      <c r="AR139" s="104"/>
      <c r="AS139" s="111">
        <f>SUM(AY5:AY59)</f>
        <v>336937400</v>
      </c>
    </row>
    <row r="140" spans="2:60">
      <c r="B140" s="32"/>
      <c r="C140" s="32"/>
      <c r="D140" s="32"/>
      <c r="E140" s="32"/>
      <c r="H140" s="38"/>
      <c r="I140" s="32"/>
      <c r="J140" s="32"/>
      <c r="L140" s="32"/>
      <c r="O140" s="32"/>
      <c r="P140" s="32"/>
      <c r="Q140" s="32"/>
      <c r="S140" s="32"/>
      <c r="V140" s="32"/>
      <c r="W140" s="32"/>
      <c r="X140" s="32"/>
      <c r="Z140" s="32"/>
      <c r="AB140" s="32"/>
      <c r="AC140" s="32"/>
      <c r="AD140" s="32"/>
      <c r="AF140" s="32"/>
      <c r="AH140" s="32"/>
      <c r="AI140" s="32"/>
      <c r="AJ140" s="32"/>
      <c r="AL140" s="32"/>
      <c r="AO140" s="32"/>
      <c r="AQ140" s="116"/>
      <c r="AR140" s="117"/>
      <c r="AS140" s="118"/>
    </row>
    <row r="141" spans="2:60">
      <c r="B141" s="32"/>
      <c r="C141" s="32"/>
      <c r="D141" s="32"/>
      <c r="E141" s="32"/>
      <c r="H141" s="38"/>
      <c r="I141" s="32"/>
      <c r="J141" s="32"/>
      <c r="L141" s="32"/>
      <c r="O141" s="32"/>
      <c r="P141" s="32"/>
      <c r="Q141" s="32"/>
      <c r="S141" s="32"/>
      <c r="V141" s="32"/>
      <c r="W141" s="32"/>
      <c r="X141" s="32"/>
      <c r="Z141" s="32"/>
      <c r="AB141" s="32"/>
      <c r="AC141" s="32"/>
      <c r="AD141" s="32"/>
      <c r="AF141" s="32"/>
      <c r="AH141" s="32"/>
      <c r="AI141" s="32"/>
      <c r="AJ141" s="32"/>
      <c r="AL141" s="32"/>
      <c r="AO141" s="32"/>
    </row>
    <row r="142" spans="2:60">
      <c r="B142" s="32"/>
      <c r="C142" s="32"/>
      <c r="D142" s="32"/>
      <c r="E142" s="32"/>
      <c r="H142" s="38"/>
      <c r="I142" s="32"/>
      <c r="J142" s="32"/>
      <c r="L142" s="32"/>
      <c r="O142" s="32"/>
      <c r="P142" s="32"/>
      <c r="Q142" s="32"/>
      <c r="S142" s="32"/>
      <c r="V142" s="32"/>
      <c r="W142" s="32"/>
      <c r="X142" s="32"/>
      <c r="Z142" s="32"/>
      <c r="AB142" s="32"/>
      <c r="AC142" s="32"/>
      <c r="AD142" s="32"/>
      <c r="AF142" s="32"/>
      <c r="AH142" s="32"/>
      <c r="AI142" s="32"/>
      <c r="AJ142" s="32"/>
      <c r="AL142" s="32"/>
      <c r="AO142" s="32"/>
    </row>
    <row r="143" spans="2:60">
      <c r="B143" s="32"/>
      <c r="C143" s="32"/>
      <c r="D143" s="32"/>
      <c r="E143" s="32"/>
      <c r="H143" s="38"/>
      <c r="I143" s="32"/>
      <c r="J143" s="32"/>
      <c r="L143" s="32"/>
      <c r="O143" s="32"/>
      <c r="P143" s="32"/>
      <c r="Q143" s="32"/>
      <c r="S143" s="32"/>
      <c r="V143" s="32"/>
      <c r="W143" s="32"/>
      <c r="X143" s="32"/>
      <c r="Z143" s="32"/>
      <c r="AB143" s="32"/>
      <c r="AC143" s="32"/>
      <c r="AD143" s="32"/>
      <c r="AF143" s="32"/>
      <c r="AH143" s="32"/>
      <c r="AI143" s="32"/>
      <c r="AJ143" s="32"/>
      <c r="AL143" s="32"/>
      <c r="AO143" s="32"/>
    </row>
    <row r="144" spans="2:60">
      <c r="B144" s="32"/>
      <c r="C144" s="32"/>
      <c r="D144" s="32"/>
      <c r="E144" s="32"/>
      <c r="H144" s="38"/>
      <c r="I144" s="32"/>
      <c r="J144" s="32"/>
      <c r="L144" s="32"/>
      <c r="O144" s="32"/>
      <c r="P144" s="32"/>
      <c r="Q144" s="32"/>
      <c r="S144" s="32"/>
      <c r="V144" s="32"/>
      <c r="W144" s="32"/>
      <c r="X144" s="32"/>
      <c r="Z144" s="32"/>
      <c r="AB144" s="32"/>
      <c r="AC144" s="32"/>
      <c r="AD144" s="32"/>
      <c r="AF144" s="32"/>
      <c r="AH144" s="32"/>
      <c r="AI144" s="32"/>
      <c r="AJ144" s="32"/>
      <c r="AL144" s="32"/>
      <c r="AO144" s="32"/>
    </row>
    <row r="145" spans="2:41">
      <c r="B145" s="32"/>
      <c r="C145" s="32"/>
      <c r="D145" s="32"/>
      <c r="E145" s="32"/>
      <c r="H145" s="38"/>
      <c r="I145" s="32"/>
      <c r="J145" s="32"/>
      <c r="L145" s="32"/>
      <c r="O145" s="32"/>
      <c r="P145" s="32"/>
      <c r="Q145" s="32"/>
      <c r="S145" s="32"/>
      <c r="V145" s="32"/>
      <c r="W145" s="32"/>
      <c r="X145" s="32"/>
      <c r="Z145" s="32"/>
      <c r="AB145" s="32"/>
      <c r="AC145" s="32"/>
      <c r="AD145" s="32"/>
      <c r="AF145" s="32"/>
      <c r="AH145" s="32"/>
      <c r="AI145" s="32"/>
      <c r="AJ145" s="32"/>
      <c r="AL145" s="32"/>
      <c r="AO145" s="32"/>
    </row>
    <row r="146" spans="2:41">
      <c r="B146" s="32"/>
      <c r="C146" s="32"/>
      <c r="D146" s="32"/>
      <c r="E146" s="32"/>
      <c r="H146" s="38"/>
      <c r="I146" s="32"/>
      <c r="J146" s="32"/>
      <c r="L146" s="32"/>
      <c r="O146" s="32"/>
      <c r="P146" s="32"/>
      <c r="Q146" s="32"/>
      <c r="S146" s="32"/>
      <c r="V146" s="32"/>
      <c r="W146" s="32"/>
      <c r="X146" s="32"/>
      <c r="Z146" s="32"/>
      <c r="AB146" s="32"/>
      <c r="AC146" s="32"/>
      <c r="AD146" s="32"/>
      <c r="AF146" s="32"/>
      <c r="AH146" s="32"/>
      <c r="AI146" s="32"/>
      <c r="AJ146" s="32"/>
      <c r="AL146" s="32"/>
      <c r="AO146" s="32"/>
    </row>
    <row r="147" spans="2:41">
      <c r="B147" s="32"/>
      <c r="C147" s="32"/>
      <c r="D147" s="32"/>
      <c r="E147" s="32"/>
      <c r="H147" s="38"/>
      <c r="I147" s="32"/>
      <c r="J147" s="32"/>
      <c r="L147" s="32"/>
      <c r="O147" s="32"/>
      <c r="P147" s="32"/>
      <c r="Q147" s="32"/>
      <c r="S147" s="32"/>
      <c r="V147" s="32"/>
      <c r="W147" s="32"/>
      <c r="X147" s="32"/>
      <c r="Z147" s="32"/>
      <c r="AB147" s="32"/>
      <c r="AC147" s="32"/>
      <c r="AD147" s="32"/>
      <c r="AF147" s="32"/>
      <c r="AH147" s="32"/>
      <c r="AI147" s="32"/>
      <c r="AJ147" s="32"/>
      <c r="AL147" s="32"/>
      <c r="AO147" s="32"/>
    </row>
    <row r="148" spans="2:41">
      <c r="B148" s="32"/>
      <c r="C148" s="32"/>
      <c r="D148" s="32"/>
      <c r="E148" s="32"/>
      <c r="H148" s="38"/>
      <c r="I148" s="32"/>
      <c r="J148" s="32"/>
      <c r="L148" s="32"/>
      <c r="O148" s="32"/>
      <c r="P148" s="32"/>
      <c r="Q148" s="32"/>
      <c r="S148" s="32"/>
      <c r="V148" s="32"/>
      <c r="W148" s="32"/>
      <c r="X148" s="32"/>
      <c r="Z148" s="32"/>
      <c r="AB148" s="32"/>
      <c r="AC148" s="32"/>
      <c r="AD148" s="32"/>
      <c r="AF148" s="32"/>
      <c r="AH148" s="32"/>
      <c r="AI148" s="32"/>
      <c r="AJ148" s="32"/>
      <c r="AL148" s="32"/>
      <c r="AO148" s="32"/>
    </row>
    <row r="149" spans="2:41">
      <c r="B149" s="32"/>
      <c r="C149" s="32"/>
      <c r="D149" s="32"/>
      <c r="E149" s="32"/>
      <c r="H149" s="38"/>
      <c r="I149" s="32"/>
      <c r="J149" s="32"/>
      <c r="L149" s="32"/>
      <c r="O149" s="32"/>
      <c r="P149" s="32"/>
      <c r="Q149" s="32"/>
      <c r="S149" s="32"/>
      <c r="V149" s="32"/>
      <c r="W149" s="32"/>
      <c r="X149" s="32"/>
      <c r="Z149" s="32"/>
      <c r="AB149" s="32"/>
      <c r="AC149" s="32"/>
      <c r="AD149" s="32"/>
      <c r="AF149" s="32"/>
      <c r="AH149" s="32"/>
      <c r="AI149" s="32"/>
      <c r="AJ149" s="32"/>
      <c r="AL149" s="32"/>
      <c r="AO149" s="32"/>
    </row>
    <row r="150" spans="2:41">
      <c r="B150" s="32"/>
      <c r="C150" s="32"/>
      <c r="D150" s="32"/>
      <c r="E150" s="32"/>
      <c r="H150" s="38"/>
      <c r="I150" s="32"/>
      <c r="J150" s="32"/>
      <c r="L150" s="32"/>
      <c r="O150" s="32"/>
      <c r="P150" s="32"/>
      <c r="Q150" s="32"/>
      <c r="S150" s="32"/>
      <c r="V150" s="32"/>
      <c r="W150" s="32"/>
      <c r="X150" s="32"/>
      <c r="Z150" s="32"/>
      <c r="AB150" s="32"/>
      <c r="AC150" s="32"/>
      <c r="AD150" s="32"/>
      <c r="AF150" s="32"/>
      <c r="AH150" s="32"/>
      <c r="AI150" s="32"/>
      <c r="AJ150" s="32"/>
      <c r="AL150" s="32"/>
      <c r="AO150" s="32"/>
    </row>
    <row r="151" spans="2:41">
      <c r="B151" s="32"/>
      <c r="C151" s="32"/>
      <c r="D151" s="32"/>
      <c r="E151" s="32"/>
      <c r="H151" s="38"/>
      <c r="I151" s="32"/>
      <c r="J151" s="32"/>
      <c r="L151" s="32"/>
      <c r="O151" s="32"/>
      <c r="P151" s="32"/>
      <c r="Q151" s="32"/>
      <c r="S151" s="32"/>
      <c r="V151" s="32"/>
      <c r="W151" s="32"/>
      <c r="X151" s="32"/>
      <c r="Z151" s="32"/>
      <c r="AB151" s="32"/>
      <c r="AC151" s="32"/>
      <c r="AD151" s="32"/>
      <c r="AF151" s="32"/>
      <c r="AH151" s="32"/>
      <c r="AI151" s="32"/>
      <c r="AJ151" s="32"/>
      <c r="AL151" s="32"/>
      <c r="AO151" s="32"/>
    </row>
    <row r="152" spans="2:41">
      <c r="B152" s="32"/>
      <c r="C152" s="32"/>
      <c r="D152" s="32"/>
      <c r="E152" s="32"/>
      <c r="H152" s="38"/>
      <c r="I152" s="32"/>
      <c r="J152" s="32"/>
      <c r="L152" s="32"/>
      <c r="O152" s="32"/>
      <c r="P152" s="32"/>
      <c r="Q152" s="32"/>
      <c r="S152" s="32"/>
      <c r="V152" s="32"/>
      <c r="W152" s="32"/>
      <c r="X152" s="32"/>
      <c r="Z152" s="32"/>
      <c r="AB152" s="32"/>
      <c r="AC152" s="32"/>
      <c r="AD152" s="32"/>
      <c r="AF152" s="32"/>
      <c r="AH152" s="32"/>
      <c r="AI152" s="32"/>
      <c r="AJ152" s="32"/>
      <c r="AL152" s="32"/>
      <c r="AO152" s="32"/>
    </row>
    <row r="153" spans="2:41">
      <c r="B153" s="32"/>
      <c r="C153" s="32"/>
      <c r="D153" s="32"/>
      <c r="E153" s="32"/>
      <c r="H153" s="38"/>
      <c r="I153" s="32"/>
      <c r="J153" s="32"/>
      <c r="L153" s="32"/>
      <c r="O153" s="32"/>
      <c r="P153" s="32"/>
      <c r="Q153" s="32"/>
      <c r="S153" s="32"/>
      <c r="V153" s="32"/>
      <c r="W153" s="32"/>
      <c r="X153" s="32"/>
      <c r="Z153" s="32"/>
      <c r="AB153" s="32"/>
      <c r="AC153" s="32"/>
      <c r="AD153" s="32"/>
      <c r="AF153" s="32"/>
      <c r="AH153" s="32"/>
      <c r="AI153" s="32"/>
      <c r="AJ153" s="32"/>
      <c r="AL153" s="32"/>
      <c r="AO153" s="32"/>
    </row>
    <row r="154" spans="2:41">
      <c r="B154" s="32"/>
      <c r="C154" s="32"/>
      <c r="D154" s="32"/>
      <c r="E154" s="32"/>
      <c r="H154" s="38"/>
      <c r="I154" s="32"/>
      <c r="J154" s="32"/>
      <c r="L154" s="32"/>
      <c r="O154" s="32"/>
      <c r="P154" s="32"/>
      <c r="Q154" s="32"/>
      <c r="S154" s="32"/>
      <c r="V154" s="32"/>
      <c r="W154" s="32"/>
      <c r="X154" s="32"/>
      <c r="Z154" s="32"/>
      <c r="AB154" s="32"/>
      <c r="AC154" s="32"/>
      <c r="AD154" s="32"/>
      <c r="AF154" s="32"/>
      <c r="AH154" s="32"/>
      <c r="AI154" s="32"/>
      <c r="AJ154" s="32"/>
      <c r="AL154" s="32"/>
      <c r="AO154" s="32"/>
    </row>
    <row r="155" spans="2:41">
      <c r="B155" s="32"/>
      <c r="C155" s="32"/>
      <c r="D155" s="32"/>
      <c r="E155" s="32"/>
      <c r="H155" s="38"/>
      <c r="I155" s="32"/>
      <c r="J155" s="32"/>
      <c r="L155" s="32"/>
      <c r="O155" s="32"/>
      <c r="P155" s="32"/>
      <c r="Q155" s="32"/>
      <c r="S155" s="32"/>
      <c r="V155" s="32"/>
      <c r="W155" s="32"/>
      <c r="X155" s="32"/>
      <c r="Z155" s="32"/>
      <c r="AB155" s="32"/>
      <c r="AC155" s="32"/>
      <c r="AD155" s="32"/>
      <c r="AF155" s="32"/>
      <c r="AH155" s="32"/>
      <c r="AI155" s="32"/>
      <c r="AJ155" s="32"/>
      <c r="AL155" s="32"/>
      <c r="AO155" s="32"/>
    </row>
    <row r="156" spans="2:41">
      <c r="B156" s="32"/>
      <c r="C156" s="32"/>
      <c r="D156" s="32"/>
      <c r="E156" s="32"/>
      <c r="H156" s="38"/>
      <c r="I156" s="32"/>
      <c r="J156" s="32"/>
      <c r="L156" s="32"/>
      <c r="O156" s="32"/>
      <c r="P156" s="32"/>
      <c r="Q156" s="32"/>
      <c r="S156" s="32"/>
      <c r="V156" s="32"/>
      <c r="W156" s="32"/>
      <c r="X156" s="32"/>
      <c r="Z156" s="32"/>
      <c r="AB156" s="32"/>
      <c r="AC156" s="32"/>
      <c r="AD156" s="32"/>
      <c r="AF156" s="32"/>
      <c r="AH156" s="32"/>
      <c r="AI156" s="32"/>
      <c r="AJ156" s="32"/>
      <c r="AL156" s="32"/>
      <c r="AO156" s="32"/>
    </row>
    <row r="157" spans="2:41">
      <c r="B157" s="32"/>
      <c r="C157" s="32"/>
      <c r="D157" s="32"/>
      <c r="E157" s="32"/>
      <c r="H157" s="38"/>
      <c r="I157" s="32"/>
      <c r="J157" s="32"/>
      <c r="L157" s="32"/>
      <c r="O157" s="32"/>
      <c r="P157" s="32"/>
      <c r="Q157" s="32"/>
      <c r="S157" s="32"/>
      <c r="V157" s="32"/>
      <c r="W157" s="32"/>
      <c r="X157" s="32"/>
      <c r="Z157" s="32"/>
      <c r="AB157" s="32"/>
      <c r="AC157" s="32"/>
      <c r="AD157" s="32"/>
      <c r="AF157" s="32"/>
      <c r="AH157" s="32"/>
      <c r="AI157" s="32"/>
      <c r="AJ157" s="32"/>
      <c r="AL157" s="32"/>
      <c r="AO157" s="32"/>
    </row>
    <row r="158" spans="2:41">
      <c r="B158" s="32"/>
      <c r="C158" s="32"/>
      <c r="D158" s="32"/>
      <c r="E158" s="32"/>
      <c r="H158" s="38"/>
      <c r="I158" s="32"/>
      <c r="J158" s="32"/>
      <c r="L158" s="32"/>
      <c r="O158" s="32"/>
      <c r="P158" s="32"/>
      <c r="Q158" s="32"/>
      <c r="S158" s="32"/>
      <c r="V158" s="32"/>
      <c r="W158" s="32"/>
      <c r="X158" s="32"/>
      <c r="Z158" s="32"/>
      <c r="AB158" s="32"/>
      <c r="AC158" s="32"/>
      <c r="AD158" s="32"/>
      <c r="AF158" s="32"/>
      <c r="AH158" s="32"/>
      <c r="AI158" s="32"/>
      <c r="AJ158" s="32"/>
      <c r="AL158" s="32"/>
      <c r="AO158" s="32"/>
    </row>
    <row r="159" spans="2:41">
      <c r="B159" s="32"/>
      <c r="C159" s="32"/>
      <c r="D159" s="32"/>
      <c r="E159" s="32"/>
      <c r="H159" s="38"/>
      <c r="I159" s="32"/>
      <c r="J159" s="32"/>
      <c r="L159" s="32"/>
      <c r="O159" s="32"/>
      <c r="P159" s="32"/>
      <c r="Q159" s="32"/>
      <c r="S159" s="32"/>
      <c r="V159" s="32"/>
      <c r="W159" s="32"/>
      <c r="X159" s="32"/>
      <c r="Z159" s="32"/>
      <c r="AB159" s="32"/>
      <c r="AC159" s="32"/>
      <c r="AD159" s="32"/>
      <c r="AF159" s="32"/>
      <c r="AH159" s="32"/>
      <c r="AI159" s="32"/>
      <c r="AJ159" s="32"/>
      <c r="AL159" s="32"/>
      <c r="AO159" s="32"/>
    </row>
    <row r="160" spans="2:41">
      <c r="B160" s="32"/>
      <c r="C160" s="32"/>
      <c r="D160" s="32"/>
      <c r="E160" s="32"/>
      <c r="H160" s="38"/>
      <c r="I160" s="32"/>
      <c r="J160" s="32"/>
      <c r="L160" s="32"/>
      <c r="O160" s="32"/>
      <c r="P160" s="32"/>
      <c r="Q160" s="32"/>
      <c r="S160" s="32"/>
      <c r="V160" s="32"/>
      <c r="W160" s="32"/>
      <c r="X160" s="32"/>
      <c r="Z160" s="32"/>
      <c r="AB160" s="32"/>
      <c r="AC160" s="32"/>
      <c r="AD160" s="32"/>
      <c r="AF160" s="32"/>
      <c r="AH160" s="32"/>
      <c r="AI160" s="32"/>
      <c r="AJ160" s="32"/>
      <c r="AL160" s="32"/>
      <c r="AO160" s="32"/>
    </row>
    <row r="161" spans="2:41">
      <c r="B161" s="32"/>
      <c r="C161" s="32"/>
      <c r="D161" s="32"/>
      <c r="E161" s="32"/>
      <c r="H161" s="38"/>
      <c r="I161" s="32"/>
      <c r="J161" s="32"/>
      <c r="L161" s="32"/>
      <c r="O161" s="32"/>
      <c r="P161" s="32"/>
      <c r="Q161" s="32"/>
      <c r="S161" s="32"/>
      <c r="V161" s="32"/>
      <c r="W161" s="32"/>
      <c r="X161" s="32"/>
      <c r="Z161" s="32"/>
      <c r="AB161" s="32"/>
      <c r="AC161" s="32"/>
      <c r="AD161" s="32"/>
      <c r="AF161" s="32"/>
      <c r="AH161" s="32"/>
      <c r="AI161" s="32"/>
      <c r="AJ161" s="32"/>
      <c r="AL161" s="32"/>
      <c r="AO161" s="32"/>
    </row>
    <row r="162" spans="2:41">
      <c r="B162" s="32"/>
      <c r="C162" s="32"/>
      <c r="D162" s="32"/>
      <c r="E162" s="32"/>
      <c r="H162" s="38"/>
      <c r="I162" s="32"/>
      <c r="J162" s="32"/>
      <c r="L162" s="32"/>
      <c r="O162" s="32"/>
      <c r="P162" s="32"/>
      <c r="Q162" s="32"/>
      <c r="S162" s="32"/>
      <c r="V162" s="32"/>
      <c r="W162" s="32"/>
      <c r="X162" s="32"/>
      <c r="Z162" s="32"/>
      <c r="AB162" s="32"/>
      <c r="AC162" s="32"/>
      <c r="AD162" s="32"/>
      <c r="AF162" s="32"/>
      <c r="AH162" s="32"/>
      <c r="AI162" s="32"/>
      <c r="AJ162" s="32"/>
      <c r="AL162" s="32"/>
      <c r="AO162" s="32"/>
    </row>
    <row r="163" spans="2:41">
      <c r="B163" s="32"/>
      <c r="C163" s="32"/>
      <c r="D163" s="32"/>
      <c r="E163" s="32"/>
      <c r="H163" s="38"/>
      <c r="I163" s="32"/>
      <c r="J163" s="32"/>
      <c r="L163" s="32"/>
      <c r="O163" s="32"/>
      <c r="P163" s="32"/>
      <c r="Q163" s="32"/>
      <c r="S163" s="32"/>
      <c r="V163" s="32"/>
      <c r="W163" s="32"/>
      <c r="X163" s="32"/>
      <c r="Z163" s="32"/>
      <c r="AB163" s="32"/>
      <c r="AC163" s="32"/>
      <c r="AD163" s="32"/>
      <c r="AF163" s="32"/>
      <c r="AH163" s="32"/>
      <c r="AI163" s="32"/>
      <c r="AJ163" s="32"/>
      <c r="AL163" s="32"/>
      <c r="AO163" s="32"/>
    </row>
    <row r="164" spans="2:41">
      <c r="B164" s="32"/>
      <c r="C164" s="32"/>
      <c r="D164" s="32"/>
      <c r="E164" s="32"/>
      <c r="H164" s="38"/>
      <c r="I164" s="32"/>
      <c r="J164" s="32"/>
      <c r="L164" s="32"/>
      <c r="O164" s="32"/>
      <c r="P164" s="32"/>
      <c r="Q164" s="32"/>
      <c r="S164" s="32"/>
      <c r="V164" s="32"/>
      <c r="W164" s="32"/>
      <c r="X164" s="32"/>
      <c r="Z164" s="32"/>
      <c r="AB164" s="32"/>
      <c r="AC164" s="32"/>
      <c r="AD164" s="32"/>
      <c r="AF164" s="32"/>
      <c r="AH164" s="32"/>
      <c r="AI164" s="32"/>
      <c r="AJ164" s="32"/>
      <c r="AL164" s="32"/>
      <c r="AO164" s="32"/>
    </row>
    <row r="165" spans="2:41">
      <c r="B165" s="32"/>
      <c r="C165" s="32"/>
      <c r="D165" s="32"/>
      <c r="E165" s="32"/>
      <c r="H165" s="38"/>
      <c r="I165" s="32"/>
      <c r="J165" s="32"/>
      <c r="L165" s="32"/>
      <c r="O165" s="32"/>
      <c r="P165" s="32"/>
      <c r="Q165" s="32"/>
      <c r="S165" s="32"/>
      <c r="V165" s="32"/>
      <c r="W165" s="32"/>
      <c r="X165" s="32"/>
      <c r="Z165" s="32"/>
      <c r="AB165" s="32"/>
      <c r="AC165" s="32"/>
      <c r="AD165" s="32"/>
      <c r="AF165" s="32"/>
      <c r="AH165" s="32"/>
      <c r="AI165" s="32"/>
      <c r="AJ165" s="32"/>
      <c r="AL165" s="32"/>
      <c r="AO165" s="32"/>
    </row>
    <row r="166" spans="2:41">
      <c r="B166" s="32"/>
      <c r="C166" s="32"/>
      <c r="D166" s="32"/>
      <c r="E166" s="32"/>
      <c r="H166" s="38"/>
      <c r="I166" s="32"/>
      <c r="J166" s="32"/>
      <c r="L166" s="32"/>
      <c r="O166" s="32"/>
      <c r="P166" s="32"/>
      <c r="Q166" s="32"/>
      <c r="S166" s="32"/>
      <c r="V166" s="32"/>
      <c r="W166" s="32"/>
      <c r="X166" s="32"/>
      <c r="Z166" s="32"/>
      <c r="AB166" s="32"/>
      <c r="AC166" s="32"/>
      <c r="AD166" s="32"/>
      <c r="AF166" s="32"/>
      <c r="AH166" s="32"/>
      <c r="AI166" s="32"/>
      <c r="AJ166" s="32"/>
      <c r="AL166" s="32"/>
      <c r="AO166" s="32"/>
    </row>
    <row r="167" spans="2:41">
      <c r="B167" s="32"/>
      <c r="C167" s="32"/>
      <c r="D167" s="32"/>
      <c r="E167" s="32"/>
      <c r="H167" s="38"/>
      <c r="I167" s="32"/>
      <c r="J167" s="32"/>
      <c r="L167" s="32"/>
      <c r="O167" s="32"/>
      <c r="P167" s="32"/>
      <c r="Q167" s="32"/>
      <c r="S167" s="32"/>
      <c r="V167" s="32"/>
      <c r="W167" s="32"/>
      <c r="X167" s="32"/>
      <c r="Z167" s="32"/>
      <c r="AB167" s="32"/>
      <c r="AC167" s="32"/>
      <c r="AD167" s="32"/>
      <c r="AF167" s="32"/>
      <c r="AH167" s="32"/>
      <c r="AI167" s="32"/>
      <c r="AJ167" s="32"/>
      <c r="AL167" s="32"/>
      <c r="AO167" s="32"/>
    </row>
  </sheetData>
  <mergeCells count="24">
    <mergeCell ref="AQ65:AS65"/>
    <mergeCell ref="AQ3:AS3"/>
    <mergeCell ref="AT3:AV3"/>
    <mergeCell ref="AW3:AY3"/>
    <mergeCell ref="AZ3:BB3"/>
    <mergeCell ref="AT2:AV2"/>
    <mergeCell ref="A62:C62"/>
    <mergeCell ref="AH3:AJ3"/>
    <mergeCell ref="AK3:AM3"/>
    <mergeCell ref="AN3:AP3"/>
    <mergeCell ref="O3:Q3"/>
    <mergeCell ref="R3:U3"/>
    <mergeCell ref="V3:X3"/>
    <mergeCell ref="Y3:AA3"/>
    <mergeCell ref="AB3:AD3"/>
    <mergeCell ref="AE3:AG3"/>
    <mergeCell ref="A3:A4"/>
    <mergeCell ref="B3:B4"/>
    <mergeCell ref="C3:C4"/>
    <mergeCell ref="D3:G3"/>
    <mergeCell ref="H3:J3"/>
    <mergeCell ref="K3:N3"/>
    <mergeCell ref="BC3:BE3"/>
    <mergeCell ref="BF3:B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tabSelected="1" workbookViewId="0">
      <selection activeCell="E8" sqref="E8"/>
    </sheetView>
  </sheetViews>
  <sheetFormatPr defaultColWidth="9.140625" defaultRowHeight="21" customHeight="1"/>
  <cols>
    <col min="1" max="1" width="7.140625" style="1" customWidth="1"/>
    <col min="2" max="2" width="9.7109375" style="14" customWidth="1"/>
    <col min="3" max="3" width="40.7109375" style="1" customWidth="1"/>
    <col min="4" max="4" width="14.42578125" style="1" customWidth="1"/>
    <col min="5" max="5" width="16.7109375" style="77" customWidth="1"/>
    <col min="6" max="6" width="14.42578125" style="87" customWidth="1"/>
    <col min="7" max="7" width="16.7109375" style="87" customWidth="1"/>
    <col min="8" max="8" width="14.42578125" style="74" customWidth="1"/>
    <col min="9" max="9" width="16.7109375" style="79" customWidth="1"/>
    <col min="10" max="16384" width="9.140625" style="1"/>
  </cols>
  <sheetData>
    <row r="1" spans="1:9" s="2" customFormat="1" ht="36" customHeight="1">
      <c r="A1" s="129" t="s">
        <v>147</v>
      </c>
      <c r="B1" s="129"/>
      <c r="C1" s="129"/>
      <c r="D1" s="129"/>
      <c r="E1" s="129"/>
      <c r="F1" s="129"/>
      <c r="G1" s="129"/>
      <c r="H1" s="129"/>
      <c r="I1" s="129"/>
    </row>
    <row r="2" spans="1:9" ht="27.75" customHeight="1">
      <c r="E2" s="137" t="s">
        <v>146</v>
      </c>
      <c r="F2" s="137"/>
      <c r="G2" s="137"/>
      <c r="H2" s="137"/>
      <c r="I2" s="137"/>
    </row>
    <row r="3" spans="1:9" s="2" customFormat="1" ht="39.75" customHeight="1">
      <c r="A3" s="134" t="s">
        <v>0</v>
      </c>
      <c r="B3" s="135" t="s">
        <v>32</v>
      </c>
      <c r="C3" s="136" t="s">
        <v>3</v>
      </c>
      <c r="D3" s="133" t="s">
        <v>90</v>
      </c>
      <c r="E3" s="133"/>
      <c r="F3" s="138" t="s">
        <v>145</v>
      </c>
      <c r="G3" s="139"/>
      <c r="H3" s="131" t="s">
        <v>124</v>
      </c>
      <c r="I3" s="132"/>
    </row>
    <row r="4" spans="1:9" s="2" customFormat="1" ht="24" customHeight="1">
      <c r="A4" s="134"/>
      <c r="B4" s="135"/>
      <c r="C4" s="136"/>
      <c r="D4" s="85" t="s">
        <v>4</v>
      </c>
      <c r="E4" s="75" t="s">
        <v>5</v>
      </c>
      <c r="F4" s="88" t="s">
        <v>4</v>
      </c>
      <c r="G4" s="88" t="s">
        <v>5</v>
      </c>
      <c r="H4" s="85" t="s">
        <v>4</v>
      </c>
      <c r="I4" s="75" t="s">
        <v>5</v>
      </c>
    </row>
    <row r="5" spans="1:9" s="2" customFormat="1" ht="26.25" customHeight="1">
      <c r="A5" s="84">
        <v>1</v>
      </c>
      <c r="B5" s="15" t="s">
        <v>33</v>
      </c>
      <c r="C5" s="16" t="s">
        <v>25</v>
      </c>
      <c r="D5" s="4">
        <v>220</v>
      </c>
      <c r="E5" s="76">
        <v>7958000</v>
      </c>
      <c r="F5" s="89">
        <v>410</v>
      </c>
      <c r="G5" s="90">
        <v>19461000</v>
      </c>
      <c r="H5" s="4">
        <v>150</v>
      </c>
      <c r="I5" s="76">
        <v>7875000</v>
      </c>
    </row>
    <row r="6" spans="1:9" s="6" customFormat="1" ht="26.25" customHeight="1">
      <c r="A6" s="84">
        <v>2</v>
      </c>
      <c r="B6" s="15" t="s">
        <v>63</v>
      </c>
      <c r="C6" s="16" t="s">
        <v>20</v>
      </c>
      <c r="D6" s="4">
        <v>2885</v>
      </c>
      <c r="E6" s="76">
        <v>110094980</v>
      </c>
      <c r="F6" s="89">
        <v>1942</v>
      </c>
      <c r="G6" s="90">
        <v>94950000</v>
      </c>
      <c r="H6" s="4">
        <v>2983</v>
      </c>
      <c r="I6" s="76">
        <v>158099000</v>
      </c>
    </row>
    <row r="7" spans="1:9" s="6" customFormat="1" ht="26.25" customHeight="1">
      <c r="A7" s="84">
        <v>3</v>
      </c>
      <c r="B7" s="15" t="s">
        <v>34</v>
      </c>
      <c r="C7" s="16" t="s">
        <v>91</v>
      </c>
      <c r="D7" s="4">
        <v>1745</v>
      </c>
      <c r="E7" s="76">
        <v>75502250</v>
      </c>
      <c r="F7" s="89">
        <v>645</v>
      </c>
      <c r="G7" s="90">
        <v>39832500</v>
      </c>
      <c r="H7" s="4">
        <v>1178</v>
      </c>
      <c r="I7" s="76">
        <v>73625000</v>
      </c>
    </row>
    <row r="8" spans="1:9" s="6" customFormat="1" ht="26.25" customHeight="1">
      <c r="A8" s="84">
        <v>4</v>
      </c>
      <c r="B8" s="15" t="s">
        <v>69</v>
      </c>
      <c r="C8" s="16" t="s">
        <v>92</v>
      </c>
      <c r="D8" s="4">
        <v>75</v>
      </c>
      <c r="E8" s="76">
        <v>4680000</v>
      </c>
      <c r="F8" s="89">
        <v>0</v>
      </c>
      <c r="G8" s="90">
        <v>0</v>
      </c>
      <c r="H8" s="4">
        <v>90</v>
      </c>
      <c r="I8" s="76">
        <v>8145000</v>
      </c>
    </row>
    <row r="9" spans="1:9" s="6" customFormat="1" ht="26.25" customHeight="1">
      <c r="A9" s="84">
        <v>5</v>
      </c>
      <c r="B9" s="15" t="s">
        <v>65</v>
      </c>
      <c r="C9" s="16" t="s">
        <v>26</v>
      </c>
      <c r="D9" s="4">
        <v>20</v>
      </c>
      <c r="E9" s="76">
        <v>958000</v>
      </c>
      <c r="F9" s="89">
        <v>309</v>
      </c>
      <c r="G9" s="90">
        <v>16708000</v>
      </c>
      <c r="H9" s="4">
        <v>171</v>
      </c>
      <c r="I9" s="76">
        <v>10944000</v>
      </c>
    </row>
    <row r="10" spans="1:9" s="6" customFormat="1" ht="26.25" customHeight="1">
      <c r="A10" s="84">
        <v>6</v>
      </c>
      <c r="B10" s="15" t="s">
        <v>35</v>
      </c>
      <c r="C10" s="16" t="s">
        <v>12</v>
      </c>
      <c r="D10" s="4">
        <v>610</v>
      </c>
      <c r="E10" s="76">
        <v>28327200</v>
      </c>
      <c r="F10" s="89">
        <v>399</v>
      </c>
      <c r="G10" s="90">
        <v>23345500</v>
      </c>
      <c r="H10" s="4">
        <v>511</v>
      </c>
      <c r="I10" s="76">
        <v>32959500</v>
      </c>
    </row>
    <row r="11" spans="1:9" s="6" customFormat="1" ht="26.25" customHeight="1">
      <c r="A11" s="84">
        <v>7</v>
      </c>
      <c r="B11" s="15" t="s">
        <v>36</v>
      </c>
      <c r="C11" s="16" t="s">
        <v>30</v>
      </c>
      <c r="D11" s="4">
        <v>20</v>
      </c>
      <c r="E11" s="76">
        <v>960400</v>
      </c>
      <c r="F11" s="89">
        <v>126</v>
      </c>
      <c r="G11" s="90">
        <v>7901000</v>
      </c>
      <c r="H11" s="4">
        <v>24</v>
      </c>
      <c r="I11" s="76">
        <v>1644000</v>
      </c>
    </row>
    <row r="12" spans="1:9" s="6" customFormat="1" ht="26.25" customHeight="1">
      <c r="A12" s="84">
        <v>8</v>
      </c>
      <c r="B12" s="15" t="s">
        <v>67</v>
      </c>
      <c r="C12" s="16" t="s">
        <v>23</v>
      </c>
      <c r="D12" s="4">
        <v>150</v>
      </c>
      <c r="E12" s="76">
        <v>8505000</v>
      </c>
      <c r="F12" s="89">
        <v>179</v>
      </c>
      <c r="G12" s="90">
        <v>11397500</v>
      </c>
      <c r="H12" s="4">
        <v>221</v>
      </c>
      <c r="I12" s="76">
        <v>16022500</v>
      </c>
    </row>
    <row r="13" spans="1:9" s="6" customFormat="1" ht="26.25" customHeight="1">
      <c r="A13" s="84">
        <v>9</v>
      </c>
      <c r="B13" s="15" t="s">
        <v>66</v>
      </c>
      <c r="C13" s="13" t="s">
        <v>21</v>
      </c>
      <c r="D13" s="4">
        <v>140</v>
      </c>
      <c r="E13" s="76">
        <v>8400000</v>
      </c>
      <c r="F13" s="89">
        <v>340</v>
      </c>
      <c r="G13" s="90">
        <v>23185000</v>
      </c>
      <c r="H13" s="4">
        <v>360</v>
      </c>
      <c r="I13" s="76">
        <v>27540000</v>
      </c>
    </row>
    <row r="14" spans="1:9" s="6" customFormat="1" ht="26.25" customHeight="1">
      <c r="A14" s="84">
        <v>10</v>
      </c>
      <c r="B14" s="15" t="s">
        <v>68</v>
      </c>
      <c r="C14" s="13" t="s">
        <v>27</v>
      </c>
      <c r="D14" s="4">
        <v>265</v>
      </c>
      <c r="E14" s="76">
        <v>14799750</v>
      </c>
      <c r="F14" s="89">
        <v>200</v>
      </c>
      <c r="G14" s="90">
        <v>13790000</v>
      </c>
      <c r="H14" s="4">
        <v>250</v>
      </c>
      <c r="I14" s="76">
        <v>19750000</v>
      </c>
    </row>
    <row r="15" spans="1:9" s="6" customFormat="1" ht="26.25" customHeight="1">
      <c r="A15" s="84">
        <v>11</v>
      </c>
      <c r="B15" s="15" t="s">
        <v>37</v>
      </c>
      <c r="C15" s="16" t="s">
        <v>6</v>
      </c>
      <c r="D15" s="4">
        <v>1585</v>
      </c>
      <c r="E15" s="76">
        <v>87578280</v>
      </c>
      <c r="F15" s="89">
        <v>577</v>
      </c>
      <c r="G15" s="90">
        <v>44191500</v>
      </c>
      <c r="H15" s="4">
        <v>1000</v>
      </c>
      <c r="I15" s="76">
        <v>79500000</v>
      </c>
    </row>
    <row r="16" spans="1:9" s="6" customFormat="1" ht="26.25" customHeight="1">
      <c r="A16" s="84">
        <v>12</v>
      </c>
      <c r="B16" s="15" t="s">
        <v>70</v>
      </c>
      <c r="C16" s="13" t="s">
        <v>28</v>
      </c>
      <c r="D16" s="4">
        <v>220</v>
      </c>
      <c r="E16" s="76">
        <v>15761000</v>
      </c>
      <c r="F16" s="89">
        <v>81</v>
      </c>
      <c r="G16" s="90">
        <v>7450000</v>
      </c>
      <c r="H16" s="4">
        <v>100</v>
      </c>
      <c r="I16" s="76">
        <v>10000000</v>
      </c>
    </row>
    <row r="17" spans="1:9" s="6" customFormat="1" ht="26.25" customHeight="1">
      <c r="A17" s="84">
        <v>13</v>
      </c>
      <c r="B17" s="15" t="s">
        <v>38</v>
      </c>
      <c r="C17" s="16" t="s">
        <v>13</v>
      </c>
      <c r="D17" s="4">
        <v>1435</v>
      </c>
      <c r="E17" s="76">
        <v>87759500</v>
      </c>
      <c r="F17" s="89">
        <v>743</v>
      </c>
      <c r="G17" s="90">
        <v>58088500</v>
      </c>
      <c r="H17" s="4">
        <v>1072</v>
      </c>
      <c r="I17" s="76">
        <v>90584000</v>
      </c>
    </row>
    <row r="18" spans="1:9" s="6" customFormat="1" ht="26.25" customHeight="1">
      <c r="A18" s="84">
        <v>14</v>
      </c>
      <c r="B18" s="15" t="s">
        <v>39</v>
      </c>
      <c r="C18" s="16" t="s">
        <v>18</v>
      </c>
      <c r="D18" s="4">
        <v>1865</v>
      </c>
      <c r="E18" s="76">
        <v>119917650</v>
      </c>
      <c r="F18" s="89">
        <v>700</v>
      </c>
      <c r="G18" s="90">
        <v>60520000</v>
      </c>
      <c r="H18" s="4">
        <v>1180</v>
      </c>
      <c r="I18" s="76">
        <v>106200000</v>
      </c>
    </row>
    <row r="19" spans="1:9" s="6" customFormat="1" ht="26.25" customHeight="1">
      <c r="A19" s="84">
        <v>15</v>
      </c>
      <c r="B19" s="15" t="s">
        <v>41</v>
      </c>
      <c r="C19" s="16" t="s">
        <v>93</v>
      </c>
      <c r="D19" s="4">
        <v>20</v>
      </c>
      <c r="E19" s="76">
        <v>1283800</v>
      </c>
      <c r="F19" s="89">
        <v>70</v>
      </c>
      <c r="G19" s="90">
        <v>5047000</v>
      </c>
      <c r="H19" s="4">
        <v>38</v>
      </c>
      <c r="I19" s="76">
        <v>3838000</v>
      </c>
    </row>
    <row r="20" spans="1:9" s="6" customFormat="1" ht="26.25" customHeight="1">
      <c r="A20" s="84">
        <v>16</v>
      </c>
      <c r="B20" s="15" t="s">
        <v>42</v>
      </c>
      <c r="C20" s="16" t="s">
        <v>94</v>
      </c>
      <c r="D20" s="4">
        <v>20</v>
      </c>
      <c r="E20" s="76">
        <v>1303400</v>
      </c>
      <c r="F20" s="89">
        <v>60</v>
      </c>
      <c r="G20" s="90">
        <v>5440000</v>
      </c>
      <c r="H20" s="4">
        <v>30</v>
      </c>
      <c r="I20" s="76">
        <v>3060000</v>
      </c>
    </row>
    <row r="21" spans="1:9" s="6" customFormat="1" ht="26.25" customHeight="1">
      <c r="A21" s="84">
        <v>17</v>
      </c>
      <c r="B21" s="15" t="s">
        <v>72</v>
      </c>
      <c r="C21" s="13" t="s">
        <v>19</v>
      </c>
      <c r="D21" s="4">
        <v>310</v>
      </c>
      <c r="E21" s="76">
        <v>30334600</v>
      </c>
      <c r="F21" s="89">
        <v>0</v>
      </c>
      <c r="G21" s="90">
        <v>0</v>
      </c>
      <c r="H21" s="4">
        <v>100</v>
      </c>
      <c r="I21" s="76">
        <v>13400000</v>
      </c>
    </row>
    <row r="22" spans="1:9" s="6" customFormat="1" ht="26.25" customHeight="1">
      <c r="A22" s="84">
        <v>18</v>
      </c>
      <c r="B22" s="15" t="s">
        <v>73</v>
      </c>
      <c r="C22" s="13" t="s">
        <v>14</v>
      </c>
      <c r="D22" s="4">
        <v>135</v>
      </c>
      <c r="E22" s="76">
        <v>13810500</v>
      </c>
      <c r="F22" s="89">
        <v>115</v>
      </c>
      <c r="G22" s="90">
        <v>13449500</v>
      </c>
      <c r="H22" s="4">
        <v>100</v>
      </c>
      <c r="I22" s="76">
        <v>13600000</v>
      </c>
    </row>
    <row r="23" spans="1:9" s="6" customFormat="1" ht="26.25" customHeight="1">
      <c r="A23" s="84">
        <v>19</v>
      </c>
      <c r="B23" s="15" t="s">
        <v>40</v>
      </c>
      <c r="C23" s="16" t="s">
        <v>17</v>
      </c>
      <c r="D23" s="4">
        <v>130</v>
      </c>
      <c r="E23" s="76">
        <v>14622400</v>
      </c>
      <c r="F23" s="89">
        <v>90</v>
      </c>
      <c r="G23" s="90">
        <v>12526000</v>
      </c>
      <c r="H23" s="4">
        <v>100</v>
      </c>
      <c r="I23" s="76">
        <v>15900000</v>
      </c>
    </row>
    <row r="24" spans="1:9" s="6" customFormat="1" ht="26.25" customHeight="1">
      <c r="A24" s="84">
        <v>20</v>
      </c>
      <c r="B24" s="15" t="s">
        <v>43</v>
      </c>
      <c r="C24" s="16" t="s">
        <v>24</v>
      </c>
      <c r="D24" s="4">
        <v>502</v>
      </c>
      <c r="E24" s="76">
        <v>40276080</v>
      </c>
      <c r="F24" s="89">
        <v>580</v>
      </c>
      <c r="G24" s="90">
        <v>61169600</v>
      </c>
      <c r="H24" s="4">
        <v>690</v>
      </c>
      <c r="I24" s="76">
        <v>81420000</v>
      </c>
    </row>
    <row r="25" spans="1:9" s="6" customFormat="1" ht="26.25" customHeight="1">
      <c r="A25" s="84">
        <v>21</v>
      </c>
      <c r="B25" s="15" t="s">
        <v>44</v>
      </c>
      <c r="C25" s="16" t="s">
        <v>11</v>
      </c>
      <c r="D25" s="4">
        <v>1676</v>
      </c>
      <c r="E25" s="76">
        <v>135001520</v>
      </c>
      <c r="F25" s="89">
        <v>847</v>
      </c>
      <c r="G25" s="90">
        <v>94305000</v>
      </c>
      <c r="H25" s="4">
        <v>993</v>
      </c>
      <c r="I25" s="76">
        <v>118167000</v>
      </c>
    </row>
    <row r="26" spans="1:9" s="6" customFormat="1" ht="26.25" customHeight="1">
      <c r="A26" s="84">
        <v>22</v>
      </c>
      <c r="B26" s="15" t="s">
        <v>45</v>
      </c>
      <c r="C26" s="16" t="s">
        <v>95</v>
      </c>
      <c r="D26" s="4">
        <v>427</v>
      </c>
      <c r="E26" s="76">
        <v>37918750</v>
      </c>
      <c r="F26" s="89">
        <v>378</v>
      </c>
      <c r="G26" s="90">
        <v>44643400</v>
      </c>
      <c r="H26" s="4">
        <v>250</v>
      </c>
      <c r="I26" s="76">
        <v>32000000</v>
      </c>
    </row>
    <row r="27" spans="1:9" s="6" customFormat="1" ht="26.25" customHeight="1">
      <c r="A27" s="84">
        <v>23</v>
      </c>
      <c r="B27" s="15" t="s">
        <v>82</v>
      </c>
      <c r="C27" s="16" t="s">
        <v>96</v>
      </c>
      <c r="D27" s="4">
        <v>0</v>
      </c>
      <c r="E27" s="76">
        <v>0</v>
      </c>
      <c r="F27" s="89">
        <v>0</v>
      </c>
      <c r="G27" s="90">
        <v>0</v>
      </c>
      <c r="H27" s="4">
        <v>0</v>
      </c>
      <c r="I27" s="76">
        <v>0</v>
      </c>
    </row>
    <row r="28" spans="1:9" s="6" customFormat="1" ht="26.25" customHeight="1">
      <c r="A28" s="84">
        <v>24</v>
      </c>
      <c r="B28" s="15" t="s">
        <v>83</v>
      </c>
      <c r="C28" s="16" t="s">
        <v>22</v>
      </c>
      <c r="D28" s="4">
        <v>0</v>
      </c>
      <c r="E28" s="76">
        <v>0</v>
      </c>
      <c r="F28" s="89">
        <v>0</v>
      </c>
      <c r="G28" s="90">
        <v>0</v>
      </c>
      <c r="H28" s="4">
        <v>0</v>
      </c>
      <c r="I28" s="76">
        <v>0</v>
      </c>
    </row>
    <row r="29" spans="1:9" s="6" customFormat="1" ht="26.25" customHeight="1">
      <c r="A29" s="84">
        <v>25</v>
      </c>
      <c r="B29" s="15" t="s">
        <v>46</v>
      </c>
      <c r="C29" s="16" t="s">
        <v>8</v>
      </c>
      <c r="D29" s="4">
        <v>668</v>
      </c>
      <c r="E29" s="76">
        <v>65472240</v>
      </c>
      <c r="F29" s="89">
        <v>698</v>
      </c>
      <c r="G29" s="90">
        <v>85461000</v>
      </c>
      <c r="H29" s="4">
        <v>762</v>
      </c>
      <c r="I29" s="76">
        <v>102489000</v>
      </c>
    </row>
    <row r="30" spans="1:9" s="6" customFormat="1" ht="26.25" customHeight="1">
      <c r="A30" s="84">
        <v>26</v>
      </c>
      <c r="B30" s="15" t="s">
        <v>47</v>
      </c>
      <c r="C30" s="16" t="s">
        <v>9</v>
      </c>
      <c r="D30" s="4">
        <v>2577</v>
      </c>
      <c r="E30" s="76">
        <v>256473820</v>
      </c>
      <c r="F30" s="89">
        <v>1369</v>
      </c>
      <c r="G30" s="90">
        <v>180927700</v>
      </c>
      <c r="H30" s="4">
        <v>1907</v>
      </c>
      <c r="I30" s="76">
        <v>265073000</v>
      </c>
    </row>
    <row r="31" spans="1:9" s="6" customFormat="1" ht="26.25" customHeight="1">
      <c r="A31" s="84">
        <v>27</v>
      </c>
      <c r="B31" s="15" t="s">
        <v>48</v>
      </c>
      <c r="C31" s="16" t="s">
        <v>10</v>
      </c>
      <c r="D31" s="4">
        <v>464</v>
      </c>
      <c r="E31" s="76">
        <v>54880640</v>
      </c>
      <c r="F31" s="89">
        <v>478</v>
      </c>
      <c r="G31" s="90">
        <v>70754000</v>
      </c>
      <c r="H31" s="4">
        <v>632</v>
      </c>
      <c r="I31" s="76">
        <v>106176000</v>
      </c>
    </row>
    <row r="32" spans="1:9" s="6" customFormat="1" ht="26.25" customHeight="1">
      <c r="A32" s="84">
        <v>28</v>
      </c>
      <c r="B32" s="15" t="s">
        <v>49</v>
      </c>
      <c r="C32" s="16" t="s">
        <v>97</v>
      </c>
      <c r="D32" s="4">
        <v>1458</v>
      </c>
      <c r="E32" s="76">
        <v>182077680</v>
      </c>
      <c r="F32" s="89">
        <v>625</v>
      </c>
      <c r="G32" s="90">
        <v>101749000</v>
      </c>
      <c r="H32" s="4">
        <v>1070</v>
      </c>
      <c r="I32" s="76">
        <v>182970000</v>
      </c>
    </row>
    <row r="33" spans="1:9" s="6" customFormat="1" ht="26.25" customHeight="1">
      <c r="A33" s="84">
        <v>29</v>
      </c>
      <c r="B33" s="15" t="s">
        <v>50</v>
      </c>
      <c r="C33" s="16" t="s">
        <v>98</v>
      </c>
      <c r="D33" s="4">
        <v>282</v>
      </c>
      <c r="E33" s="76">
        <v>37817000</v>
      </c>
      <c r="F33" s="89">
        <v>88</v>
      </c>
      <c r="G33" s="90">
        <v>14959000</v>
      </c>
      <c r="H33" s="4">
        <v>175</v>
      </c>
      <c r="I33" s="76">
        <v>33337500</v>
      </c>
    </row>
    <row r="34" spans="1:9" s="6" customFormat="1" ht="26.25" customHeight="1">
      <c r="A34" s="84">
        <v>30</v>
      </c>
      <c r="B34" s="15" t="s">
        <v>76</v>
      </c>
      <c r="C34" s="16" t="s">
        <v>99</v>
      </c>
      <c r="D34" s="4">
        <v>428</v>
      </c>
      <c r="E34" s="76">
        <v>63738780</v>
      </c>
      <c r="F34" s="89">
        <v>205</v>
      </c>
      <c r="G34" s="90">
        <v>40820000</v>
      </c>
      <c r="H34" s="4">
        <v>400</v>
      </c>
      <c r="I34" s="76">
        <v>82400000</v>
      </c>
    </row>
    <row r="35" spans="1:9" s="6" customFormat="1" ht="26.25" customHeight="1">
      <c r="A35" s="84">
        <v>31</v>
      </c>
      <c r="B35" s="15" t="s">
        <v>51</v>
      </c>
      <c r="C35" s="16" t="s">
        <v>100</v>
      </c>
      <c r="D35" s="4">
        <v>453</v>
      </c>
      <c r="E35" s="76">
        <v>66684830</v>
      </c>
      <c r="F35" s="89">
        <v>100</v>
      </c>
      <c r="G35" s="90">
        <v>20600000</v>
      </c>
      <c r="H35" s="4">
        <v>200</v>
      </c>
      <c r="I35" s="76">
        <v>41200000</v>
      </c>
    </row>
    <row r="36" spans="1:9" s="6" customFormat="1" ht="26.25" customHeight="1">
      <c r="A36" s="84">
        <v>32</v>
      </c>
      <c r="B36" s="15" t="s">
        <v>52</v>
      </c>
      <c r="C36" s="16" t="s">
        <v>101</v>
      </c>
      <c r="D36" s="4">
        <v>2042</v>
      </c>
      <c r="E36" s="76">
        <v>321829380</v>
      </c>
      <c r="F36" s="89">
        <v>845</v>
      </c>
      <c r="G36" s="90">
        <v>173332500</v>
      </c>
      <c r="H36" s="4">
        <v>1565</v>
      </c>
      <c r="I36" s="76">
        <v>334127500</v>
      </c>
    </row>
    <row r="37" spans="1:9" s="6" customFormat="1" ht="26.25" customHeight="1">
      <c r="A37" s="69">
        <v>33</v>
      </c>
      <c r="B37" s="70" t="s">
        <v>77</v>
      </c>
      <c r="C37" s="71" t="s">
        <v>102</v>
      </c>
      <c r="D37" s="4">
        <v>175</v>
      </c>
      <c r="E37" s="76">
        <v>29744000</v>
      </c>
      <c r="F37" s="89">
        <v>86</v>
      </c>
      <c r="G37" s="90">
        <v>17113500</v>
      </c>
      <c r="H37" s="4">
        <v>200</v>
      </c>
      <c r="I37" s="76">
        <v>43780000</v>
      </c>
    </row>
    <row r="38" spans="1:9" s="6" customFormat="1" ht="26.25" customHeight="1">
      <c r="A38" s="84">
        <v>34</v>
      </c>
      <c r="B38" s="15" t="s">
        <v>71</v>
      </c>
      <c r="C38" s="13" t="s">
        <v>103</v>
      </c>
      <c r="D38" s="4">
        <v>65</v>
      </c>
      <c r="E38" s="76">
        <v>5973500</v>
      </c>
      <c r="F38" s="89">
        <v>60</v>
      </c>
      <c r="G38" s="90">
        <v>5514000</v>
      </c>
      <c r="H38" s="4">
        <v>30</v>
      </c>
      <c r="I38" s="76">
        <v>3855000</v>
      </c>
    </row>
    <row r="39" spans="1:9" s="6" customFormat="1" ht="26.25" customHeight="1">
      <c r="A39" s="84">
        <v>35</v>
      </c>
      <c r="B39" s="15" t="s">
        <v>78</v>
      </c>
      <c r="C39" s="16" t="s">
        <v>29</v>
      </c>
      <c r="D39" s="4">
        <v>35</v>
      </c>
      <c r="E39" s="76">
        <v>6692000</v>
      </c>
      <c r="F39" s="89">
        <v>135</v>
      </c>
      <c r="G39" s="90">
        <v>29718000</v>
      </c>
      <c r="H39" s="4">
        <v>150</v>
      </c>
      <c r="I39" s="76">
        <v>37050000</v>
      </c>
    </row>
    <row r="40" spans="1:9" s="6" customFormat="1" ht="26.25" customHeight="1">
      <c r="A40" s="84">
        <v>36</v>
      </c>
      <c r="B40" s="15" t="s">
        <v>53</v>
      </c>
      <c r="C40" s="16" t="s">
        <v>104</v>
      </c>
      <c r="D40" s="4">
        <v>619</v>
      </c>
      <c r="E40" s="76">
        <v>117565560</v>
      </c>
      <c r="F40" s="89">
        <v>315</v>
      </c>
      <c r="G40" s="90">
        <v>73935500</v>
      </c>
      <c r="H40" s="4">
        <v>650</v>
      </c>
      <c r="I40" s="76">
        <v>166400000</v>
      </c>
    </row>
    <row r="41" spans="1:9" s="6" customFormat="1" ht="26.25" customHeight="1">
      <c r="A41" s="84">
        <v>37</v>
      </c>
      <c r="B41" s="15" t="s">
        <v>79</v>
      </c>
      <c r="C41" s="16" t="s">
        <v>105</v>
      </c>
      <c r="D41" s="4">
        <v>30</v>
      </c>
      <c r="E41" s="76">
        <v>5964000</v>
      </c>
      <c r="F41" s="89">
        <v>70</v>
      </c>
      <c r="G41" s="90">
        <v>13916000</v>
      </c>
      <c r="H41" s="4">
        <v>0</v>
      </c>
      <c r="I41" s="76">
        <v>0</v>
      </c>
    </row>
    <row r="42" spans="1:9" s="6" customFormat="1" ht="26.25" customHeight="1">
      <c r="A42" s="84">
        <v>38</v>
      </c>
      <c r="B42" s="15" t="s">
        <v>81</v>
      </c>
      <c r="C42" s="16" t="s">
        <v>31</v>
      </c>
      <c r="D42" s="4">
        <v>20</v>
      </c>
      <c r="E42" s="76">
        <v>3812200</v>
      </c>
      <c r="F42" s="89">
        <v>100</v>
      </c>
      <c r="G42" s="90">
        <v>24455000</v>
      </c>
      <c r="H42" s="4">
        <v>50</v>
      </c>
      <c r="I42" s="76">
        <v>13950000</v>
      </c>
    </row>
    <row r="43" spans="1:9" s="6" customFormat="1" ht="26.25" customHeight="1">
      <c r="A43" s="84">
        <v>39</v>
      </c>
      <c r="B43" s="15" t="s">
        <v>80</v>
      </c>
      <c r="C43" s="13" t="s">
        <v>106</v>
      </c>
      <c r="D43" s="4">
        <v>27</v>
      </c>
      <c r="E43" s="76">
        <v>4921560</v>
      </c>
      <c r="F43" s="89">
        <v>33</v>
      </c>
      <c r="G43" s="90">
        <v>8563500</v>
      </c>
      <c r="H43" s="4">
        <v>0</v>
      </c>
      <c r="I43" s="76">
        <v>0</v>
      </c>
    </row>
    <row r="44" spans="1:9" s="6" customFormat="1" ht="26.25" customHeight="1">
      <c r="A44" s="84">
        <v>40</v>
      </c>
      <c r="B44" s="15" t="s">
        <v>54</v>
      </c>
      <c r="C44" s="16" t="s">
        <v>107</v>
      </c>
      <c r="D44" s="4">
        <v>315</v>
      </c>
      <c r="E44" s="76">
        <v>63323100</v>
      </c>
      <c r="F44" s="89">
        <v>235</v>
      </c>
      <c r="G44" s="90">
        <v>60464500</v>
      </c>
      <c r="H44" s="4">
        <v>250</v>
      </c>
      <c r="I44" s="76">
        <v>68625000</v>
      </c>
    </row>
    <row r="45" spans="1:9" s="6" customFormat="1" ht="26.25" customHeight="1">
      <c r="A45" s="84">
        <v>41</v>
      </c>
      <c r="B45" s="15" t="s">
        <v>84</v>
      </c>
      <c r="C45" s="16" t="s">
        <v>108</v>
      </c>
      <c r="D45" s="4">
        <v>0</v>
      </c>
      <c r="E45" s="76">
        <v>0</v>
      </c>
      <c r="F45" s="89">
        <v>91</v>
      </c>
      <c r="G45" s="90">
        <v>25662000</v>
      </c>
      <c r="H45" s="4">
        <v>100</v>
      </c>
      <c r="I45" s="76">
        <v>28200000</v>
      </c>
    </row>
    <row r="46" spans="1:9" s="6" customFormat="1" ht="26.25" customHeight="1">
      <c r="A46" s="84">
        <v>42</v>
      </c>
      <c r="B46" s="15" t="s">
        <v>74</v>
      </c>
      <c r="C46" s="16" t="s">
        <v>109</v>
      </c>
      <c r="D46" s="4">
        <v>355</v>
      </c>
      <c r="E46" s="76">
        <v>29938100</v>
      </c>
      <c r="F46" s="89">
        <v>15</v>
      </c>
      <c r="G46" s="90">
        <v>1369500</v>
      </c>
      <c r="H46" s="4">
        <v>50</v>
      </c>
      <c r="I46" s="76">
        <v>6100000</v>
      </c>
    </row>
    <row r="47" spans="1:9" s="6" customFormat="1" ht="26.25" customHeight="1">
      <c r="A47" s="84">
        <v>43</v>
      </c>
      <c r="B47" s="15" t="s">
        <v>55</v>
      </c>
      <c r="C47" s="16" t="s">
        <v>110</v>
      </c>
      <c r="D47" s="4">
        <v>165</v>
      </c>
      <c r="E47" s="76">
        <v>43533500</v>
      </c>
      <c r="F47" s="89">
        <v>59</v>
      </c>
      <c r="G47" s="90">
        <v>21446500</v>
      </c>
      <c r="H47" s="4">
        <v>140</v>
      </c>
      <c r="I47" s="76">
        <v>50890000</v>
      </c>
    </row>
    <row r="48" spans="1:9" s="6" customFormat="1" ht="26.25" customHeight="1">
      <c r="A48" s="84">
        <v>44</v>
      </c>
      <c r="B48" s="15" t="s">
        <v>85</v>
      </c>
      <c r="C48" s="16" t="s">
        <v>111</v>
      </c>
      <c r="D48" s="4">
        <v>95</v>
      </c>
      <c r="E48" s="76">
        <v>23416220</v>
      </c>
      <c r="F48" s="89">
        <v>105</v>
      </c>
      <c r="G48" s="90">
        <v>31094000</v>
      </c>
      <c r="H48" s="4">
        <v>140</v>
      </c>
      <c r="I48" s="76">
        <v>47670000</v>
      </c>
    </row>
    <row r="49" spans="1:9" s="6" customFormat="1" ht="26.25" customHeight="1">
      <c r="A49" s="84">
        <v>45</v>
      </c>
      <c r="B49" s="15" t="s">
        <v>56</v>
      </c>
      <c r="C49" s="16" t="s">
        <v>112</v>
      </c>
      <c r="D49" s="4">
        <v>16</v>
      </c>
      <c r="E49" s="76">
        <v>2679070</v>
      </c>
      <c r="F49" s="89">
        <v>36</v>
      </c>
      <c r="G49" s="90">
        <v>7348000</v>
      </c>
      <c r="H49" s="4">
        <v>70</v>
      </c>
      <c r="I49" s="76">
        <v>15540000</v>
      </c>
    </row>
    <row r="50" spans="1:9" s="6" customFormat="1" ht="26.25" customHeight="1">
      <c r="A50" s="84">
        <v>46</v>
      </c>
      <c r="B50" s="15" t="s">
        <v>57</v>
      </c>
      <c r="C50" s="16" t="s">
        <v>113</v>
      </c>
      <c r="D50" s="4">
        <v>450</v>
      </c>
      <c r="E50" s="76">
        <v>6258000</v>
      </c>
      <c r="F50" s="89">
        <v>310</v>
      </c>
      <c r="G50" s="90">
        <v>5500000</v>
      </c>
      <c r="H50" s="4">
        <v>500</v>
      </c>
      <c r="I50" s="76">
        <v>10000000</v>
      </c>
    </row>
    <row r="51" spans="1:9" s="6" customFormat="1" ht="26.25" customHeight="1">
      <c r="A51" s="84">
        <v>47</v>
      </c>
      <c r="B51" s="15" t="s">
        <v>58</v>
      </c>
      <c r="C51" s="16" t="s">
        <v>114</v>
      </c>
      <c r="D51" s="4">
        <v>0</v>
      </c>
      <c r="E51" s="76">
        <v>0</v>
      </c>
      <c r="F51" s="89">
        <v>0</v>
      </c>
      <c r="G51" s="90">
        <v>0</v>
      </c>
      <c r="H51" s="4">
        <v>10</v>
      </c>
      <c r="I51" s="76">
        <v>3125000</v>
      </c>
    </row>
    <row r="52" spans="1:9" s="6" customFormat="1" ht="26.25" customHeight="1">
      <c r="A52" s="84">
        <v>48</v>
      </c>
      <c r="B52" s="15" t="s">
        <v>86</v>
      </c>
      <c r="C52" s="16" t="s">
        <v>115</v>
      </c>
      <c r="D52" s="4">
        <v>36</v>
      </c>
      <c r="E52" s="76">
        <v>8869980</v>
      </c>
      <c r="F52" s="89">
        <v>24</v>
      </c>
      <c r="G52" s="90">
        <v>8063000</v>
      </c>
      <c r="H52" s="4">
        <v>40</v>
      </c>
      <c r="I52" s="76">
        <v>13560000</v>
      </c>
    </row>
    <row r="53" spans="1:9" s="6" customFormat="1" ht="26.25" customHeight="1">
      <c r="A53" s="84">
        <v>49</v>
      </c>
      <c r="B53" s="15" t="s">
        <v>59</v>
      </c>
      <c r="C53" s="16" t="s">
        <v>116</v>
      </c>
      <c r="D53" s="4">
        <v>57</v>
      </c>
      <c r="E53" s="76">
        <v>13081500</v>
      </c>
      <c r="F53" s="89">
        <v>0</v>
      </c>
      <c r="G53" s="90">
        <v>0</v>
      </c>
      <c r="H53" s="4">
        <v>0</v>
      </c>
      <c r="I53" s="76">
        <v>0</v>
      </c>
    </row>
    <row r="54" spans="1:9" s="6" customFormat="1" ht="26.25" customHeight="1">
      <c r="A54" s="84">
        <v>50</v>
      </c>
      <c r="B54" s="15" t="s">
        <v>60</v>
      </c>
      <c r="C54" s="16" t="s">
        <v>117</v>
      </c>
      <c r="D54" s="4">
        <v>510</v>
      </c>
      <c r="E54" s="76">
        <v>7575000</v>
      </c>
      <c r="F54" s="89">
        <v>640</v>
      </c>
      <c r="G54" s="90">
        <v>12100000</v>
      </c>
      <c r="H54" s="4">
        <v>1000</v>
      </c>
      <c r="I54" s="76">
        <v>20000000</v>
      </c>
    </row>
    <row r="55" spans="1:9" s="6" customFormat="1" ht="26.25" customHeight="1">
      <c r="A55" s="84">
        <v>51</v>
      </c>
      <c r="B55" s="15" t="s">
        <v>61</v>
      </c>
      <c r="C55" s="16" t="s">
        <v>118</v>
      </c>
      <c r="D55" s="4">
        <v>0</v>
      </c>
      <c r="E55" s="76">
        <v>0</v>
      </c>
      <c r="F55" s="89">
        <v>8</v>
      </c>
      <c r="G55" s="90">
        <v>1374000</v>
      </c>
      <c r="H55" s="4">
        <v>14</v>
      </c>
      <c r="I55" s="76">
        <v>2471000</v>
      </c>
    </row>
    <row r="56" spans="1:9" s="6" customFormat="1" ht="26.25" customHeight="1">
      <c r="A56" s="84">
        <v>52</v>
      </c>
      <c r="B56" s="15" t="s">
        <v>87</v>
      </c>
      <c r="C56" s="16" t="s">
        <v>119</v>
      </c>
      <c r="D56" s="4">
        <v>8</v>
      </c>
      <c r="E56" s="76">
        <v>1512000</v>
      </c>
      <c r="F56" s="89">
        <v>10</v>
      </c>
      <c r="G56" s="90">
        <v>2185000</v>
      </c>
      <c r="H56" s="4">
        <v>10</v>
      </c>
      <c r="I56" s="76">
        <v>2450000</v>
      </c>
    </row>
    <row r="57" spans="1:9" s="6" customFormat="1" ht="26.25" customHeight="1">
      <c r="A57" s="84">
        <v>53</v>
      </c>
      <c r="B57" s="15" t="s">
        <v>64</v>
      </c>
      <c r="C57" s="16" t="s">
        <v>120</v>
      </c>
      <c r="D57" s="4">
        <v>0</v>
      </c>
      <c r="E57" s="76">
        <v>0</v>
      </c>
      <c r="F57" s="89">
        <v>0</v>
      </c>
      <c r="G57" s="90">
        <v>0</v>
      </c>
      <c r="H57" s="4">
        <v>0</v>
      </c>
      <c r="I57" s="76">
        <v>0</v>
      </c>
    </row>
    <row r="58" spans="1:9" s="6" customFormat="1" ht="26.25" customHeight="1">
      <c r="A58" s="84">
        <v>54</v>
      </c>
      <c r="B58" s="15" t="s">
        <v>88</v>
      </c>
      <c r="C58" s="16" t="s">
        <v>16</v>
      </c>
      <c r="D58" s="4">
        <v>1310</v>
      </c>
      <c r="E58" s="76">
        <v>53379400</v>
      </c>
      <c r="F58" s="89">
        <v>779</v>
      </c>
      <c r="G58" s="90">
        <v>40587500</v>
      </c>
      <c r="H58" s="4">
        <v>1451</v>
      </c>
      <c r="I58" s="76">
        <v>80530500</v>
      </c>
    </row>
    <row r="59" spans="1:9" s="6" customFormat="1" ht="26.25" customHeight="1">
      <c r="A59" s="84">
        <v>55</v>
      </c>
      <c r="B59" s="15" t="s">
        <v>62</v>
      </c>
      <c r="C59" s="16" t="s">
        <v>121</v>
      </c>
      <c r="D59" s="4">
        <v>6</v>
      </c>
      <c r="E59" s="76">
        <v>630000</v>
      </c>
      <c r="F59" s="89">
        <v>6</v>
      </c>
      <c r="G59" s="90">
        <v>630000</v>
      </c>
      <c r="H59" s="4">
        <v>20</v>
      </c>
      <c r="I59" s="76">
        <v>2790000</v>
      </c>
    </row>
    <row r="60" spans="1:9" s="6" customFormat="1" ht="26.25" customHeight="1">
      <c r="A60" s="84">
        <v>56</v>
      </c>
      <c r="B60" s="15" t="s">
        <v>75</v>
      </c>
      <c r="C60" s="16" t="s">
        <v>122</v>
      </c>
      <c r="D60" s="4"/>
      <c r="E60" s="76"/>
      <c r="F60" s="89">
        <v>0</v>
      </c>
      <c r="G60" s="90">
        <v>0</v>
      </c>
      <c r="H60" s="4">
        <v>10</v>
      </c>
      <c r="I60" s="76">
        <v>2345000</v>
      </c>
    </row>
    <row r="61" spans="1:9" s="6" customFormat="1" ht="26.25" customHeight="1">
      <c r="A61" s="84">
        <v>57</v>
      </c>
      <c r="B61" s="15" t="s">
        <v>89</v>
      </c>
      <c r="C61" s="16" t="s">
        <v>123</v>
      </c>
      <c r="D61" s="4"/>
      <c r="E61" s="76"/>
      <c r="F61" s="89">
        <v>0</v>
      </c>
      <c r="G61" s="90">
        <v>0</v>
      </c>
      <c r="H61" s="4">
        <v>10</v>
      </c>
      <c r="I61" s="76">
        <v>1650000</v>
      </c>
    </row>
    <row r="62" spans="1:9" s="6" customFormat="1" ht="26.25" customHeight="1">
      <c r="A62" s="130" t="s">
        <v>1</v>
      </c>
      <c r="B62" s="130"/>
      <c r="C62" s="130"/>
      <c r="D62" s="4">
        <f>SUM(D5:D59)</f>
        <v>27121</v>
      </c>
      <c r="E62" s="76">
        <f>SUM(E5:E59)</f>
        <v>2323596120</v>
      </c>
      <c r="F62" s="92">
        <f>SUM(F5:F61)</f>
        <v>16316</v>
      </c>
      <c r="G62" s="119">
        <f>SUM(G5:G61)</f>
        <v>1737043700</v>
      </c>
      <c r="H62" s="72">
        <f>SUM(H5:H61)</f>
        <v>23197</v>
      </c>
      <c r="I62" s="78">
        <f>SUM(I5:I61)</f>
        <v>2693027500</v>
      </c>
    </row>
    <row r="63" spans="1:9" ht="26.25" customHeight="1">
      <c r="H63" s="73"/>
    </row>
    <row r="64" spans="1:9" ht="26.25" customHeight="1">
      <c r="H64" s="73"/>
    </row>
    <row r="65" spans="6:8" s="1" customFormat="1" ht="26.25" customHeight="1">
      <c r="F65" s="86"/>
      <c r="G65" s="86"/>
      <c r="H65" s="73"/>
    </row>
    <row r="66" spans="6:8" s="1" customFormat="1" ht="26.25" customHeight="1">
      <c r="F66" s="87"/>
      <c r="G66" s="87"/>
      <c r="H66" s="73"/>
    </row>
    <row r="67" spans="6:8" s="1" customFormat="1" ht="26.25" customHeight="1">
      <c r="F67" s="86"/>
      <c r="G67" s="86"/>
      <c r="H67" s="73"/>
    </row>
    <row r="68" spans="6:8" s="1" customFormat="1" ht="26.25" customHeight="1">
      <c r="F68" s="91"/>
      <c r="G68" s="91"/>
      <c r="H68" s="73"/>
    </row>
    <row r="69" spans="6:8" s="1" customFormat="1" ht="26.25" customHeight="1">
      <c r="F69" s="91"/>
      <c r="G69" s="91"/>
      <c r="H69" s="73"/>
    </row>
    <row r="70" spans="6:8" s="1" customFormat="1" ht="26.25" customHeight="1">
      <c r="F70" s="91"/>
      <c r="G70" s="91"/>
      <c r="H70" s="73"/>
    </row>
    <row r="71" spans="6:8" s="1" customFormat="1" ht="26.25" customHeight="1">
      <c r="F71" s="91"/>
      <c r="G71" s="91"/>
      <c r="H71" s="73"/>
    </row>
    <row r="72" spans="6:8" s="1" customFormat="1" ht="26.25" customHeight="1">
      <c r="F72" s="91"/>
      <c r="G72" s="91"/>
      <c r="H72" s="73"/>
    </row>
    <row r="73" spans="6:8" s="1" customFormat="1" ht="26.25" customHeight="1">
      <c r="F73" s="91"/>
      <c r="G73" s="91"/>
      <c r="H73" s="73"/>
    </row>
    <row r="74" spans="6:8" s="1" customFormat="1" ht="26.25" customHeight="1">
      <c r="F74" s="91"/>
      <c r="G74" s="91"/>
      <c r="H74" s="73"/>
    </row>
    <row r="75" spans="6:8" s="1" customFormat="1" ht="26.25" customHeight="1">
      <c r="F75" s="91"/>
      <c r="G75" s="91"/>
      <c r="H75" s="73"/>
    </row>
    <row r="76" spans="6:8" s="1" customFormat="1" ht="26.25" customHeight="1">
      <c r="F76" s="91"/>
      <c r="G76" s="91"/>
      <c r="H76" s="73"/>
    </row>
    <row r="77" spans="6:8" s="1" customFormat="1" ht="26.25" customHeight="1">
      <c r="F77" s="91"/>
      <c r="G77" s="91"/>
      <c r="H77" s="73"/>
    </row>
    <row r="78" spans="6:8" s="1" customFormat="1" ht="26.25" customHeight="1">
      <c r="F78" s="91"/>
      <c r="G78" s="91"/>
      <c r="H78" s="73"/>
    </row>
    <row r="79" spans="6:8" s="1" customFormat="1" ht="26.25" customHeight="1">
      <c r="F79" s="91"/>
      <c r="G79" s="91"/>
      <c r="H79" s="73"/>
    </row>
    <row r="80" spans="6:8" s="1" customFormat="1" ht="26.25" customHeight="1">
      <c r="F80" s="91"/>
      <c r="G80" s="91"/>
      <c r="H80" s="73"/>
    </row>
    <row r="81" spans="6:8" s="1" customFormat="1" ht="26.25" customHeight="1">
      <c r="F81" s="91"/>
      <c r="G81" s="91"/>
      <c r="H81" s="73"/>
    </row>
    <row r="82" spans="6:8" s="1" customFormat="1" ht="26.25" customHeight="1">
      <c r="F82" s="91"/>
      <c r="G82" s="91"/>
      <c r="H82" s="73"/>
    </row>
    <row r="83" spans="6:8" s="1" customFormat="1" ht="26.25" customHeight="1">
      <c r="F83" s="91"/>
      <c r="G83" s="91"/>
      <c r="H83" s="73"/>
    </row>
    <row r="84" spans="6:8" s="1" customFormat="1" ht="26.25" customHeight="1">
      <c r="F84" s="91"/>
      <c r="G84" s="91"/>
      <c r="H84" s="73"/>
    </row>
    <row r="85" spans="6:8" s="1" customFormat="1" ht="26.25" customHeight="1">
      <c r="F85" s="91"/>
      <c r="G85" s="91"/>
      <c r="H85" s="73"/>
    </row>
    <row r="86" spans="6:8" s="1" customFormat="1" ht="26.25" customHeight="1">
      <c r="F86" s="91"/>
      <c r="G86" s="91"/>
      <c r="H86" s="73"/>
    </row>
    <row r="87" spans="6:8" s="1" customFormat="1" ht="26.25" customHeight="1">
      <c r="F87" s="91"/>
      <c r="G87" s="91"/>
      <c r="H87" s="73"/>
    </row>
    <row r="88" spans="6:8" s="1" customFormat="1" ht="26.25" customHeight="1">
      <c r="F88" s="91"/>
      <c r="G88" s="91"/>
      <c r="H88" s="73"/>
    </row>
    <row r="89" spans="6:8" s="1" customFormat="1" ht="26.25" customHeight="1">
      <c r="F89" s="91"/>
      <c r="G89" s="91"/>
      <c r="H89" s="73"/>
    </row>
    <row r="90" spans="6:8" s="1" customFormat="1" ht="26.25" customHeight="1">
      <c r="F90" s="91"/>
      <c r="G90" s="91"/>
      <c r="H90" s="73"/>
    </row>
    <row r="91" spans="6:8" s="1" customFormat="1" ht="26.25" customHeight="1">
      <c r="F91" s="91"/>
      <c r="G91" s="91"/>
      <c r="H91" s="73"/>
    </row>
    <row r="92" spans="6:8" s="1" customFormat="1" ht="26.25" customHeight="1">
      <c r="F92" s="91"/>
      <c r="G92" s="91"/>
      <c r="H92" s="73"/>
    </row>
    <row r="93" spans="6:8" s="1" customFormat="1" ht="26.25" customHeight="1">
      <c r="F93" s="91"/>
      <c r="G93" s="91"/>
      <c r="H93" s="73"/>
    </row>
    <row r="94" spans="6:8" s="1" customFormat="1" ht="26.25" customHeight="1">
      <c r="F94" s="91"/>
      <c r="G94" s="91"/>
      <c r="H94" s="73"/>
    </row>
    <row r="95" spans="6:8" s="1" customFormat="1" ht="26.25" customHeight="1">
      <c r="F95" s="91"/>
      <c r="G95" s="91"/>
      <c r="H95" s="73"/>
    </row>
    <row r="96" spans="6:8" s="1" customFormat="1" ht="26.25" customHeight="1">
      <c r="F96" s="91"/>
      <c r="G96" s="91"/>
      <c r="H96" s="73"/>
    </row>
    <row r="97" spans="6:9" s="1" customFormat="1" ht="26.25" customHeight="1">
      <c r="F97" s="91"/>
      <c r="G97" s="91"/>
      <c r="H97" s="73"/>
      <c r="I97" s="79"/>
    </row>
    <row r="98" spans="6:9" s="1" customFormat="1" ht="26.25" customHeight="1">
      <c r="F98" s="91"/>
      <c r="G98" s="91"/>
      <c r="H98" s="73"/>
      <c r="I98" s="79"/>
    </row>
    <row r="99" spans="6:9" s="1" customFormat="1" ht="26.25" customHeight="1">
      <c r="F99" s="91"/>
      <c r="G99" s="91"/>
      <c r="H99" s="73"/>
      <c r="I99" s="79"/>
    </row>
    <row r="100" spans="6:9" s="1" customFormat="1" ht="26.25" customHeight="1">
      <c r="F100" s="91"/>
      <c r="G100" s="91"/>
      <c r="H100" s="73"/>
      <c r="I100" s="79"/>
    </row>
    <row r="101" spans="6:9" s="1" customFormat="1" ht="26.25" customHeight="1">
      <c r="F101" s="91"/>
      <c r="G101" s="91"/>
      <c r="H101" s="73"/>
      <c r="I101" s="79"/>
    </row>
    <row r="102" spans="6:9" s="1" customFormat="1" ht="26.25" customHeight="1">
      <c r="F102" s="91"/>
      <c r="G102" s="91"/>
      <c r="H102" s="73"/>
      <c r="I102" s="79"/>
    </row>
    <row r="103" spans="6:9" s="1" customFormat="1" ht="26.25" customHeight="1">
      <c r="F103" s="91"/>
      <c r="G103" s="91"/>
      <c r="H103" s="73"/>
      <c r="I103" s="79"/>
    </row>
    <row r="104" spans="6:9" s="1" customFormat="1" ht="26.25" customHeight="1">
      <c r="F104" s="91"/>
      <c r="G104" s="91"/>
      <c r="H104" s="73"/>
      <c r="I104" s="79"/>
    </row>
    <row r="105" spans="6:9" s="1" customFormat="1" ht="26.25" customHeight="1">
      <c r="F105" s="91"/>
      <c r="G105" s="91"/>
      <c r="H105" s="6"/>
      <c r="I105" s="80"/>
    </row>
    <row r="106" spans="6:9" s="1" customFormat="1" ht="26.25" customHeight="1">
      <c r="F106" s="91"/>
      <c r="G106" s="91"/>
      <c r="H106" s="6"/>
      <c r="I106" s="80"/>
    </row>
    <row r="107" spans="6:9" s="1" customFormat="1" ht="26.25" customHeight="1">
      <c r="F107" s="91"/>
      <c r="G107" s="91"/>
      <c r="H107" s="6"/>
      <c r="I107" s="80"/>
    </row>
    <row r="108" spans="6:9" s="1" customFormat="1" ht="26.25" customHeight="1">
      <c r="F108" s="91"/>
      <c r="G108" s="91"/>
      <c r="H108" s="6"/>
      <c r="I108" s="80"/>
    </row>
    <row r="109" spans="6:9" s="1" customFormat="1" ht="26.25" customHeight="1">
      <c r="F109" s="91"/>
      <c r="G109" s="91"/>
      <c r="H109" s="6"/>
      <c r="I109" s="80"/>
    </row>
    <row r="110" spans="6:9" s="1" customFormat="1" ht="26.25" customHeight="1">
      <c r="F110" s="91"/>
      <c r="G110" s="91"/>
      <c r="H110" s="6"/>
      <c r="I110" s="80"/>
    </row>
    <row r="111" spans="6:9" s="1" customFormat="1" ht="26.25" customHeight="1">
      <c r="F111" s="91"/>
      <c r="G111" s="91"/>
      <c r="H111" s="6"/>
      <c r="I111" s="80"/>
    </row>
    <row r="112" spans="6:9" s="1" customFormat="1" ht="26.25" customHeight="1">
      <c r="F112" s="91"/>
      <c r="G112" s="91"/>
      <c r="H112" s="6"/>
      <c r="I112" s="80"/>
    </row>
    <row r="113" spans="2:9" ht="26.25" customHeight="1">
      <c r="B113" s="1"/>
      <c r="E113" s="1"/>
      <c r="F113" s="91"/>
      <c r="G113" s="91"/>
      <c r="H113" s="6"/>
      <c r="I113" s="80"/>
    </row>
    <row r="114" spans="2:9" ht="26.25" customHeight="1">
      <c r="B114" s="1"/>
      <c r="E114" s="1"/>
      <c r="F114" s="91"/>
      <c r="G114" s="91"/>
      <c r="H114" s="6"/>
      <c r="I114" s="80"/>
    </row>
    <row r="115" spans="2:9" ht="26.25" customHeight="1">
      <c r="B115" s="1"/>
      <c r="E115" s="1"/>
      <c r="F115" s="91"/>
      <c r="G115" s="91"/>
      <c r="H115" s="6"/>
      <c r="I115" s="80"/>
    </row>
    <row r="116" spans="2:9" ht="21" customHeight="1">
      <c r="B116" s="1"/>
      <c r="E116" s="1"/>
      <c r="F116" s="91"/>
      <c r="G116" s="91"/>
      <c r="H116" s="6"/>
      <c r="I116" s="80"/>
    </row>
    <row r="117" spans="2:9" ht="21" customHeight="1">
      <c r="B117" s="1"/>
      <c r="E117" s="1"/>
      <c r="F117" s="91"/>
      <c r="G117" s="91"/>
      <c r="H117" s="6"/>
      <c r="I117" s="80"/>
    </row>
    <row r="118" spans="2:9" ht="21" customHeight="1">
      <c r="B118" s="1"/>
      <c r="E118" s="1"/>
      <c r="F118" s="91"/>
      <c r="G118" s="91"/>
      <c r="H118" s="6"/>
      <c r="I118" s="80"/>
    </row>
    <row r="119" spans="2:9" ht="21" customHeight="1">
      <c r="B119" s="1"/>
      <c r="E119" s="1"/>
      <c r="F119" s="91"/>
      <c r="G119" s="91"/>
      <c r="H119" s="6"/>
      <c r="I119" s="80"/>
    </row>
    <row r="120" spans="2:9" ht="21" customHeight="1">
      <c r="B120" s="1"/>
      <c r="E120" s="1"/>
      <c r="F120" s="91"/>
      <c r="G120" s="91"/>
      <c r="H120" s="6"/>
      <c r="I120" s="80"/>
    </row>
    <row r="121" spans="2:9" ht="21" customHeight="1">
      <c r="B121" s="1"/>
      <c r="E121" s="1"/>
      <c r="F121" s="91"/>
      <c r="G121" s="91"/>
      <c r="H121" s="6"/>
      <c r="I121" s="80"/>
    </row>
    <row r="122" spans="2:9" ht="21" customHeight="1">
      <c r="B122" s="1"/>
      <c r="E122" s="1"/>
      <c r="F122" s="91"/>
      <c r="G122" s="91"/>
      <c r="H122" s="1"/>
      <c r="I122" s="77"/>
    </row>
    <row r="123" spans="2:9" ht="21" customHeight="1">
      <c r="F123" s="91"/>
      <c r="G123" s="91"/>
    </row>
    <row r="124" spans="2:9" ht="21" customHeight="1">
      <c r="F124" s="91"/>
      <c r="G124" s="91"/>
    </row>
    <row r="125" spans="2:9" ht="21" customHeight="1">
      <c r="F125" s="91"/>
      <c r="G125" s="91"/>
    </row>
    <row r="126" spans="2:9" ht="21" customHeight="1">
      <c r="F126" s="91"/>
      <c r="G126" s="91"/>
    </row>
    <row r="127" spans="2:9" ht="21" customHeight="1">
      <c r="F127" s="91"/>
      <c r="G127" s="91"/>
    </row>
    <row r="128" spans="2:9" ht="21" customHeight="1">
      <c r="F128" s="91"/>
      <c r="G128" s="91"/>
    </row>
    <row r="129" spans="6:7" ht="21" customHeight="1">
      <c r="F129" s="91"/>
      <c r="G129" s="91"/>
    </row>
    <row r="130" spans="6:7" ht="21" customHeight="1">
      <c r="F130" s="91"/>
      <c r="G130" s="91"/>
    </row>
    <row r="131" spans="6:7" ht="21" customHeight="1">
      <c r="F131" s="91"/>
      <c r="G131" s="91"/>
    </row>
    <row r="132" spans="6:7" ht="21" customHeight="1">
      <c r="F132" s="91"/>
      <c r="G132" s="91"/>
    </row>
    <row r="133" spans="6:7" ht="21" customHeight="1">
      <c r="F133" s="91"/>
      <c r="G133" s="91"/>
    </row>
    <row r="134" spans="6:7" ht="21" customHeight="1">
      <c r="F134" s="91"/>
      <c r="G134" s="91"/>
    </row>
    <row r="135" spans="6:7" ht="21" customHeight="1">
      <c r="F135" s="91"/>
      <c r="G135" s="91"/>
    </row>
    <row r="136" spans="6:7" ht="21" customHeight="1">
      <c r="F136" s="91"/>
      <c r="G136" s="91"/>
    </row>
    <row r="137" spans="6:7" ht="21" customHeight="1">
      <c r="F137" s="91"/>
      <c r="G137" s="91"/>
    </row>
    <row r="138" spans="6:7" ht="21" customHeight="1">
      <c r="F138" s="91"/>
      <c r="G138" s="91"/>
    </row>
  </sheetData>
  <mergeCells count="9">
    <mergeCell ref="A1:I1"/>
    <mergeCell ref="A62:C62"/>
    <mergeCell ref="H3:I3"/>
    <mergeCell ref="D3:E3"/>
    <mergeCell ref="A3:A4"/>
    <mergeCell ref="B3:B4"/>
    <mergeCell ref="C3:C4"/>
    <mergeCell ref="E2:I2"/>
    <mergeCell ref="F3:G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T(2021 &amp; H1-2022)Compare</vt:lpstr>
      <vt:lpstr>T (2021)&amp;(H1-2022)Summary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UNiQUE</dc:creator>
  <cp:lastModifiedBy>Administrator</cp:lastModifiedBy>
  <cp:lastPrinted>2022-07-04T03:03:28Z</cp:lastPrinted>
  <dcterms:created xsi:type="dcterms:W3CDTF">2016-09-09T02:25:40Z</dcterms:created>
  <dcterms:modified xsi:type="dcterms:W3CDTF">2022-07-15T07:36:34Z</dcterms:modified>
</cp:coreProperties>
</file>