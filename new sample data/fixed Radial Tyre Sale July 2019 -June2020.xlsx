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<sst xmlns="http://schemas.openxmlformats.org/spreadsheetml/2006/main" count="28" uniqueCount="28">
  <si>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Sizes</t>
  </si>
  <si>
    <t>annual total</t>
  </si>
  <si>
    <t>average monthly production</t>
  </si>
  <si>
    <t>percentage of total production</t>
  </si>
  <si>
    <t>145 R 12 C (YT-168)</t>
  </si>
  <si>
    <t>155 R 12 C (YT-168)</t>
  </si>
  <si>
    <t>165 R 13 C (YT-168)</t>
  </si>
  <si>
    <t>165/80 R 13 (YT-219)</t>
  </si>
  <si>
    <t>175 R 13 C (YT-168)</t>
  </si>
  <si>
    <t>175 R 14 C (YT-168)</t>
  </si>
  <si>
    <t>175 R 70 R 15 (YT-567)</t>
  </si>
  <si>
    <t>185/70 R 14 (Premier Taxi)</t>
  </si>
  <si>
    <t>185/70 R 14 (YT-P1)</t>
  </si>
  <si>
    <t>185 R 14 C (YT-168)</t>
  </si>
  <si>
    <t>195 R 14 C (YT-168)</t>
  </si>
  <si>
    <t>195/70 R 14 C (YT-569)</t>
  </si>
  <si>
    <t>195 R 15 C (YT-168)</t>
  </si>
  <si>
    <t>195/65 R 15 (YT-P1)</t>
  </si>
  <si>
    <t>205/70 R 15 (YT-579)</t>
  </si>
  <si>
    <t>205/65 R 15 (YT-P1)</t>
  </si>
  <si>
    <t>265 /70 R 16 (YT-700)</t>
  </si>
  <si>
    <t>6.50 R 16 LT (YTB-300)</t>
  </si>
  <si>
    <t>7.00 R 16 (YT-300)</t>
  </si>
  <si>
    <t>6.50 R 16 C (YTB-210)</t>
  </si>
  <si>
    <t>205/85 R 16 (YT-210)</t>
  </si>
  <si>
    <t>205/85 R 16 (YT-804)</t>
  </si>
  <si>
    <t>195/85 R 16 (YT-210)</t>
  </si>
  <si>
    <t>195/85 R 16 (YT-804)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</si>
</sst>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myyyy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&quot;Times New Roman&quot;"/>
    </font>
    <font>
      <sz val="8.0"/>
      <color theme="1"/>
      <name val="&quot;Times New Roman&quot;"/>
    </font>
    <font>
      <sz val="11.0"/>
      <color rgb="FF000000"/>
      <name val="Inconsolata"/>
    </font>
    <font>
      <sz val="9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2" numFmtId="164" xfId="0" applyBorder="1" applyFont="1" applyNumberFormat="1"/>
    <xf borderId="1" fillId="0" fontId="2" numFmtId="165" xfId="0" applyBorder="1" applyFont="1" applyNumberForma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2" fontId="4" numFmtId="0" xfId="0" applyAlignment="1" applyFill="1" applyFont="1">
      <alignment horizontal="left"/>
    </xf>
    <xf borderId="0" fillId="2" fontId="4" numFmtId="10" xfId="0" applyAlignment="1" applyFont="1" applyNumberFormat="1">
      <alignment horizontal="left"/>
    </xf>
    <xf borderId="1" fillId="0" fontId="3" numFmtId="0" xfId="0" applyAlignment="1" applyBorder="1" applyFont="1">
      <alignment horizontal="right"/>
    </xf>
    <xf borderId="1" fillId="0" fontId="1" numFmtId="0" xfId="0" applyBorder="1" applyFont="1"/>
    <xf borderId="1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9.75"/>
    <col customWidth="1" min="16" max="16" width="23.38"/>
  </cols>
  <sheetData>
    <row r="1">
      <c r="A1" s="1" t="s">
        <v>0</v>
      </c>
      <c r="B1" s="2" t="s">
        <v>1</v>
      </c>
      <c r="C1" s="3">
        <v>43647.0</v>
      </c>
      <c r="D1" s="3">
        <v>43678.0</v>
      </c>
      <c r="E1" s="3">
        <v>43709.0</v>
      </c>
      <c r="F1" s="3">
        <v>43739.0</v>
      </c>
      <c r="G1" s="3">
        <v>43770.0</v>
      </c>
      <c r="H1" s="3">
        <v>43800.0</v>
      </c>
      <c r="I1" s="3">
        <v>43831.0</v>
      </c>
      <c r="J1" s="3">
        <v>43862.0</v>
      </c>
      <c r="K1" s="4">
        <v>43891.0</v>
      </c>
      <c r="L1" s="3">
        <v>43922.0</v>
      </c>
      <c r="M1" s="3">
        <v>43952.0</v>
      </c>
      <c r="N1" s="3">
        <v>43983.0</v>
      </c>
      <c r="O1" s="5" t="s">
        <v>2</v>
      </c>
      <c r="P1" s="5" t="s">
        <v>3</v>
      </c>
    </row>
    <row r="2">
      <c r="A2" s="6" t="s">
        <v>4</v>
      </c>
      <c r="B2" s="7">
        <f t="shared" ref="B2:B25" si="1">SUM(C2:N2)</f>
        <v>33719</v>
      </c>
      <c r="C2" s="8">
        <v>2887.0</v>
      </c>
      <c r="D2" s="8">
        <v>2109.0</v>
      </c>
      <c r="E2" s="8">
        <v>2960.0</v>
      </c>
      <c r="F2" s="8">
        <v>2987.0</v>
      </c>
      <c r="G2" s="9">
        <v>5294.0</v>
      </c>
      <c r="H2" s="8">
        <v>2001.0</v>
      </c>
      <c r="I2" s="6">
        <v>2571.0</v>
      </c>
      <c r="J2" s="6">
        <v>2385.0</v>
      </c>
      <c r="K2" s="6">
        <v>3352.0</v>
      </c>
      <c r="L2" s="6">
        <v>1079.0</v>
      </c>
      <c r="M2" s="6">
        <v>2247.0</v>
      </c>
      <c r="N2" s="10">
        <v>3847.0</v>
      </c>
      <c r="O2" s="11">
        <f t="shared" ref="O2:O25" si="2">ROUNDUP(AVERAGE(C2:N2))</f>
        <v>2810</v>
      </c>
      <c r="P2" s="12">
        <f t="shared" ref="P2:P25" si="3">SUM(C2:N2)/195560</f>
        <v>0.1724227858</v>
      </c>
    </row>
    <row r="3">
      <c r="A3" s="6" t="s">
        <v>5</v>
      </c>
      <c r="B3" s="7">
        <f t="shared" si="1"/>
        <v>26246</v>
      </c>
      <c r="C3" s="13">
        <v>2829.0</v>
      </c>
      <c r="D3" s="13">
        <v>1334.0</v>
      </c>
      <c r="E3" s="13">
        <v>2306.0</v>
      </c>
      <c r="F3" s="8">
        <v>2798.0</v>
      </c>
      <c r="G3" s="9">
        <v>3341.0</v>
      </c>
      <c r="H3" s="8">
        <v>2350.0</v>
      </c>
      <c r="I3" s="6">
        <v>2160.0</v>
      </c>
      <c r="J3" s="6">
        <v>1934.0</v>
      </c>
      <c r="K3" s="6">
        <v>2985.0</v>
      </c>
      <c r="L3" s="6">
        <v>920.0</v>
      </c>
      <c r="M3" s="6">
        <v>1912.0</v>
      </c>
      <c r="N3" s="10">
        <v>1377.0</v>
      </c>
      <c r="O3" s="11">
        <f t="shared" si="2"/>
        <v>2188</v>
      </c>
      <c r="P3" s="12">
        <f t="shared" si="3"/>
        <v>0.1342094498</v>
      </c>
    </row>
    <row r="4">
      <c r="A4" s="6" t="s">
        <v>6</v>
      </c>
      <c r="B4" s="7">
        <f t="shared" si="1"/>
        <v>19527</v>
      </c>
      <c r="C4" s="13">
        <v>1542.0</v>
      </c>
      <c r="D4" s="13">
        <v>1461.0</v>
      </c>
      <c r="E4" s="13">
        <v>1730.0</v>
      </c>
      <c r="F4" s="8">
        <v>2008.0</v>
      </c>
      <c r="G4" s="9">
        <v>1788.0</v>
      </c>
      <c r="H4" s="8">
        <v>1372.0</v>
      </c>
      <c r="I4" s="6">
        <v>2476.0</v>
      </c>
      <c r="J4" s="6">
        <v>1420.0</v>
      </c>
      <c r="K4" s="6">
        <v>2524.0</v>
      </c>
      <c r="L4" s="6">
        <v>840.0</v>
      </c>
      <c r="M4" s="6">
        <v>1941.0</v>
      </c>
      <c r="N4" s="10">
        <v>425.0</v>
      </c>
      <c r="O4" s="11">
        <f t="shared" si="2"/>
        <v>1628</v>
      </c>
      <c r="P4" s="12">
        <f t="shared" si="3"/>
        <v>0.09985170792</v>
      </c>
    </row>
    <row r="5">
      <c r="A5" s="6" t="s">
        <v>7</v>
      </c>
      <c r="B5" s="7">
        <f t="shared" si="1"/>
        <v>7500</v>
      </c>
      <c r="C5" s="8">
        <v>766.0</v>
      </c>
      <c r="D5" s="8">
        <v>597.0</v>
      </c>
      <c r="E5" s="8">
        <v>696.0</v>
      </c>
      <c r="F5" s="8">
        <v>992.0</v>
      </c>
      <c r="G5" s="9">
        <v>861.0</v>
      </c>
      <c r="H5" s="8">
        <v>523.0</v>
      </c>
      <c r="I5" s="6">
        <v>1151.0</v>
      </c>
      <c r="J5" s="6">
        <v>302.0</v>
      </c>
      <c r="K5" s="6">
        <v>516.0</v>
      </c>
      <c r="L5" s="6">
        <v>195.0</v>
      </c>
      <c r="M5" s="6">
        <v>205.0</v>
      </c>
      <c r="N5" s="10">
        <v>696.0</v>
      </c>
      <c r="O5" s="11">
        <f t="shared" si="2"/>
        <v>625</v>
      </c>
      <c r="P5" s="12">
        <f t="shared" si="3"/>
        <v>0.0383514011</v>
      </c>
    </row>
    <row r="6">
      <c r="A6" s="6" t="s">
        <v>8</v>
      </c>
      <c r="B6" s="7">
        <f t="shared" si="1"/>
        <v>4947</v>
      </c>
      <c r="C6" s="8">
        <v>792.0</v>
      </c>
      <c r="D6" s="8">
        <v>278.0</v>
      </c>
      <c r="E6" s="8">
        <v>421.0</v>
      </c>
      <c r="F6" s="8">
        <v>607.0</v>
      </c>
      <c r="G6" s="9">
        <v>392.0</v>
      </c>
      <c r="H6" s="8">
        <v>428.0</v>
      </c>
      <c r="I6" s="6">
        <v>211.0</v>
      </c>
      <c r="J6" s="6">
        <v>519.0</v>
      </c>
      <c r="K6" s="6">
        <v>371.0</v>
      </c>
      <c r="L6" s="6">
        <v>120.0</v>
      </c>
      <c r="M6" s="6">
        <v>287.0</v>
      </c>
      <c r="N6" s="10">
        <v>521.0</v>
      </c>
      <c r="O6" s="11">
        <f t="shared" si="2"/>
        <v>413</v>
      </c>
      <c r="P6" s="12">
        <f t="shared" si="3"/>
        <v>0.02529658417</v>
      </c>
    </row>
    <row r="7">
      <c r="A7" s="6" t="s">
        <v>9</v>
      </c>
      <c r="B7" s="7">
        <f t="shared" si="1"/>
        <v>7019</v>
      </c>
      <c r="C7" s="13">
        <v>405.0</v>
      </c>
      <c r="D7" s="13">
        <v>391.0</v>
      </c>
      <c r="E7" s="13">
        <v>704.0</v>
      </c>
      <c r="F7" s="8">
        <v>673.0</v>
      </c>
      <c r="G7" s="9">
        <v>850.0</v>
      </c>
      <c r="H7" s="8">
        <v>300.0</v>
      </c>
      <c r="I7" s="6">
        <v>1034.0</v>
      </c>
      <c r="J7" s="6">
        <v>888.0</v>
      </c>
      <c r="K7" s="6">
        <v>848.0</v>
      </c>
      <c r="L7" s="6">
        <v>266.0</v>
      </c>
      <c r="M7" s="6">
        <v>504.0</v>
      </c>
      <c r="N7" s="10">
        <v>156.0</v>
      </c>
      <c r="O7" s="11">
        <f t="shared" si="2"/>
        <v>585</v>
      </c>
      <c r="P7" s="12">
        <f t="shared" si="3"/>
        <v>0.03589179791</v>
      </c>
    </row>
    <row r="8">
      <c r="A8" s="6" t="s">
        <v>10</v>
      </c>
      <c r="B8" s="7">
        <f t="shared" si="1"/>
        <v>1002</v>
      </c>
      <c r="C8" s="14"/>
      <c r="D8" s="14"/>
      <c r="E8" s="14"/>
      <c r="F8" s="8">
        <v>425.0</v>
      </c>
      <c r="G8" s="9">
        <v>126.0</v>
      </c>
      <c r="H8" s="8">
        <v>4.0</v>
      </c>
      <c r="I8" s="6">
        <v>104.0</v>
      </c>
      <c r="J8" s="6">
        <v>4.0</v>
      </c>
      <c r="K8" s="6">
        <v>125.0</v>
      </c>
      <c r="L8" s="6"/>
      <c r="M8" s="6">
        <v>5.0</v>
      </c>
      <c r="N8" s="10">
        <v>209.0</v>
      </c>
      <c r="O8" s="11">
        <f t="shared" si="2"/>
        <v>126</v>
      </c>
      <c r="P8" s="12">
        <f t="shared" si="3"/>
        <v>0.005123747188</v>
      </c>
    </row>
    <row r="9">
      <c r="A9" s="15" t="s">
        <v>11</v>
      </c>
      <c r="B9" s="7">
        <f t="shared" si="1"/>
        <v>23965</v>
      </c>
      <c r="C9" s="8">
        <v>1966.0</v>
      </c>
      <c r="D9" s="8">
        <v>1898.0</v>
      </c>
      <c r="E9" s="8">
        <v>2269.0</v>
      </c>
      <c r="F9" s="8">
        <v>1913.0</v>
      </c>
      <c r="G9" s="9">
        <v>2554.0</v>
      </c>
      <c r="H9" s="8">
        <v>2707.0</v>
      </c>
      <c r="I9" s="6">
        <v>2489.0</v>
      </c>
      <c r="J9" s="6">
        <v>1907.0</v>
      </c>
      <c r="K9" s="6">
        <v>2525.0</v>
      </c>
      <c r="L9" s="6">
        <v>865.0</v>
      </c>
      <c r="M9" s="6">
        <v>1495.0</v>
      </c>
      <c r="N9" s="10">
        <v>1377.0</v>
      </c>
      <c r="O9" s="11">
        <f t="shared" si="2"/>
        <v>1998</v>
      </c>
      <c r="P9" s="12">
        <f t="shared" si="3"/>
        <v>0.1225455103</v>
      </c>
    </row>
    <row r="10">
      <c r="A10" s="16" t="s">
        <v>12</v>
      </c>
      <c r="B10" s="7">
        <f t="shared" si="1"/>
        <v>1</v>
      </c>
      <c r="C10" s="17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0">
        <v>1.0</v>
      </c>
      <c r="O10" s="11">
        <f t="shared" si="2"/>
        <v>1</v>
      </c>
      <c r="P10" s="12">
        <f t="shared" si="3"/>
        <v>0.000005113520147</v>
      </c>
    </row>
    <row r="11">
      <c r="A11" s="16" t="s">
        <v>13</v>
      </c>
      <c r="B11" s="7">
        <f t="shared" si="1"/>
        <v>5859</v>
      </c>
      <c r="C11" s="8">
        <v>1044.0</v>
      </c>
      <c r="D11" s="8">
        <v>283.0</v>
      </c>
      <c r="E11" s="8">
        <v>388.0</v>
      </c>
      <c r="F11" s="8">
        <v>622.0</v>
      </c>
      <c r="G11" s="9">
        <v>536.0</v>
      </c>
      <c r="H11" s="8">
        <v>315.0</v>
      </c>
      <c r="I11" s="6">
        <v>628.0</v>
      </c>
      <c r="J11" s="6">
        <v>561.0</v>
      </c>
      <c r="K11" s="6">
        <v>476.0</v>
      </c>
      <c r="L11" s="6">
        <v>290.0</v>
      </c>
      <c r="M11" s="6">
        <v>415.0</v>
      </c>
      <c r="N11" s="10">
        <v>301.0</v>
      </c>
      <c r="O11" s="11">
        <f t="shared" si="2"/>
        <v>489</v>
      </c>
      <c r="P11" s="12">
        <f t="shared" si="3"/>
        <v>0.02996011454</v>
      </c>
    </row>
    <row r="12">
      <c r="A12" s="6" t="s">
        <v>14</v>
      </c>
      <c r="B12" s="7">
        <f t="shared" si="1"/>
        <v>7401</v>
      </c>
      <c r="C12" s="8">
        <v>10.0</v>
      </c>
      <c r="D12" s="8">
        <v>636.0</v>
      </c>
      <c r="E12" s="8">
        <v>600.0</v>
      </c>
      <c r="F12" s="8">
        <v>875.0</v>
      </c>
      <c r="G12" s="9">
        <v>538.0</v>
      </c>
      <c r="H12" s="8">
        <v>731.0</v>
      </c>
      <c r="I12" s="6">
        <v>523.0</v>
      </c>
      <c r="J12" s="6">
        <v>733.0</v>
      </c>
      <c r="K12" s="6">
        <v>1051.0</v>
      </c>
      <c r="L12" s="6">
        <v>60.0</v>
      </c>
      <c r="M12" s="6">
        <v>769.0</v>
      </c>
      <c r="N12" s="10">
        <v>875.0</v>
      </c>
      <c r="O12" s="11">
        <f t="shared" si="2"/>
        <v>617</v>
      </c>
      <c r="P12" s="12">
        <f t="shared" si="3"/>
        <v>0.03784516261</v>
      </c>
    </row>
    <row r="13">
      <c r="A13" s="6" t="s">
        <v>15</v>
      </c>
      <c r="B13" s="7">
        <f t="shared" si="1"/>
        <v>308</v>
      </c>
      <c r="C13" s="17">
        <v>0.0</v>
      </c>
      <c r="D13" s="17">
        <v>0.0</v>
      </c>
      <c r="E13" s="17">
        <v>0.0</v>
      </c>
      <c r="F13" s="8">
        <v>300.0</v>
      </c>
      <c r="G13" s="17">
        <v>0.0</v>
      </c>
      <c r="H13" s="17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0">
        <v>8.0</v>
      </c>
      <c r="O13" s="11">
        <f t="shared" si="2"/>
        <v>26</v>
      </c>
      <c r="P13" s="12">
        <f t="shared" si="3"/>
        <v>0.001574964205</v>
      </c>
    </row>
    <row r="14">
      <c r="A14" s="6" t="s">
        <v>16</v>
      </c>
      <c r="B14" s="7">
        <f t="shared" si="1"/>
        <v>27362</v>
      </c>
      <c r="C14" s="8">
        <v>1862.0</v>
      </c>
      <c r="D14" s="8">
        <v>1054.0</v>
      </c>
      <c r="E14" s="8">
        <v>3089.0</v>
      </c>
      <c r="F14" s="8">
        <v>2030.0</v>
      </c>
      <c r="G14" s="9">
        <v>2363.0</v>
      </c>
      <c r="H14" s="8">
        <v>2800.0</v>
      </c>
      <c r="I14" s="6">
        <v>1948.0</v>
      </c>
      <c r="J14" s="6">
        <v>2541.0</v>
      </c>
      <c r="K14" s="6">
        <v>3210.0</v>
      </c>
      <c r="L14" s="6">
        <v>1784.0</v>
      </c>
      <c r="M14" s="6">
        <v>2656.0</v>
      </c>
      <c r="N14" s="10">
        <v>2025.0</v>
      </c>
      <c r="O14" s="11">
        <f t="shared" si="2"/>
        <v>2281</v>
      </c>
      <c r="P14" s="12">
        <f t="shared" si="3"/>
        <v>0.1399161383</v>
      </c>
    </row>
    <row r="15">
      <c r="A15" s="6" t="s">
        <v>17</v>
      </c>
      <c r="B15" s="7">
        <f t="shared" si="1"/>
        <v>1014</v>
      </c>
      <c r="C15" s="8"/>
      <c r="D15" s="8"/>
      <c r="E15" s="8"/>
      <c r="F15" s="8">
        <v>700.0</v>
      </c>
      <c r="G15" s="19">
        <v>135.0</v>
      </c>
      <c r="H15" s="8">
        <v>167.0</v>
      </c>
      <c r="I15" s="6"/>
      <c r="J15" s="6"/>
      <c r="K15" s="6"/>
      <c r="L15" s="6"/>
      <c r="M15" s="6"/>
      <c r="N15" s="10">
        <v>12.0</v>
      </c>
      <c r="O15" s="11">
        <f t="shared" si="2"/>
        <v>254</v>
      </c>
      <c r="P15" s="12">
        <f t="shared" si="3"/>
        <v>0.005185109429</v>
      </c>
    </row>
    <row r="16">
      <c r="A16" s="6" t="s">
        <v>18</v>
      </c>
      <c r="B16" s="7">
        <f t="shared" si="1"/>
        <v>10123</v>
      </c>
      <c r="C16" s="8">
        <v>1682.0</v>
      </c>
      <c r="D16" s="8">
        <v>1349.0</v>
      </c>
      <c r="E16" s="8">
        <v>1457.0</v>
      </c>
      <c r="F16" s="8">
        <v>1072.0</v>
      </c>
      <c r="G16" s="9">
        <v>2167.0</v>
      </c>
      <c r="H16" s="8">
        <v>1493.0</v>
      </c>
      <c r="I16" s="6">
        <v>251.0</v>
      </c>
      <c r="J16" s="6">
        <v>340.0</v>
      </c>
      <c r="K16" s="6">
        <v>249.0</v>
      </c>
      <c r="L16" s="6"/>
      <c r="M16" s="6">
        <v>2.0</v>
      </c>
      <c r="N16" s="10">
        <v>61.0</v>
      </c>
      <c r="O16" s="11">
        <f t="shared" si="2"/>
        <v>921</v>
      </c>
      <c r="P16" s="12">
        <f t="shared" si="3"/>
        <v>0.05176416445</v>
      </c>
    </row>
    <row r="17">
      <c r="A17" s="6" t="s">
        <v>19</v>
      </c>
      <c r="B17" s="7">
        <f t="shared" si="1"/>
        <v>8287</v>
      </c>
      <c r="C17" s="8"/>
      <c r="D17" s="8"/>
      <c r="E17" s="8">
        <v>370.0</v>
      </c>
      <c r="F17" s="8">
        <v>318.0</v>
      </c>
      <c r="G17" s="9">
        <v>205.0</v>
      </c>
      <c r="H17" s="8">
        <v>187.0</v>
      </c>
      <c r="I17" s="6">
        <v>1747.0</v>
      </c>
      <c r="J17" s="6">
        <v>1809.0</v>
      </c>
      <c r="K17" s="6">
        <v>924.0</v>
      </c>
      <c r="L17" s="6">
        <v>585.0</v>
      </c>
      <c r="M17" s="6">
        <v>1411.0</v>
      </c>
      <c r="N17" s="10">
        <v>731.0</v>
      </c>
      <c r="O17" s="11">
        <f t="shared" si="2"/>
        <v>829</v>
      </c>
      <c r="P17" s="12">
        <f t="shared" si="3"/>
        <v>0.04237574146</v>
      </c>
    </row>
    <row r="18">
      <c r="A18" s="16" t="s">
        <v>20</v>
      </c>
      <c r="B18" s="7">
        <f t="shared" si="1"/>
        <v>3453</v>
      </c>
      <c r="C18" s="8">
        <v>4.0</v>
      </c>
      <c r="D18" s="8">
        <v>384.0</v>
      </c>
      <c r="E18" s="8">
        <v>329.0</v>
      </c>
      <c r="F18" s="8">
        <v>298.0</v>
      </c>
      <c r="G18" s="9">
        <v>783.0</v>
      </c>
      <c r="H18" s="8">
        <v>530.0</v>
      </c>
      <c r="I18" s="6">
        <v>257.0</v>
      </c>
      <c r="J18" s="6">
        <v>290.0</v>
      </c>
      <c r="K18" s="6">
        <v>138.0</v>
      </c>
      <c r="L18" s="6">
        <v>120.0</v>
      </c>
      <c r="M18" s="6">
        <v>200.0</v>
      </c>
      <c r="N18" s="10">
        <v>120.0</v>
      </c>
      <c r="O18" s="11">
        <f t="shared" si="2"/>
        <v>288</v>
      </c>
      <c r="P18" s="12">
        <f t="shared" si="3"/>
        <v>0.01765698507</v>
      </c>
    </row>
    <row r="19">
      <c r="A19" s="6" t="s">
        <v>21</v>
      </c>
      <c r="B19" s="7">
        <f t="shared" si="1"/>
        <v>3344</v>
      </c>
      <c r="C19" s="8"/>
      <c r="D19" s="8">
        <v>10.0</v>
      </c>
      <c r="E19" s="17">
        <v>0.0</v>
      </c>
      <c r="F19" s="8"/>
      <c r="G19" s="9">
        <v>86.0</v>
      </c>
      <c r="H19" s="8">
        <v>275.0</v>
      </c>
      <c r="I19" s="6">
        <v>377.0</v>
      </c>
      <c r="J19" s="6">
        <v>657.0</v>
      </c>
      <c r="K19" s="6">
        <v>367.0</v>
      </c>
      <c r="L19" s="6">
        <v>220.0</v>
      </c>
      <c r="M19" s="6">
        <v>679.0</v>
      </c>
      <c r="N19" s="10">
        <v>673.0</v>
      </c>
      <c r="O19" s="11">
        <f t="shared" si="2"/>
        <v>335</v>
      </c>
      <c r="P19" s="12">
        <f t="shared" si="3"/>
        <v>0.01709961137</v>
      </c>
    </row>
    <row r="20">
      <c r="A20" s="20" t="s">
        <v>22</v>
      </c>
      <c r="B20" s="7">
        <f t="shared" si="1"/>
        <v>330</v>
      </c>
      <c r="C20" s="17">
        <v>0.0</v>
      </c>
      <c r="D20" s="17">
        <v>0.0</v>
      </c>
      <c r="E20" s="17">
        <v>0.0</v>
      </c>
      <c r="F20" s="17">
        <v>0.0</v>
      </c>
      <c r="G20" s="17">
        <v>0.0</v>
      </c>
      <c r="H20" s="17">
        <v>0.0</v>
      </c>
      <c r="I20" s="6">
        <v>80.0</v>
      </c>
      <c r="J20" s="6">
        <v>128.0</v>
      </c>
      <c r="K20" s="6">
        <v>120.0</v>
      </c>
      <c r="L20" s="18">
        <v>0.0</v>
      </c>
      <c r="M20" s="18">
        <v>0.0</v>
      </c>
      <c r="N20" s="10">
        <v>2.0</v>
      </c>
      <c r="O20" s="11">
        <f t="shared" si="2"/>
        <v>28</v>
      </c>
      <c r="P20" s="12">
        <f t="shared" si="3"/>
        <v>0.001687461649</v>
      </c>
    </row>
    <row r="21">
      <c r="A21" s="16" t="s">
        <v>23</v>
      </c>
      <c r="B21" s="7">
        <f t="shared" si="1"/>
        <v>1489</v>
      </c>
      <c r="C21" s="8">
        <v>225.0</v>
      </c>
      <c r="D21" s="8">
        <v>192.0</v>
      </c>
      <c r="E21" s="8">
        <v>357.0</v>
      </c>
      <c r="F21" s="8">
        <v>226.0</v>
      </c>
      <c r="G21" s="9">
        <v>306.0</v>
      </c>
      <c r="H21" s="8">
        <v>183.0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0.0</v>
      </c>
      <c r="O21" s="11">
        <f t="shared" si="2"/>
        <v>125</v>
      </c>
      <c r="P21" s="12">
        <f t="shared" si="3"/>
        <v>0.007614031499</v>
      </c>
    </row>
    <row r="22">
      <c r="A22" s="16" t="s">
        <v>24</v>
      </c>
      <c r="B22" s="7">
        <f t="shared" si="1"/>
        <v>1922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6">
        <v>208.0</v>
      </c>
      <c r="J22" s="6">
        <v>268.0</v>
      </c>
      <c r="K22" s="6">
        <v>257.0</v>
      </c>
      <c r="L22" s="6">
        <v>20.0</v>
      </c>
      <c r="M22" s="6">
        <v>631.0</v>
      </c>
      <c r="N22" s="10">
        <v>538.0</v>
      </c>
      <c r="O22" s="11">
        <f t="shared" si="2"/>
        <v>161</v>
      </c>
      <c r="P22" s="12">
        <f t="shared" si="3"/>
        <v>0.009828185723</v>
      </c>
    </row>
    <row r="23">
      <c r="A23" s="16" t="s">
        <v>25</v>
      </c>
      <c r="B23" s="7">
        <f t="shared" si="1"/>
        <v>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8">
        <v>0.0</v>
      </c>
      <c r="J23" s="18">
        <v>0.0</v>
      </c>
      <c r="K23" s="18">
        <v>0.0</v>
      </c>
      <c r="L23" s="18">
        <v>0.0</v>
      </c>
      <c r="M23" s="18">
        <v>0.0</v>
      </c>
      <c r="N23" s="18">
        <v>0.0</v>
      </c>
      <c r="O23" s="11">
        <f t="shared" si="2"/>
        <v>0</v>
      </c>
      <c r="P23" s="12">
        <f t="shared" si="3"/>
        <v>0</v>
      </c>
    </row>
    <row r="24">
      <c r="A24" s="16" t="s">
        <v>26</v>
      </c>
      <c r="B24" s="7">
        <f t="shared" si="1"/>
        <v>437</v>
      </c>
      <c r="C24" s="17">
        <v>0.0</v>
      </c>
      <c r="D24" s="8">
        <v>3.0</v>
      </c>
      <c r="E24" s="17">
        <v>0.0</v>
      </c>
      <c r="F24" s="17">
        <v>0.0</v>
      </c>
      <c r="G24" s="17">
        <v>0.0</v>
      </c>
      <c r="H24" s="17">
        <v>0.0</v>
      </c>
      <c r="I24" s="18">
        <v>0.0</v>
      </c>
      <c r="J24" s="18">
        <v>0.0</v>
      </c>
      <c r="K24" s="6">
        <v>70.0</v>
      </c>
      <c r="L24" s="6">
        <v>30.0</v>
      </c>
      <c r="M24" s="6">
        <v>54.0</v>
      </c>
      <c r="N24" s="10">
        <v>280.0</v>
      </c>
      <c r="O24" s="11">
        <f t="shared" si="2"/>
        <v>37</v>
      </c>
      <c r="P24" s="12">
        <f t="shared" si="3"/>
        <v>0.002234608304</v>
      </c>
    </row>
    <row r="25">
      <c r="A25" s="16" t="s">
        <v>27</v>
      </c>
      <c r="B25" s="7">
        <f t="shared" si="1"/>
        <v>305</v>
      </c>
      <c r="C25" s="17">
        <v>0.0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8">
        <v>0.0</v>
      </c>
      <c r="J25" s="18">
        <v>0.0</v>
      </c>
      <c r="K25" s="6">
        <v>120.0</v>
      </c>
      <c r="L25" s="6">
        <v>100.0</v>
      </c>
      <c r="M25" s="6">
        <v>20.0</v>
      </c>
      <c r="N25" s="10">
        <v>65.0</v>
      </c>
      <c r="O25" s="11">
        <f t="shared" si="2"/>
        <v>26</v>
      </c>
      <c r="P25" s="12">
        <f t="shared" si="3"/>
        <v>0.001559623645</v>
      </c>
    </row>
    <row r="26">
      <c r="A26" s="21"/>
      <c r="B26" s="22"/>
      <c r="C26" s="23"/>
      <c r="D26" s="23"/>
      <c r="E26" s="23"/>
      <c r="F26" s="23"/>
      <c r="G26" s="23"/>
      <c r="H26" s="23"/>
      <c r="I26" s="24"/>
      <c r="J26" s="24"/>
      <c r="K26" s="24"/>
      <c r="L26" s="24"/>
      <c r="M26" s="24"/>
      <c r="N26" s="25"/>
      <c r="O26" s="11"/>
      <c r="P26" s="12">
        <f>SUM(P2:P25)</f>
        <v>1</v>
      </c>
    </row>
  </sheetData>
  <drawing r:id="rId1"/>
</worksheet>
</file>