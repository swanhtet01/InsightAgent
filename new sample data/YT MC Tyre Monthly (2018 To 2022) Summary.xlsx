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 tabRatio="878"/>
  </bookViews>
  <sheets>
    <sheet name="2018(Size)" sheetId="22" r:id="rId1"/>
    <sheet name="2018(Name)" sheetId="13" r:id="rId2"/>
    <sheet name="2019 (Size)" sheetId="2" r:id="rId3"/>
    <sheet name="2019(Name)" sheetId="12" r:id="rId4"/>
    <sheet name="2020(Size)" sheetId="3" r:id="rId5"/>
    <sheet name="2020(Name)" sheetId="8" r:id="rId6"/>
    <sheet name="2021(Size)" sheetId="4" r:id="rId7"/>
    <sheet name="2021(Name)" sheetId="9" r:id="rId8"/>
    <sheet name="2022(Size)" sheetId="5" r:id="rId9"/>
    <sheet name="2022(Name)" sheetId="10" r:id="rId10"/>
    <sheet name="18,19,20,21,22(Summary)" sheetId="16" r:id="rId11"/>
    <sheet name="2018,2019,2020,2021,2022 (Size)" sheetId="18" r:id="rId12"/>
  </sheets>
  <definedNames>
    <definedName name="_xlnm._FilterDatabase" localSheetId="11" hidden="1">'2018,2019,2020,2021,2022 (Size)'!#REF!</definedName>
    <definedName name="_xlnm._FilterDatabase" localSheetId="2" hidden="1">'2019 (Size)'!$A$2:$B$14</definedName>
    <definedName name="_xlnm._FilterDatabase" localSheetId="5" hidden="1">'2020(Name)'!$P$1:$P$55</definedName>
    <definedName name="_xlnm._FilterDatabase" localSheetId="4" hidden="1">'2020(Size)'!#REF!</definedName>
    <definedName name="_xlnm._FilterDatabase" localSheetId="7" hidden="1">'2021(Name)'!$B$3:$B$59</definedName>
    <definedName name="_xlnm._FilterDatabase" localSheetId="6" hidden="1">'2021(Size)'!#REF!</definedName>
    <definedName name="_xlnm._FilterDatabase" localSheetId="9" hidden="1">'2022(Name)'!$B$5:$B$57</definedName>
    <definedName name="_xlnm._FilterDatabase" localSheetId="8" hidden="1">'2022(Size)'!$AR$1:$AR$108</definedName>
    <definedName name="_xlnm.Print_Titles" localSheetId="1">'2018(Name)'!$1:$4</definedName>
    <definedName name="_xlnm.Print_Titles" localSheetId="0">'2018(Size)'!$1:$4</definedName>
    <definedName name="_xlnm.Print_Titles" localSheetId="2">'2019 (Size)'!$1:$4</definedName>
    <definedName name="_xlnm.Print_Titles" localSheetId="3">'2019(Name)'!$1:$4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3" i="22" l="1"/>
  <c r="D42" i="22"/>
  <c r="D41" i="22"/>
  <c r="D40" i="22"/>
  <c r="D39" i="22"/>
  <c r="I36" i="18" l="1"/>
  <c r="I19" i="18"/>
  <c r="I10" i="18"/>
  <c r="I21" i="18"/>
  <c r="I29" i="18"/>
  <c r="I6" i="18"/>
  <c r="I24" i="18"/>
  <c r="I15" i="18"/>
  <c r="I35" i="18"/>
  <c r="I25" i="18"/>
  <c r="I7" i="18"/>
  <c r="I18" i="18"/>
  <c r="I17" i="18"/>
  <c r="I22" i="18"/>
  <c r="I26" i="18"/>
  <c r="I12" i="18"/>
  <c r="I13" i="18"/>
  <c r="I33" i="18"/>
  <c r="I38" i="18"/>
  <c r="I41" i="18"/>
  <c r="I11" i="18"/>
  <c r="I5" i="18"/>
  <c r="I20" i="18"/>
  <c r="I16" i="18"/>
  <c r="I8" i="18"/>
  <c r="I27" i="18"/>
  <c r="I14" i="18"/>
  <c r="I9" i="18"/>
  <c r="I30" i="18"/>
  <c r="I23" i="18"/>
  <c r="I32" i="18"/>
  <c r="I31" i="18"/>
  <c r="I37" i="18"/>
  <c r="I34" i="18"/>
  <c r="I40" i="18"/>
  <c r="I39" i="18"/>
  <c r="I42" i="18"/>
  <c r="I43" i="18"/>
  <c r="I28" i="18"/>
  <c r="H47" i="18"/>
  <c r="E47" i="5"/>
  <c r="F47" i="5"/>
  <c r="G47" i="5"/>
  <c r="H47" i="5"/>
  <c r="I47" i="5"/>
  <c r="J47" i="5"/>
  <c r="K47" i="5"/>
  <c r="L47" i="5"/>
  <c r="M47" i="5"/>
  <c r="N47" i="5"/>
  <c r="O47" i="5"/>
  <c r="D47" i="5"/>
  <c r="E46" i="5"/>
  <c r="F46" i="5"/>
  <c r="G46" i="5"/>
  <c r="H46" i="5"/>
  <c r="I46" i="5"/>
  <c r="J46" i="5"/>
  <c r="K46" i="5"/>
  <c r="L46" i="5"/>
  <c r="M46" i="5"/>
  <c r="N46" i="5"/>
  <c r="O46" i="5"/>
  <c r="D46" i="5"/>
  <c r="E45" i="5"/>
  <c r="F45" i="5"/>
  <c r="G45" i="5"/>
  <c r="H45" i="5"/>
  <c r="I45" i="5"/>
  <c r="J45" i="5"/>
  <c r="K45" i="5"/>
  <c r="L45" i="5"/>
  <c r="M45" i="5"/>
  <c r="N45" i="5"/>
  <c r="O45" i="5"/>
  <c r="D45" i="5"/>
  <c r="E44" i="5"/>
  <c r="F44" i="5"/>
  <c r="G44" i="5"/>
  <c r="H44" i="5"/>
  <c r="I44" i="5"/>
  <c r="J44" i="5"/>
  <c r="K44" i="5"/>
  <c r="L44" i="5"/>
  <c r="M44" i="5"/>
  <c r="N44" i="5"/>
  <c r="O44" i="5"/>
  <c r="D44" i="5"/>
  <c r="E43" i="5"/>
  <c r="F43" i="5"/>
  <c r="G43" i="5"/>
  <c r="H43" i="5"/>
  <c r="I43" i="5"/>
  <c r="J43" i="5"/>
  <c r="K43" i="5"/>
  <c r="L43" i="5"/>
  <c r="M43" i="5"/>
  <c r="N43" i="5"/>
  <c r="O43" i="5"/>
  <c r="D43" i="5"/>
  <c r="P37" i="5"/>
  <c r="P29" i="5"/>
  <c r="P15" i="5"/>
  <c r="P21" i="5"/>
  <c r="P27" i="5"/>
  <c r="P7" i="5"/>
  <c r="P18" i="5"/>
  <c r="P14" i="5"/>
  <c r="P42" i="5"/>
  <c r="P17" i="5"/>
  <c r="P8" i="5"/>
  <c r="P23" i="5"/>
  <c r="P13" i="5"/>
  <c r="P24" i="5"/>
  <c r="P25" i="5"/>
  <c r="P19" i="5"/>
  <c r="P20" i="5"/>
  <c r="P35" i="5"/>
  <c r="P31" i="5"/>
  <c r="P41" i="5"/>
  <c r="P11" i="5"/>
  <c r="P5" i="5"/>
  <c r="P16" i="5"/>
  <c r="P10" i="5"/>
  <c r="P9" i="5"/>
  <c r="P28" i="5"/>
  <c r="P12" i="5"/>
  <c r="P6" i="5"/>
  <c r="P32" i="5"/>
  <c r="P22" i="5"/>
  <c r="P30" i="5"/>
  <c r="P33" i="5"/>
  <c r="P38" i="5"/>
  <c r="P36" i="5"/>
  <c r="P39" i="5"/>
  <c r="P34" i="5"/>
  <c r="P40" i="5"/>
  <c r="P26" i="5"/>
  <c r="P46" i="5" l="1"/>
  <c r="P43" i="5"/>
  <c r="P47" i="5"/>
  <c r="P44" i="5"/>
  <c r="P45" i="5"/>
  <c r="I47" i="18"/>
  <c r="F61" i="10"/>
  <c r="G61" i="10"/>
  <c r="H61" i="10"/>
  <c r="I61" i="10"/>
  <c r="J61" i="10"/>
  <c r="K61" i="10"/>
  <c r="L61" i="10"/>
  <c r="M61" i="10"/>
  <c r="N61" i="10"/>
  <c r="O61" i="10"/>
  <c r="F60" i="10"/>
  <c r="G60" i="10"/>
  <c r="H60" i="10"/>
  <c r="I60" i="10"/>
  <c r="J60" i="10"/>
  <c r="K60" i="10"/>
  <c r="L60" i="10"/>
  <c r="M60" i="10"/>
  <c r="N60" i="10"/>
  <c r="O60" i="10"/>
  <c r="F59" i="10"/>
  <c r="G59" i="10"/>
  <c r="H59" i="10"/>
  <c r="I59" i="10"/>
  <c r="J59" i="10"/>
  <c r="K59" i="10"/>
  <c r="L59" i="10"/>
  <c r="M59" i="10"/>
  <c r="N59" i="10"/>
  <c r="O59" i="10"/>
  <c r="F58" i="10"/>
  <c r="G58" i="10"/>
  <c r="H58" i="10"/>
  <c r="I58" i="10"/>
  <c r="J58" i="10"/>
  <c r="K58" i="10"/>
  <c r="L58" i="10"/>
  <c r="M58" i="10"/>
  <c r="N58" i="10"/>
  <c r="O58" i="10"/>
  <c r="F57" i="10"/>
  <c r="G57" i="10"/>
  <c r="H57" i="10"/>
  <c r="I57" i="10"/>
  <c r="J57" i="10"/>
  <c r="K57" i="10"/>
  <c r="L57" i="10"/>
  <c r="M57" i="10"/>
  <c r="N57" i="10"/>
  <c r="O57" i="10"/>
  <c r="E48" i="18"/>
  <c r="F48" i="18"/>
  <c r="G48" i="18"/>
  <c r="H48" i="18"/>
  <c r="I48" i="18"/>
  <c r="D48" i="18"/>
  <c r="E47" i="18"/>
  <c r="F47" i="18"/>
  <c r="G47" i="18"/>
  <c r="D47" i="18"/>
  <c r="E46" i="18"/>
  <c r="F46" i="18"/>
  <c r="G46" i="18"/>
  <c r="H46" i="18"/>
  <c r="I46" i="18"/>
  <c r="D46" i="18"/>
  <c r="E45" i="18"/>
  <c r="F45" i="18"/>
  <c r="G45" i="18"/>
  <c r="H45" i="18"/>
  <c r="I45" i="18"/>
  <c r="D45" i="18"/>
  <c r="E44" i="18"/>
  <c r="F44" i="18"/>
  <c r="G44" i="18"/>
  <c r="H44" i="18"/>
  <c r="I44" i="18"/>
  <c r="D44" i="18"/>
  <c r="P6" i="10"/>
  <c r="P9" i="10"/>
  <c r="P26" i="10"/>
  <c r="P12" i="10"/>
  <c r="P29" i="10"/>
  <c r="P21" i="10"/>
  <c r="P8" i="10"/>
  <c r="P7" i="10"/>
  <c r="P52" i="10"/>
  <c r="P18" i="10"/>
  <c r="P10" i="10"/>
  <c r="P16" i="10"/>
  <c r="P35" i="10"/>
  <c r="P13" i="10"/>
  <c r="P22" i="10"/>
  <c r="P23" i="10"/>
  <c r="P36" i="10"/>
  <c r="P39" i="10"/>
  <c r="P37" i="10"/>
  <c r="P19" i="10"/>
  <c r="P31" i="10"/>
  <c r="P24" i="10"/>
  <c r="P17" i="10"/>
  <c r="P30" i="10"/>
  <c r="P42" i="10"/>
  <c r="P14" i="10"/>
  <c r="P15" i="10"/>
  <c r="P28" i="10"/>
  <c r="P11" i="10"/>
  <c r="P33" i="10"/>
  <c r="P34" i="10"/>
  <c r="P45" i="10"/>
  <c r="P43" i="10"/>
  <c r="P32" i="10"/>
  <c r="P25" i="10"/>
  <c r="P46" i="10"/>
  <c r="P47" i="10"/>
  <c r="P50" i="10"/>
  <c r="P44" i="10"/>
  <c r="P27" i="10"/>
  <c r="P53" i="10"/>
  <c r="P56" i="10"/>
  <c r="P41" i="10"/>
  <c r="P54" i="10"/>
  <c r="P38" i="10"/>
  <c r="P55" i="10"/>
  <c r="P49" i="10"/>
  <c r="P40" i="10"/>
  <c r="P48" i="10"/>
  <c r="P51" i="10"/>
  <c r="E63" i="9"/>
  <c r="F63" i="9"/>
  <c r="G63" i="9"/>
  <c r="H63" i="9"/>
  <c r="I63" i="9"/>
  <c r="J63" i="9"/>
  <c r="K63" i="9"/>
  <c r="L63" i="9"/>
  <c r="M63" i="9"/>
  <c r="N63" i="9"/>
  <c r="O63" i="9"/>
  <c r="D63" i="9"/>
  <c r="E62" i="9"/>
  <c r="F62" i="9"/>
  <c r="G62" i="9"/>
  <c r="H62" i="9"/>
  <c r="I62" i="9"/>
  <c r="J62" i="9"/>
  <c r="K62" i="9"/>
  <c r="L62" i="9"/>
  <c r="M62" i="9"/>
  <c r="N62" i="9"/>
  <c r="O62" i="9"/>
  <c r="D62" i="9"/>
  <c r="E61" i="9"/>
  <c r="F61" i="9"/>
  <c r="G61" i="9"/>
  <c r="H61" i="9"/>
  <c r="I61" i="9"/>
  <c r="J61" i="9"/>
  <c r="K61" i="9"/>
  <c r="L61" i="9"/>
  <c r="M61" i="9"/>
  <c r="N61" i="9"/>
  <c r="O61" i="9"/>
  <c r="D61" i="9"/>
  <c r="E60" i="9"/>
  <c r="F60" i="9"/>
  <c r="G60" i="9"/>
  <c r="H60" i="9"/>
  <c r="I60" i="9"/>
  <c r="J60" i="9"/>
  <c r="K60" i="9"/>
  <c r="L60" i="9"/>
  <c r="M60" i="9"/>
  <c r="N60" i="9"/>
  <c r="O60" i="9"/>
  <c r="D60" i="9"/>
  <c r="E59" i="9"/>
  <c r="F59" i="9"/>
  <c r="G59" i="9"/>
  <c r="H59" i="9"/>
  <c r="I59" i="9"/>
  <c r="J59" i="9"/>
  <c r="K59" i="9"/>
  <c r="L59" i="9"/>
  <c r="M59" i="9"/>
  <c r="N59" i="9"/>
  <c r="O59" i="9"/>
  <c r="D59" i="9"/>
  <c r="E47" i="4"/>
  <c r="F47" i="4"/>
  <c r="G47" i="4"/>
  <c r="H47" i="4"/>
  <c r="I47" i="4"/>
  <c r="J47" i="4"/>
  <c r="K47" i="4"/>
  <c r="L47" i="4"/>
  <c r="M47" i="4"/>
  <c r="N47" i="4"/>
  <c r="O47" i="4"/>
  <c r="D47" i="4"/>
  <c r="E46" i="4"/>
  <c r="F46" i="4"/>
  <c r="G46" i="4"/>
  <c r="H46" i="4"/>
  <c r="I46" i="4"/>
  <c r="J46" i="4"/>
  <c r="K46" i="4"/>
  <c r="L46" i="4"/>
  <c r="M46" i="4"/>
  <c r="N46" i="4"/>
  <c r="O46" i="4"/>
  <c r="D46" i="4"/>
  <c r="E45" i="4"/>
  <c r="F45" i="4"/>
  <c r="G45" i="4"/>
  <c r="H45" i="4"/>
  <c r="I45" i="4"/>
  <c r="J45" i="4"/>
  <c r="K45" i="4"/>
  <c r="L45" i="4"/>
  <c r="M45" i="4"/>
  <c r="N45" i="4"/>
  <c r="O45" i="4"/>
  <c r="D45" i="4"/>
  <c r="E44" i="4"/>
  <c r="F44" i="4"/>
  <c r="G44" i="4"/>
  <c r="H44" i="4"/>
  <c r="I44" i="4"/>
  <c r="J44" i="4"/>
  <c r="K44" i="4"/>
  <c r="L44" i="4"/>
  <c r="M44" i="4"/>
  <c r="N44" i="4"/>
  <c r="O44" i="4"/>
  <c r="D44" i="4"/>
  <c r="E43" i="4"/>
  <c r="F43" i="4"/>
  <c r="G43" i="4"/>
  <c r="H43" i="4"/>
  <c r="I43" i="4"/>
  <c r="J43" i="4"/>
  <c r="K43" i="4"/>
  <c r="L43" i="4"/>
  <c r="M43" i="4"/>
  <c r="N43" i="4"/>
  <c r="O43" i="4"/>
  <c r="D43" i="4"/>
  <c r="P36" i="4"/>
  <c r="P28" i="4"/>
  <c r="P13" i="4"/>
  <c r="P24" i="4"/>
  <c r="P23" i="4"/>
  <c r="P6" i="4"/>
  <c r="P20" i="4"/>
  <c r="P14" i="4"/>
  <c r="P33" i="4"/>
  <c r="P18" i="4"/>
  <c r="P8" i="4"/>
  <c r="P19" i="4"/>
  <c r="P12" i="4"/>
  <c r="P26" i="4"/>
  <c r="P27" i="4"/>
  <c r="P16" i="4"/>
  <c r="P21" i="4"/>
  <c r="P32" i="4"/>
  <c r="P35" i="4"/>
  <c r="P42" i="4"/>
  <c r="P10" i="4"/>
  <c r="P5" i="4"/>
  <c r="P17" i="4"/>
  <c r="P15" i="4"/>
  <c r="P9" i="4"/>
  <c r="P25" i="4"/>
  <c r="P11" i="4"/>
  <c r="P7" i="4"/>
  <c r="P30" i="4"/>
  <c r="P22" i="4"/>
  <c r="P34" i="4"/>
  <c r="P37" i="4"/>
  <c r="P38" i="4"/>
  <c r="P31" i="4"/>
  <c r="P40" i="4"/>
  <c r="P39" i="4"/>
  <c r="P41" i="4"/>
  <c r="P29" i="4"/>
  <c r="P47" i="4" l="1"/>
  <c r="P44" i="4"/>
  <c r="P45" i="4"/>
  <c r="P46" i="4"/>
  <c r="P43" i="4"/>
  <c r="E47" i="3"/>
  <c r="F47" i="3"/>
  <c r="G47" i="3"/>
  <c r="H47" i="3"/>
  <c r="I47" i="3"/>
  <c r="J47" i="3"/>
  <c r="K47" i="3"/>
  <c r="L47" i="3"/>
  <c r="M47" i="3"/>
  <c r="N47" i="3"/>
  <c r="O47" i="3"/>
  <c r="D47" i="3"/>
  <c r="E46" i="3"/>
  <c r="F46" i="3"/>
  <c r="G46" i="3"/>
  <c r="H46" i="3"/>
  <c r="I46" i="3"/>
  <c r="J46" i="3"/>
  <c r="K46" i="3"/>
  <c r="L46" i="3"/>
  <c r="M46" i="3"/>
  <c r="N46" i="3"/>
  <c r="O46" i="3"/>
  <c r="D46" i="3"/>
  <c r="E45" i="3"/>
  <c r="F45" i="3"/>
  <c r="G45" i="3"/>
  <c r="H45" i="3"/>
  <c r="I45" i="3"/>
  <c r="J45" i="3"/>
  <c r="K45" i="3"/>
  <c r="L45" i="3"/>
  <c r="M45" i="3"/>
  <c r="N45" i="3"/>
  <c r="O45" i="3"/>
  <c r="D45" i="3"/>
  <c r="E44" i="3"/>
  <c r="F44" i="3"/>
  <c r="G44" i="3"/>
  <c r="H44" i="3"/>
  <c r="I44" i="3"/>
  <c r="J44" i="3"/>
  <c r="K44" i="3"/>
  <c r="L44" i="3"/>
  <c r="M44" i="3"/>
  <c r="N44" i="3"/>
  <c r="O44" i="3"/>
  <c r="D44" i="3"/>
  <c r="E43" i="3"/>
  <c r="F43" i="3"/>
  <c r="G43" i="3"/>
  <c r="H43" i="3"/>
  <c r="I43" i="3"/>
  <c r="J43" i="3"/>
  <c r="K43" i="3"/>
  <c r="L43" i="3"/>
  <c r="M43" i="3"/>
  <c r="N43" i="3"/>
  <c r="O43" i="3"/>
  <c r="D43" i="3"/>
  <c r="P32" i="3"/>
  <c r="P26" i="3"/>
  <c r="P11" i="3"/>
  <c r="P21" i="3"/>
  <c r="P28" i="3"/>
  <c r="P6" i="3"/>
  <c r="P22" i="3"/>
  <c r="P14" i="3"/>
  <c r="P34" i="3"/>
  <c r="P20" i="3"/>
  <c r="P7" i="3"/>
  <c r="P18" i="3"/>
  <c r="P12" i="3"/>
  <c r="P24" i="3"/>
  <c r="P29" i="3"/>
  <c r="P15" i="3"/>
  <c r="P19" i="3"/>
  <c r="P40" i="3"/>
  <c r="P35" i="3"/>
  <c r="P42" i="3"/>
  <c r="P10" i="3"/>
  <c r="P5" i="3"/>
  <c r="P17" i="3"/>
  <c r="P16" i="3"/>
  <c r="P9" i="3"/>
  <c r="P23" i="3"/>
  <c r="P13" i="3"/>
  <c r="P8" i="3"/>
  <c r="P30" i="3"/>
  <c r="P25" i="3"/>
  <c r="P33" i="3"/>
  <c r="P31" i="3"/>
  <c r="P38" i="3"/>
  <c r="P36" i="3"/>
  <c r="P39" i="3"/>
  <c r="P37" i="3"/>
  <c r="P41" i="3"/>
  <c r="P27" i="3"/>
  <c r="E57" i="8"/>
  <c r="F57" i="8"/>
  <c r="I57" i="8"/>
  <c r="J57" i="8"/>
  <c r="K57" i="8"/>
  <c r="L57" i="8"/>
  <c r="M57" i="8"/>
  <c r="N57" i="8"/>
  <c r="O57" i="8"/>
  <c r="D57" i="8"/>
  <c r="E56" i="8"/>
  <c r="F56" i="8"/>
  <c r="I56" i="8"/>
  <c r="J56" i="8"/>
  <c r="K56" i="8"/>
  <c r="L56" i="8"/>
  <c r="M56" i="8"/>
  <c r="N56" i="8"/>
  <c r="O56" i="8"/>
  <c r="D56" i="8"/>
  <c r="E55" i="8"/>
  <c r="F55" i="8"/>
  <c r="I55" i="8"/>
  <c r="J55" i="8"/>
  <c r="K55" i="8"/>
  <c r="L55" i="8"/>
  <c r="M55" i="8"/>
  <c r="N55" i="8"/>
  <c r="O55" i="8"/>
  <c r="D55" i="8"/>
  <c r="E54" i="8"/>
  <c r="F54" i="8"/>
  <c r="I54" i="8"/>
  <c r="J54" i="8"/>
  <c r="K54" i="8"/>
  <c r="L54" i="8"/>
  <c r="M54" i="8"/>
  <c r="N54" i="8"/>
  <c r="O54" i="8"/>
  <c r="D54" i="8"/>
  <c r="E53" i="8"/>
  <c r="F53" i="8"/>
  <c r="I53" i="8"/>
  <c r="J53" i="8"/>
  <c r="K53" i="8"/>
  <c r="L53" i="8"/>
  <c r="M53" i="8"/>
  <c r="N53" i="8"/>
  <c r="O53" i="8"/>
  <c r="D53" i="8"/>
  <c r="P17" i="8"/>
  <c r="P6" i="8"/>
  <c r="P8" i="8"/>
  <c r="P11" i="8"/>
  <c r="P13" i="8"/>
  <c r="P16" i="8"/>
  <c r="P7" i="8"/>
  <c r="P9" i="8"/>
  <c r="P26" i="8"/>
  <c r="P21" i="8"/>
  <c r="P23" i="8"/>
  <c r="P37" i="8"/>
  <c r="P34" i="8"/>
  <c r="P20" i="8"/>
  <c r="P25" i="8"/>
  <c r="P30" i="8"/>
  <c r="P29" i="8"/>
  <c r="P18" i="8"/>
  <c r="P14" i="8"/>
  <c r="P19" i="8"/>
  <c r="P24" i="8"/>
  <c r="P42" i="8"/>
  <c r="P15" i="8"/>
  <c r="P27" i="8"/>
  <c r="P32" i="8"/>
  <c r="P33" i="8"/>
  <c r="P36" i="8"/>
  <c r="P39" i="8"/>
  <c r="P41" i="8"/>
  <c r="P31" i="8"/>
  <c r="P28" i="8"/>
  <c r="P38" i="8"/>
  <c r="P49" i="8"/>
  <c r="P40" i="8"/>
  <c r="P46" i="8"/>
  <c r="P35" i="8"/>
  <c r="P44" i="8"/>
  <c r="P45" i="8"/>
  <c r="P10" i="8"/>
  <c r="P43" i="8"/>
  <c r="P51" i="8"/>
  <c r="P50" i="8"/>
  <c r="P48" i="8"/>
  <c r="P52" i="8"/>
  <c r="P47" i="8"/>
  <c r="P5" i="8"/>
  <c r="E49" i="12"/>
  <c r="F49" i="12"/>
  <c r="G49" i="12"/>
  <c r="H49" i="12"/>
  <c r="I49" i="12"/>
  <c r="J49" i="12"/>
  <c r="K49" i="12"/>
  <c r="L49" i="12"/>
  <c r="N49" i="12"/>
  <c r="O49" i="12"/>
  <c r="D49" i="12"/>
  <c r="E48" i="12"/>
  <c r="F48" i="12"/>
  <c r="G48" i="12"/>
  <c r="H48" i="12"/>
  <c r="I48" i="12"/>
  <c r="J48" i="12"/>
  <c r="K48" i="12"/>
  <c r="L48" i="12"/>
  <c r="N48" i="12"/>
  <c r="O48" i="12"/>
  <c r="D48" i="12"/>
  <c r="E47" i="12"/>
  <c r="F47" i="12"/>
  <c r="G47" i="12"/>
  <c r="H47" i="12"/>
  <c r="I47" i="12"/>
  <c r="J47" i="12"/>
  <c r="K47" i="12"/>
  <c r="L47" i="12"/>
  <c r="N47" i="12"/>
  <c r="O47" i="12"/>
  <c r="D47" i="12"/>
  <c r="E46" i="12"/>
  <c r="F46" i="12"/>
  <c r="G46" i="12"/>
  <c r="H46" i="12"/>
  <c r="I46" i="12"/>
  <c r="J46" i="12"/>
  <c r="K46" i="12"/>
  <c r="L46" i="12"/>
  <c r="N46" i="12"/>
  <c r="O46" i="12"/>
  <c r="D46" i="12"/>
  <c r="E45" i="12"/>
  <c r="F45" i="12"/>
  <c r="G45" i="12"/>
  <c r="H45" i="12"/>
  <c r="I45" i="12"/>
  <c r="J45" i="12"/>
  <c r="K45" i="12"/>
  <c r="L45" i="12"/>
  <c r="N45" i="12"/>
  <c r="O45" i="12"/>
  <c r="D45" i="12"/>
  <c r="E45" i="2"/>
  <c r="F45" i="2"/>
  <c r="G45" i="2"/>
  <c r="H45" i="2"/>
  <c r="I45" i="2"/>
  <c r="J45" i="2"/>
  <c r="K45" i="2"/>
  <c r="L45" i="2"/>
  <c r="M45" i="2"/>
  <c r="N45" i="2"/>
  <c r="O45" i="2"/>
  <c r="D45" i="2"/>
  <c r="E44" i="2"/>
  <c r="F44" i="2"/>
  <c r="G44" i="2"/>
  <c r="H44" i="2"/>
  <c r="I44" i="2"/>
  <c r="J44" i="2"/>
  <c r="K44" i="2"/>
  <c r="L44" i="2"/>
  <c r="M44" i="2"/>
  <c r="N44" i="2"/>
  <c r="O44" i="2"/>
  <c r="D44" i="2"/>
  <c r="E43" i="2"/>
  <c r="F43" i="2"/>
  <c r="G43" i="2"/>
  <c r="H43" i="2"/>
  <c r="I43" i="2"/>
  <c r="J43" i="2"/>
  <c r="K43" i="2"/>
  <c r="L43" i="2"/>
  <c r="M43" i="2"/>
  <c r="N43" i="2"/>
  <c r="O43" i="2"/>
  <c r="D43" i="2"/>
  <c r="E42" i="2"/>
  <c r="F42" i="2"/>
  <c r="G42" i="2"/>
  <c r="H42" i="2"/>
  <c r="I42" i="2"/>
  <c r="J42" i="2"/>
  <c r="K42" i="2"/>
  <c r="L42" i="2"/>
  <c r="M42" i="2"/>
  <c r="N42" i="2"/>
  <c r="O42" i="2"/>
  <c r="D42" i="2"/>
  <c r="E41" i="2"/>
  <c r="F41" i="2"/>
  <c r="G41" i="2"/>
  <c r="H41" i="2"/>
  <c r="I41" i="2"/>
  <c r="J41" i="2"/>
  <c r="K41" i="2"/>
  <c r="L41" i="2"/>
  <c r="M41" i="2"/>
  <c r="N41" i="2"/>
  <c r="O41" i="2"/>
  <c r="D41" i="2"/>
  <c r="E42" i="13"/>
  <c r="F42" i="13"/>
  <c r="G42" i="13"/>
  <c r="H42" i="13"/>
  <c r="I42" i="13"/>
  <c r="J42" i="13"/>
  <c r="K42" i="13"/>
  <c r="L42" i="13"/>
  <c r="M42" i="13"/>
  <c r="N42" i="13"/>
  <c r="O42" i="13"/>
  <c r="D42" i="13"/>
  <c r="E41" i="13"/>
  <c r="F41" i="13"/>
  <c r="G41" i="13"/>
  <c r="H41" i="13"/>
  <c r="I41" i="13"/>
  <c r="J41" i="13"/>
  <c r="K41" i="13"/>
  <c r="L41" i="13"/>
  <c r="M41" i="13"/>
  <c r="N41" i="13"/>
  <c r="O41" i="13"/>
  <c r="D41" i="13"/>
  <c r="E40" i="13"/>
  <c r="F40" i="13"/>
  <c r="G40" i="13"/>
  <c r="H40" i="13"/>
  <c r="I40" i="13"/>
  <c r="J40" i="13"/>
  <c r="K40" i="13"/>
  <c r="L40" i="13"/>
  <c r="M40" i="13"/>
  <c r="N40" i="13"/>
  <c r="O40" i="13"/>
  <c r="D40" i="13"/>
  <c r="E39" i="13"/>
  <c r="F39" i="13"/>
  <c r="G39" i="13"/>
  <c r="H39" i="13"/>
  <c r="I39" i="13"/>
  <c r="J39" i="13"/>
  <c r="K39" i="13"/>
  <c r="L39" i="13"/>
  <c r="M39" i="13"/>
  <c r="N39" i="13"/>
  <c r="O39" i="13"/>
  <c r="D39" i="13"/>
  <c r="E38" i="13"/>
  <c r="F38" i="13"/>
  <c r="G38" i="13"/>
  <c r="H38" i="13"/>
  <c r="I38" i="13"/>
  <c r="J38" i="13"/>
  <c r="K38" i="13"/>
  <c r="L38" i="13"/>
  <c r="M38" i="13"/>
  <c r="N38" i="13"/>
  <c r="O38" i="13"/>
  <c r="D38" i="13"/>
  <c r="P38" i="2"/>
  <c r="P39" i="2"/>
  <c r="P33" i="2"/>
  <c r="P35" i="2"/>
  <c r="P30" i="2"/>
  <c r="P32" i="2"/>
  <c r="P19" i="2"/>
  <c r="P31" i="2"/>
  <c r="P13" i="2"/>
  <c r="P17" i="2"/>
  <c r="P28" i="2"/>
  <c r="P12" i="2"/>
  <c r="P23" i="2"/>
  <c r="P25" i="2"/>
  <c r="P5" i="2"/>
  <c r="P11" i="2"/>
  <c r="P40" i="2"/>
  <c r="P37" i="2"/>
  <c r="P9" i="2"/>
  <c r="P10" i="2"/>
  <c r="P18" i="2"/>
  <c r="P14" i="2"/>
  <c r="P21" i="2"/>
  <c r="P20" i="2"/>
  <c r="P8" i="2"/>
  <c r="P26" i="2"/>
  <c r="P34" i="2"/>
  <c r="P16" i="2"/>
  <c r="P24" i="2"/>
  <c r="P6" i="2"/>
  <c r="P29" i="2"/>
  <c r="P22" i="2"/>
  <c r="P7" i="2"/>
  <c r="P15" i="2"/>
  <c r="P36" i="2"/>
  <c r="P27" i="2"/>
  <c r="P6" i="13"/>
  <c r="P8" i="13"/>
  <c r="P11" i="13"/>
  <c r="P13" i="13"/>
  <c r="P14" i="13"/>
  <c r="P12" i="13"/>
  <c r="P7" i="13"/>
  <c r="P18" i="13"/>
  <c r="P30" i="13"/>
  <c r="P10" i="13"/>
  <c r="P15" i="13"/>
  <c r="P20" i="13"/>
  <c r="P21" i="13"/>
  <c r="P24" i="13"/>
  <c r="P22" i="13"/>
  <c r="P27" i="13"/>
  <c r="P34" i="13"/>
  <c r="P16" i="13"/>
  <c r="P19" i="13"/>
  <c r="P25" i="13"/>
  <c r="P26" i="13"/>
  <c r="P35" i="13"/>
  <c r="P29" i="13"/>
  <c r="P31" i="13"/>
  <c r="P28" i="13"/>
  <c r="P33" i="13"/>
  <c r="P32" i="13"/>
  <c r="P9" i="13"/>
  <c r="P17" i="13"/>
  <c r="P36" i="13"/>
  <c r="P39" i="13" s="1"/>
  <c r="P23" i="13"/>
  <c r="P37" i="13"/>
  <c r="P5" i="13"/>
  <c r="P44" i="2" l="1"/>
  <c r="P41" i="2"/>
  <c r="P45" i="2"/>
  <c r="P42" i="2"/>
  <c r="P43" i="2"/>
  <c r="P41" i="13"/>
  <c r="P42" i="13"/>
  <c r="P40" i="13"/>
  <c r="P47" i="3"/>
  <c r="P46" i="3"/>
  <c r="P44" i="3"/>
  <c r="P43" i="3"/>
  <c r="P45" i="3"/>
  <c r="P38" i="13"/>
  <c r="E78" i="16"/>
  <c r="G78" i="16"/>
  <c r="H78" i="16"/>
  <c r="E79" i="16"/>
  <c r="G79" i="16"/>
  <c r="H79" i="16"/>
  <c r="E80" i="16"/>
  <c r="G80" i="16"/>
  <c r="H80" i="16"/>
  <c r="E81" i="16"/>
  <c r="G81" i="16"/>
  <c r="H81" i="16"/>
  <c r="D81" i="16"/>
  <c r="D80" i="16"/>
  <c r="D79" i="16"/>
  <c r="D78" i="16"/>
  <c r="E77" i="16"/>
  <c r="G77" i="16"/>
  <c r="H77" i="16"/>
  <c r="D77" i="16"/>
  <c r="I5" i="16"/>
  <c r="I7" i="16"/>
  <c r="I22" i="16"/>
  <c r="I11" i="16"/>
  <c r="I10" i="16"/>
  <c r="I13" i="16"/>
  <c r="I6" i="16"/>
  <c r="I8" i="16"/>
  <c r="I24" i="16"/>
  <c r="I20" i="16"/>
  <c r="I14" i="16"/>
  <c r="I27" i="16"/>
  <c r="I23" i="16"/>
  <c r="I21" i="16"/>
  <c r="I32" i="16"/>
  <c r="I38" i="16"/>
  <c r="I42" i="16"/>
  <c r="I43" i="16"/>
  <c r="I47" i="16"/>
  <c r="I56" i="16"/>
  <c r="I54" i="16"/>
  <c r="I29" i="16"/>
  <c r="I17" i="16"/>
  <c r="I15" i="16"/>
  <c r="I19" i="16"/>
  <c r="I26" i="16"/>
  <c r="I45" i="16"/>
  <c r="I18" i="16"/>
  <c r="I28" i="16"/>
  <c r="I37" i="16"/>
  <c r="I25" i="16"/>
  <c r="I40" i="16"/>
  <c r="I41" i="16"/>
  <c r="I52" i="16"/>
  <c r="I49" i="16"/>
  <c r="I36" i="16"/>
  <c r="I35" i="16"/>
  <c r="I46" i="16"/>
  <c r="I55" i="16"/>
  <c r="I44" i="16"/>
  <c r="I48" i="16"/>
  <c r="I33" i="16"/>
  <c r="I75" i="16"/>
  <c r="I70" i="16"/>
  <c r="I76" i="16"/>
  <c r="I65" i="16"/>
  <c r="I53" i="16"/>
  <c r="I61" i="16"/>
  <c r="I63" i="16"/>
  <c r="I64" i="16"/>
  <c r="I51" i="16"/>
  <c r="I71" i="16"/>
  <c r="I50" i="16"/>
  <c r="I57" i="16"/>
  <c r="I68" i="16"/>
  <c r="I58" i="16"/>
  <c r="I67" i="16"/>
  <c r="I69" i="16"/>
  <c r="I9" i="16"/>
  <c r="I39" i="16"/>
  <c r="I72" i="16"/>
  <c r="I62" i="16"/>
  <c r="I59" i="16"/>
  <c r="I73" i="16"/>
  <c r="I34" i="16"/>
  <c r="I74" i="16"/>
  <c r="I30" i="16"/>
  <c r="I4" i="16"/>
  <c r="F66" i="16" l="1"/>
  <c r="I66" i="16" s="1"/>
  <c r="F60" i="16"/>
  <c r="I60" i="16" s="1"/>
  <c r="F31" i="16"/>
  <c r="I31" i="16" s="1"/>
  <c r="F12" i="16"/>
  <c r="H12" i="8"/>
  <c r="F79" i="16" l="1"/>
  <c r="I12" i="16"/>
  <c r="H57" i="8"/>
  <c r="H56" i="8"/>
  <c r="H55" i="8"/>
  <c r="H53" i="8"/>
  <c r="H54" i="8"/>
  <c r="P12" i="8"/>
  <c r="F16" i="16"/>
  <c r="I16" i="16" s="1"/>
  <c r="G22" i="8"/>
  <c r="F78" i="16" l="1"/>
  <c r="F81" i="16"/>
  <c r="I81" i="16"/>
  <c r="I79" i="16"/>
  <c r="I80" i="16"/>
  <c r="I77" i="16"/>
  <c r="I78" i="16"/>
  <c r="F77" i="16"/>
  <c r="F80" i="16"/>
  <c r="G57" i="8"/>
  <c r="G56" i="8"/>
  <c r="G55" i="8"/>
  <c r="P22" i="8"/>
  <c r="G54" i="8"/>
  <c r="G53" i="8"/>
  <c r="P42" i="12"/>
  <c r="P29" i="12"/>
  <c r="P41" i="12"/>
  <c r="P37" i="12"/>
  <c r="P44" i="12"/>
  <c r="P32" i="12"/>
  <c r="P28" i="12"/>
  <c r="P39" i="12"/>
  <c r="P43" i="12"/>
  <c r="P26" i="12"/>
  <c r="P18" i="12"/>
  <c r="P15" i="12"/>
  <c r="P30" i="12"/>
  <c r="P33" i="12"/>
  <c r="P40" i="12"/>
  <c r="P38" i="12"/>
  <c r="P27" i="12"/>
  <c r="P17" i="12"/>
  <c r="P31" i="12"/>
  <c r="P20" i="12"/>
  <c r="P19" i="12"/>
  <c r="P21" i="12"/>
  <c r="P11" i="12"/>
  <c r="P36" i="12"/>
  <c r="P25" i="12"/>
  <c r="P13" i="12"/>
  <c r="P23" i="12"/>
  <c r="P7" i="12"/>
  <c r="P14" i="12"/>
  <c r="P12" i="12"/>
  <c r="P34" i="12"/>
  <c r="P22" i="12"/>
  <c r="P16" i="12"/>
  <c r="P10" i="12"/>
  <c r="P8" i="12"/>
  <c r="P24" i="12"/>
  <c r="P35" i="12"/>
  <c r="M9" i="12"/>
  <c r="P6" i="12"/>
  <c r="P5" i="12"/>
  <c r="P54" i="8" l="1"/>
  <c r="P56" i="8"/>
  <c r="P53" i="8"/>
  <c r="P55" i="8"/>
  <c r="P57" i="8"/>
  <c r="P9" i="12"/>
  <c r="P48" i="12" s="1"/>
  <c r="M45" i="12"/>
  <c r="M49" i="12"/>
  <c r="M48" i="12"/>
  <c r="M47" i="12"/>
  <c r="M46" i="12"/>
  <c r="P46" i="12"/>
  <c r="P49" i="12"/>
  <c r="P57" i="9"/>
  <c r="P56" i="9"/>
  <c r="P55" i="9"/>
  <c r="P15" i="9"/>
  <c r="P53" i="9"/>
  <c r="P46" i="9"/>
  <c r="P36" i="9"/>
  <c r="P43" i="9"/>
  <c r="P52" i="9"/>
  <c r="P58" i="9"/>
  <c r="P21" i="9"/>
  <c r="P44" i="9"/>
  <c r="P54" i="9"/>
  <c r="P49" i="9"/>
  <c r="P48" i="9"/>
  <c r="P34" i="9"/>
  <c r="P45" i="9"/>
  <c r="P47" i="9"/>
  <c r="P40" i="9"/>
  <c r="P29" i="9"/>
  <c r="P30" i="9"/>
  <c r="P31" i="9"/>
  <c r="P25" i="9"/>
  <c r="P22" i="9"/>
  <c r="P13" i="9"/>
  <c r="P41" i="9"/>
  <c r="P28" i="9"/>
  <c r="P17" i="9"/>
  <c r="P19" i="9"/>
  <c r="P27" i="9"/>
  <c r="P32" i="9"/>
  <c r="P51" i="9"/>
  <c r="P39" i="9"/>
  <c r="P38" i="9"/>
  <c r="P35" i="9"/>
  <c r="P26" i="9"/>
  <c r="P20" i="9"/>
  <c r="P24" i="9"/>
  <c r="P33" i="9"/>
  <c r="P50" i="9"/>
  <c r="P12" i="9"/>
  <c r="P42" i="9"/>
  <c r="P14" i="9"/>
  <c r="P37" i="9"/>
  <c r="P7" i="9"/>
  <c r="P8" i="9"/>
  <c r="P18" i="9"/>
  <c r="P23" i="9"/>
  <c r="P11" i="9"/>
  <c r="P16" i="9"/>
  <c r="P10" i="9"/>
  <c r="P9" i="9"/>
  <c r="M6" i="9"/>
  <c r="L6" i="9"/>
  <c r="I6" i="9"/>
  <c r="G6" i="9"/>
  <c r="F6" i="9"/>
  <c r="E6" i="9"/>
  <c r="D6" i="9"/>
  <c r="I5" i="9"/>
  <c r="E5" i="9"/>
  <c r="D5" i="9"/>
  <c r="P47" i="12" l="1"/>
  <c r="P45" i="12"/>
  <c r="P6" i="9"/>
  <c r="P5" i="9"/>
  <c r="P61" i="9" l="1"/>
  <c r="P60" i="9"/>
  <c r="P63" i="9"/>
  <c r="P59" i="9"/>
  <c r="P62" i="9"/>
  <c r="D20" i="10"/>
  <c r="E5" i="10"/>
  <c r="D61" i="10" l="1"/>
  <c r="D60" i="10"/>
  <c r="D59" i="10"/>
  <c r="P20" i="10"/>
  <c r="D58" i="10"/>
  <c r="D57" i="10"/>
  <c r="E61" i="10"/>
  <c r="E57" i="10"/>
  <c r="E60" i="10"/>
  <c r="E59" i="10"/>
  <c r="P5" i="10"/>
  <c r="E58" i="10"/>
  <c r="P60" i="10" l="1"/>
  <c r="P59" i="10"/>
  <c r="P58" i="10"/>
  <c r="P61" i="10"/>
  <c r="P57" i="10"/>
</calcChain>
</file>

<file path=xl/comments1.xml><?xml version="1.0" encoding="utf-8"?>
<comments xmlns="http://schemas.openxmlformats.org/spreadsheetml/2006/main">
  <authors>
    <author>ASUS</author>
  </authors>
  <commentList>
    <comment ref="H12" authorId="0">
      <text>
        <r>
          <rPr>
            <b/>
            <sz val="11"/>
            <color indexed="81"/>
            <rFont val="Tahoma"/>
            <family val="2"/>
          </rPr>
          <t>300 လုံး ပိုနေ၍ နုတ်ထားပါသည်။</t>
        </r>
        <r>
          <rPr>
            <sz val="11"/>
            <color indexed="81"/>
            <rFont val="Tahoma"/>
            <family val="2"/>
          </rPr>
          <t xml:space="preserve">
</t>
        </r>
      </text>
    </comment>
    <comment ref="G22" authorId="0">
      <text>
        <r>
          <rPr>
            <b/>
            <sz val="10"/>
            <color indexed="81"/>
            <rFont val="Tahoma"/>
            <family val="2"/>
          </rPr>
          <t>75 လုံးလို၍ ထည့်ထားပါသည်။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37" authorId="0">
      <text>
        <r>
          <rPr>
            <b/>
            <sz val="11"/>
            <color indexed="81"/>
            <rFont val="Tahoma"/>
            <family val="2"/>
          </rPr>
          <t>300 လို၍ ထည့်ထားပါသည်။</t>
        </r>
        <r>
          <rPr>
            <sz val="11"/>
            <color indexed="81"/>
            <rFont val="Tahoma"/>
            <family val="2"/>
          </rPr>
          <t xml:space="preserve">
</t>
        </r>
      </text>
    </comment>
    <comment ref="E43" authorId="0">
      <text>
        <r>
          <rPr>
            <b/>
            <sz val="11"/>
            <color indexed="81"/>
            <rFont val="Tahoma"/>
            <family val="2"/>
          </rPr>
          <t>300 လုံးလို၍ ထည့်ထားပါသည်။</t>
        </r>
      </text>
    </comment>
    <comment ref="E51" authorId="0">
      <text>
        <r>
          <rPr>
            <b/>
            <sz val="11"/>
            <color indexed="81"/>
            <rFont val="Tahoma"/>
            <family val="2"/>
          </rPr>
          <t xml:space="preserve">300 ပိုနေ၍ နုတ်ထားပါသည်။
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D5" authorId="0">
      <text>
        <r>
          <rPr>
            <b/>
            <sz val="10"/>
            <color indexed="81"/>
            <rFont val="Pyidaungsu"/>
            <family val="2"/>
          </rPr>
          <t>B Tyre (3920) နုတ်ထားပါသည်။</t>
        </r>
      </text>
    </comment>
    <comment ref="E5" authorId="0">
      <text>
        <r>
          <rPr>
            <b/>
            <sz val="9"/>
            <color indexed="81"/>
            <rFont val="Pyidaungsu"/>
            <family val="2"/>
          </rPr>
          <t>B Tyre (3271) နုတ်ထားပါသည်။</t>
        </r>
      </text>
    </comment>
    <comment ref="I5" authorId="0">
      <text>
        <r>
          <rPr>
            <b/>
            <sz val="9"/>
            <color indexed="81"/>
            <rFont val="Pyidaungsu"/>
            <family val="2"/>
          </rPr>
          <t>B Tyre (2607) နုတ်ထားပါသည်။</t>
        </r>
      </text>
    </comment>
    <comment ref="D6" authorId="0">
      <text>
        <r>
          <rPr>
            <b/>
            <sz val="9"/>
            <color indexed="81"/>
            <rFont val="Pyidaungsu"/>
            <family val="2"/>
          </rPr>
          <t>B Tyre (3878) နုတ်ထားပါသည်။</t>
        </r>
      </text>
    </comment>
    <comment ref="E6" authorId="0">
      <text>
        <r>
          <rPr>
            <b/>
            <sz val="9"/>
            <color indexed="81"/>
            <rFont val="Pyidaungsu"/>
            <family val="2"/>
          </rPr>
          <t>B Tyre (1112) နုတ်ထားပါသည်။</t>
        </r>
      </text>
    </comment>
    <comment ref="G6" authorId="0">
      <text>
        <r>
          <rPr>
            <b/>
            <sz val="9"/>
            <color indexed="81"/>
            <rFont val="Pyidaungsu"/>
            <family val="2"/>
          </rPr>
          <t>B Tyre (1368) နုတ်ထားပါသည်။</t>
        </r>
      </text>
    </comment>
    <comment ref="I6" authorId="0">
      <text>
        <r>
          <rPr>
            <b/>
            <sz val="9"/>
            <color indexed="81"/>
            <rFont val="Pyidaungsu"/>
            <family val="2"/>
          </rPr>
          <t>B Tyre (945) နုတ်ထားပါသည်။</t>
        </r>
      </text>
    </comment>
    <comment ref="L6" authorId="0">
      <text>
        <r>
          <rPr>
            <b/>
            <sz val="9"/>
            <color indexed="81"/>
            <rFont val="Pyidaungsu"/>
            <family val="2"/>
          </rPr>
          <t>B Tyre (1794) နုတ်ထားပါသည်။</t>
        </r>
      </text>
    </comment>
    <comment ref="M6" authorId="0">
      <text>
        <r>
          <rPr>
            <b/>
            <sz val="9"/>
            <color indexed="81"/>
            <rFont val="Pyidaungsu"/>
            <family val="2"/>
          </rPr>
          <t>B Tyre (1619) နုတ်ထားပါသည်။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D6" authorId="0">
      <text>
        <r>
          <rPr>
            <b/>
            <sz val="9"/>
            <color indexed="81"/>
            <rFont val="Pyidaungsu"/>
            <family val="2"/>
          </rPr>
          <t>မော်လမြိုင် ၊ ရခိုင် ပေါင်းခြင်း (6) လုံးလိုနေပါသည်။</t>
        </r>
      </text>
    </comment>
  </commentList>
</comments>
</file>

<file path=xl/sharedStrings.xml><?xml version="1.0" encoding="utf-8"?>
<sst xmlns="http://schemas.openxmlformats.org/spreadsheetml/2006/main" count="1295" uniqueCount="308">
  <si>
    <t>No.</t>
  </si>
  <si>
    <t>MC01</t>
  </si>
  <si>
    <t>2.25-17 (YT-114)</t>
  </si>
  <si>
    <t>MC02</t>
  </si>
  <si>
    <t>2.25-17 (YT-131)</t>
  </si>
  <si>
    <t>MC03</t>
  </si>
  <si>
    <t>60/100-17 (YT-118)</t>
  </si>
  <si>
    <t>MC04</t>
  </si>
  <si>
    <t>60/100-17 (YT-119)</t>
  </si>
  <si>
    <t>MC05</t>
  </si>
  <si>
    <t>2.50-17 (YT-111)</t>
  </si>
  <si>
    <t>MC06</t>
  </si>
  <si>
    <t>2.50-17 (YT-113)</t>
  </si>
  <si>
    <t>MC07</t>
  </si>
  <si>
    <t>2.50-17 (YT-114)</t>
  </si>
  <si>
    <t>MC08</t>
  </si>
  <si>
    <t>2.50-17 (YT-115)</t>
  </si>
  <si>
    <t>MC09</t>
  </si>
  <si>
    <t>2.50-17 (YT-119)</t>
  </si>
  <si>
    <t>MC10</t>
  </si>
  <si>
    <t>2.50-17 (YT-126)</t>
  </si>
  <si>
    <t>MC11</t>
  </si>
  <si>
    <t>2.50-17 (YT-132)</t>
  </si>
  <si>
    <t>MC12</t>
  </si>
  <si>
    <t>2.50-17 (YT-131)</t>
  </si>
  <si>
    <t>MC13</t>
  </si>
  <si>
    <t>2.50-17 (YT-122)</t>
  </si>
  <si>
    <t>MC14</t>
  </si>
  <si>
    <t>2.50-17 (YT-127)</t>
  </si>
  <si>
    <t>MC15</t>
  </si>
  <si>
    <t>70/90-17 (YT-117)</t>
  </si>
  <si>
    <t>MC16</t>
  </si>
  <si>
    <t>70/100-17 (YT-117)</t>
  </si>
  <si>
    <t>MC17</t>
  </si>
  <si>
    <t>70/90-17 (YT-119)</t>
  </si>
  <si>
    <t>MC18</t>
  </si>
  <si>
    <t>70/100-17 (YT-119)</t>
  </si>
  <si>
    <t>MC19</t>
  </si>
  <si>
    <t>70/90-17 (YT-124)</t>
  </si>
  <si>
    <t>MC20</t>
  </si>
  <si>
    <t>70/90-17 (YT-129)</t>
  </si>
  <si>
    <t>MC21</t>
  </si>
  <si>
    <t>2.75-17 (YT-131)</t>
  </si>
  <si>
    <t>MC22</t>
  </si>
  <si>
    <t>2.75-17 (YT-114)</t>
  </si>
  <si>
    <t>MC23</t>
  </si>
  <si>
    <t>2.75-17 (YT-116)</t>
  </si>
  <si>
    <t>MC24</t>
  </si>
  <si>
    <t>2.75-17 (YT-119)</t>
  </si>
  <si>
    <t>MC25</t>
  </si>
  <si>
    <t>2.75-17 (YT-123)</t>
  </si>
  <si>
    <t>MC26</t>
  </si>
  <si>
    <t>2.75-17 (YT-132)</t>
  </si>
  <si>
    <t>MC27</t>
  </si>
  <si>
    <t>2.75-17 (YT-125)</t>
  </si>
  <si>
    <t>MC28</t>
  </si>
  <si>
    <t>2.75-17 (YT-133)</t>
  </si>
  <si>
    <t>MC29</t>
  </si>
  <si>
    <t>2.75-17 (YT-127)</t>
  </si>
  <si>
    <t>MC30</t>
  </si>
  <si>
    <t>80/90-17 (YT-128)</t>
  </si>
  <si>
    <t>MC31</t>
  </si>
  <si>
    <t>80/90-17 (YT-129)</t>
  </si>
  <si>
    <t>MC32</t>
  </si>
  <si>
    <t>80/90-14 (YT-312)</t>
  </si>
  <si>
    <t>MC33</t>
  </si>
  <si>
    <t>90/90-14 (YT-312)</t>
  </si>
  <si>
    <t>MC34</t>
  </si>
  <si>
    <t>80/90-14 (YT-312) (Tubeless)</t>
  </si>
  <si>
    <t>MC35</t>
  </si>
  <si>
    <t>90/90-14 (YT-312) (Tubeless)</t>
  </si>
  <si>
    <t>MC36</t>
  </si>
  <si>
    <t>80/90-14 (YT-315) (Tubeless)</t>
  </si>
  <si>
    <t>MC37</t>
  </si>
  <si>
    <t>90/90-14 (YT-314) (Tubeless)</t>
  </si>
  <si>
    <t>MC38</t>
  </si>
  <si>
    <t>100/90-14 (YT-316) (Tubeless)</t>
  </si>
  <si>
    <t>MC39</t>
  </si>
  <si>
    <t>001</t>
  </si>
  <si>
    <t>ကိုဖြိုး (မန္တလေး)</t>
  </si>
  <si>
    <t>002</t>
  </si>
  <si>
    <t>ကိုတင်ကိုဦး</t>
  </si>
  <si>
    <t>003</t>
  </si>
  <si>
    <t>SOT တာယာဆိုင် (မုံရွာ)</t>
  </si>
  <si>
    <t>004</t>
  </si>
  <si>
    <t>ဦးရိုမီရို နှင့် သားများ (မကွေး)</t>
  </si>
  <si>
    <t>005</t>
  </si>
  <si>
    <t>ဦးဌေးအောင်  Top Light  (ပုသိမ်)</t>
  </si>
  <si>
    <t>006</t>
  </si>
  <si>
    <t>ကိုဝေလင်း (တောင်ငူ)</t>
  </si>
  <si>
    <t>007</t>
  </si>
  <si>
    <t>ကိုဆန်းလွင်+မမော် (ဘားအံ)</t>
  </si>
  <si>
    <t>008</t>
  </si>
  <si>
    <t>ကိုမိုးဇော်အောင် (ပြည်)</t>
  </si>
  <si>
    <t>009</t>
  </si>
  <si>
    <t>ကိုအောင်လင်းထွေး (တောင်ကြီး)</t>
  </si>
  <si>
    <t>010</t>
  </si>
  <si>
    <t>ကိုတင်မောင်မြင့်  (တောင်ဥက္ကလာပ)</t>
  </si>
  <si>
    <t>011</t>
  </si>
  <si>
    <t>ကိုနေဝင်းစိုး ကုဋေစိုး (မြိတ်)</t>
  </si>
  <si>
    <t>012</t>
  </si>
  <si>
    <t>ကိုပေါက် (ပခုက္ကူ)</t>
  </si>
  <si>
    <t>013</t>
  </si>
  <si>
    <t>ကိုဝေဖြိုး + မနန္ဒာ (ထားဝယ်)</t>
  </si>
  <si>
    <t>014</t>
  </si>
  <si>
    <t>ဦးရာဂျား (မြစ်ကြီးနား)</t>
  </si>
  <si>
    <t>015</t>
  </si>
  <si>
    <t>ဦးရာဂျား (မန္တလေး)</t>
  </si>
  <si>
    <t>016</t>
  </si>
  <si>
    <t>ဒေါ်ချယ်ရီ (လွိုင်ကော်)</t>
  </si>
  <si>
    <t>017</t>
  </si>
  <si>
    <t>ကိုဘိုထွန်း + မပပဝင်း (ဒိုက်ဦး)</t>
  </si>
  <si>
    <t>018</t>
  </si>
  <si>
    <t>ဦးရည်မွန် (ကလေး)</t>
  </si>
  <si>
    <t>019</t>
  </si>
  <si>
    <t>ဦးရာဂျား (လားရှိုး)</t>
  </si>
  <si>
    <t>021</t>
  </si>
  <si>
    <t>ကိုအောင်မြင့်သူ (မကွေး)</t>
  </si>
  <si>
    <t>022</t>
  </si>
  <si>
    <t>ကိုလယ်အင်း (မင်းဘူး)</t>
  </si>
  <si>
    <t>023</t>
  </si>
  <si>
    <t>သုတမြိုင် (တောင်တွင်းကြီး)</t>
  </si>
  <si>
    <t>024</t>
  </si>
  <si>
    <t>ဒေါ်ဒေါင်းရင် (မင်းဘူး)</t>
  </si>
  <si>
    <t>026</t>
  </si>
  <si>
    <t>ကိုမိုးယံထွေး (နေပြည်တော်)</t>
  </si>
  <si>
    <t>027</t>
  </si>
  <si>
    <t>ဦးအောင်ထွန်း(ရွှေအောင်လံ)</t>
  </si>
  <si>
    <t>028</t>
  </si>
  <si>
    <t>ဒေါ်ခင်သီ  ဖူဂျီယာမ  (ပဲခူး)</t>
  </si>
  <si>
    <t>029</t>
  </si>
  <si>
    <t>ကိုအောင်ကျော်ဦး (ညောင်လေးပင်)</t>
  </si>
  <si>
    <t>030</t>
  </si>
  <si>
    <t>ကိုသန်းစိုး (မင်းလှ)</t>
  </si>
  <si>
    <t>031</t>
  </si>
  <si>
    <t>ကိုသိန်းမင်းစိုး (ရွှေဇင်ယော်)</t>
  </si>
  <si>
    <t>032</t>
  </si>
  <si>
    <t>ကိုမင်းအောင် (တောင်ဥက္ကလာပ)</t>
  </si>
  <si>
    <t>033</t>
  </si>
  <si>
    <t>ဦးမျိုးဝင်း (တပ်ကုန်း)</t>
  </si>
  <si>
    <t>034</t>
  </si>
  <si>
    <t>ဦးခင်မောင်ချို (ရွှေဘို)</t>
  </si>
  <si>
    <t>035</t>
  </si>
  <si>
    <t>ကိုမင်းဇော် စံရိပ်ငြိမ် (လှိုင်သာယာ)</t>
  </si>
  <si>
    <t>036</t>
  </si>
  <si>
    <t>ဦးခင်မောင်ဝင်း ယူနီဗာဆယ် (ပြည်)</t>
  </si>
  <si>
    <t>037</t>
  </si>
  <si>
    <t>ဒေါ်စန်းဌေး (ဇီးကွက်ကြီး)</t>
  </si>
  <si>
    <t>038</t>
  </si>
  <si>
    <t>ကိုသူရကျော် (ဒေးဒရဲ)</t>
  </si>
  <si>
    <t>039</t>
  </si>
  <si>
    <t>ကိုနိုင်လင်းထွန်း အင်းအား (ကော့သောင်း)</t>
  </si>
  <si>
    <t>040</t>
  </si>
  <si>
    <t>ကိုဇော်ဇော်ထွန်း (မိဘရိပ်)</t>
  </si>
  <si>
    <t>041</t>
  </si>
  <si>
    <t>ကိုငြိမ်းချမ်းအောင် (မှော်ဘီ)</t>
  </si>
  <si>
    <t>042</t>
  </si>
  <si>
    <t>ကိုစိုးသူချို - မျိုးဆက်သစ် (တွံတေး)</t>
  </si>
  <si>
    <t>043</t>
  </si>
  <si>
    <t>ဦးနေမျိုးညွှန့်(စန်းသော်တာ)</t>
  </si>
  <si>
    <t>044</t>
  </si>
  <si>
    <t>ကိုဝေလျှံထွန်း(ဖျာပုံ)</t>
  </si>
  <si>
    <t>045</t>
  </si>
  <si>
    <t>ဦးလင်းထင် (နေပြည်တော်)</t>
  </si>
  <si>
    <t>046</t>
  </si>
  <si>
    <t>ဦးခင်မောင်မြင့် (စစ်တွေ)</t>
  </si>
  <si>
    <t>047</t>
  </si>
  <si>
    <t>ဦးလှထူး (တမူး)</t>
  </si>
  <si>
    <t>054</t>
  </si>
  <si>
    <t>ဦးသက်နိုင် ယုဇနဥယျာဉ်(ဒဂုံဆိပ်ကမ်း)</t>
  </si>
  <si>
    <t>055</t>
  </si>
  <si>
    <t>ဦးဝင်းနိုင် (တောင်ဒဂုံ)</t>
  </si>
  <si>
    <t>057</t>
  </si>
  <si>
    <t>ဦးတင်မောင်ဆွေ (မေကံ့ကော်)</t>
  </si>
  <si>
    <t>058</t>
  </si>
  <si>
    <t>ကိုအောင်သူဟိန်း (သုံးခွ)</t>
  </si>
  <si>
    <t>060</t>
  </si>
  <si>
    <t>ဦးအောင်သန်းမြင့် (စစ်တွေ)</t>
  </si>
  <si>
    <t>063</t>
  </si>
  <si>
    <t>ဦးရိုမီရို နှင့် ညီများ (မင်းဘူး)</t>
  </si>
  <si>
    <t>066</t>
  </si>
  <si>
    <t>ကိုသန်းထွဋ် ခန့်ဇင်ဖူး (သန်လျင်)</t>
  </si>
  <si>
    <t>069</t>
  </si>
  <si>
    <t>ကိုခင်မောင်ထွန်း ထွန်းစတိုး (ကော့မှူး)</t>
  </si>
  <si>
    <t>070</t>
  </si>
  <si>
    <t>ဦးတင်လှ (တောင်ဒဂုံစက်မှုဇုန်)</t>
  </si>
  <si>
    <t>Name</t>
  </si>
  <si>
    <t>020</t>
  </si>
  <si>
    <t>025</t>
  </si>
  <si>
    <t>048</t>
  </si>
  <si>
    <t>049</t>
  </si>
  <si>
    <t>050</t>
  </si>
  <si>
    <t>051</t>
  </si>
  <si>
    <t>052</t>
  </si>
  <si>
    <t>053</t>
  </si>
  <si>
    <t>056</t>
  </si>
  <si>
    <t>059</t>
  </si>
  <si>
    <t>061</t>
  </si>
  <si>
    <t>062</t>
  </si>
  <si>
    <t>064</t>
  </si>
  <si>
    <t>065</t>
  </si>
  <si>
    <t>067</t>
  </si>
  <si>
    <t>068</t>
  </si>
  <si>
    <t>ကိုကျော်စိုးလွင် (K.Star)</t>
  </si>
  <si>
    <t>စက်ကမ္ဘာ (မင်းဘူး)</t>
  </si>
  <si>
    <t>Top Star (ပြည်)</t>
  </si>
  <si>
    <t>မုံရွာဝါစက်</t>
  </si>
  <si>
    <t>ဦးသောင်းထွန်းဦး</t>
  </si>
  <si>
    <t>ကိုသန့်စင် (ရွှေပြည်သာ)</t>
  </si>
  <si>
    <t>ကိုသန့်ဇင် (မြိတ်)</t>
  </si>
  <si>
    <t>ဦးစိုးနှင့်ညီအစ်ကိုများ ‌(မကွေး)</t>
  </si>
  <si>
    <t>NO</t>
  </si>
  <si>
    <t>Name Code</t>
  </si>
  <si>
    <t>Qty</t>
  </si>
  <si>
    <t>ကိုတင်ကိုဦး (မော်လမြိုင်)</t>
  </si>
  <si>
    <t>ဦးရိုမီရို နှင့် ညီများ  (မင်းဘူး)</t>
  </si>
  <si>
    <t>ဦးရိုမီရိုနှင့်သားများ (မကွေး)</t>
  </si>
  <si>
    <t>ကိုဇာနည်မောင်မောင် SOT (မုံရွာ)</t>
  </si>
  <si>
    <t>ဦးဌေးအောင် Top Light (ပုသိမ်)</t>
  </si>
  <si>
    <t>ကုဋေစိုး ကိုနေဝင်းစိုး (မြိတ်)</t>
  </si>
  <si>
    <t>ကိုရှည်ကြီး (ဟင်္သာတ)</t>
  </si>
  <si>
    <t>ဦးရာဂျား Ko Rumith(မန္တလေး)</t>
  </si>
  <si>
    <t>ဦးရာဂျား(မြစ်ကြီးနား)</t>
  </si>
  <si>
    <t>ကိုဝေလင်း  လင်း (တောင်ငူ)</t>
  </si>
  <si>
    <t>ကိုဝင်းယု သစ်လွင် (မြောင်းမြ)</t>
  </si>
  <si>
    <t>ဒေါ်ချယ်ရီ(လွိုင်ကော်)</t>
  </si>
  <si>
    <t>ကိုမိုးယံထွေး(နေပြည်တော်)</t>
  </si>
  <si>
    <t>ဦးအောင်ထွန်း ရွှေအောင်လံ (လှည်းကူး)</t>
  </si>
  <si>
    <t>ဝေလျှံထွန်း (ဖျာပုံ)</t>
  </si>
  <si>
    <t>ဦးလင်းထင် တောင်ကြီး (နေပြည်တော်)</t>
  </si>
  <si>
    <t>ကိုအောင်ကျော်ဦး(ညောင်လေးပင်)</t>
  </si>
  <si>
    <t>မိသားစု ကိုသန်းစိုး (မင်းလှ)</t>
  </si>
  <si>
    <t>ကိုစိုးသူချို မျိုးဆက်သစ် (တွံတေး)</t>
  </si>
  <si>
    <t>ကိုဇော်ဇော်ထွန်း မိဘရိပ် (ဒလ)</t>
  </si>
  <si>
    <t>ကိုသိန်းမင်းစိုး ရွှေဇင်ယော် (သာယာဝတီ)</t>
  </si>
  <si>
    <t>ကိုတင်မောင်မြင့်(တောင်ဥက္ကလာပမြို့)</t>
  </si>
  <si>
    <t>ကိုမင်းအောင်(တောင်ဥက္ကလာပမြို့)</t>
  </si>
  <si>
    <t>ကိုနိုင်လင်းထွန်း (ကော့သောင်း)</t>
  </si>
  <si>
    <t>ကိုထက်မောင်မောင်ဇော်(သန်လျင်)</t>
  </si>
  <si>
    <t>ကိုသန်းထွဋ် ခန့်ဇင်ဖူး(သန်လျင်)</t>
  </si>
  <si>
    <t>ကိုအောင်မိုးသူ (ထောက်ကြံ့)</t>
  </si>
  <si>
    <t>ရွှေမိုး ကိုဇော်ထွန်း (ရွှေကျင်)</t>
  </si>
  <si>
    <t>ထွန်း (ကော့မှူး)</t>
  </si>
  <si>
    <t>ဒေါ်ဝင်းဝင်းသန့် စိန်စီအောင် (ရွှေဘို)</t>
  </si>
  <si>
    <t>ဦးခင်မောင်ဝင်း(ပြည်)</t>
  </si>
  <si>
    <t>ဦးနေမျိုးညွှန့် စန်းသော်တာ (အောင်လံ)</t>
  </si>
  <si>
    <t>ကိုမျိုးခိုင် ဂရိတ်ဝမ်း (လက်ပံတန်း)</t>
  </si>
  <si>
    <t>ထိုက် မိသားစု (မအူပင်)</t>
  </si>
  <si>
    <t>ကိုဇေယျာ (ကြံခင်းမြို့)</t>
  </si>
  <si>
    <t>Size Code</t>
  </si>
  <si>
    <t>70/100-17 (YT-121)</t>
  </si>
  <si>
    <t>ကိုစိုးသူချို (တွံတေး)</t>
  </si>
  <si>
    <t>ကိုဆန်းလွင်+မမော်(ဘားအံ)</t>
  </si>
  <si>
    <t>ကိုကျော်စိုးလွင် (K-Star)</t>
  </si>
  <si>
    <t>ကိုအောင်မြင်သူ (မကွေး)</t>
  </si>
  <si>
    <t>ဦးခင်မောင်မြင့်-ဆန်း (စစ်တွေ)</t>
  </si>
  <si>
    <t>ဦးတင်မောင်ဆွေ (နတ်တလင်း)</t>
  </si>
  <si>
    <t>ဦးအောင်သူဟိန်း (သုံးခွ)</t>
  </si>
  <si>
    <t>ကိုဝင်းယု  သစ်လွင် (မြောင်းမြ)</t>
  </si>
  <si>
    <t>ကိုအောင်မိုးသူ (ထောက်ကြန့်)</t>
  </si>
  <si>
    <t>ကိုဇော်ဇော်ထွန်း ရွှေမိုး(ရွှေကျင်)</t>
  </si>
  <si>
    <t>ကိုနေဝင်းစိုး (ကုဋေစိုး) (မြိတ်)</t>
  </si>
  <si>
    <t>ကိုသန်းစိုး မိသားစု (မင်းလှ)</t>
  </si>
  <si>
    <t>ဦးခင်မောင်ဝင်း (ပြည်)</t>
  </si>
  <si>
    <t>ဦးရိုမီရို (မင်းဘူး)</t>
  </si>
  <si>
    <t>Top Light (ပုသိမ်)</t>
  </si>
  <si>
    <t>သစ်လွင်(မြောင်းမြ)</t>
  </si>
  <si>
    <t>လင်း(တောင်ငူ)</t>
  </si>
  <si>
    <t>အောင်(တောင်ကြီး)</t>
  </si>
  <si>
    <t>ဝေလျှမ်းထွန်း (ဖျာပုံ)</t>
  </si>
  <si>
    <t>ရွှေအောင်လံ (လှည်းကူး)</t>
  </si>
  <si>
    <t>မိဘရိပ် ကိုဇော်ဇော်ထွန်း (ဒလ)</t>
  </si>
  <si>
    <t>ဂရိတ်ဝမ်း ကိုမျိုးခိုင် (လက်ပံတန်း)</t>
  </si>
  <si>
    <t>ဖူဂျီယာမ (ပဲခူး)</t>
  </si>
  <si>
    <t>ငြိမ်းချမ်းအောင် (မှော်ဘီ)</t>
  </si>
  <si>
    <t>ရွှေဇင်ယော် ကိုသိန်းမင်းစိုး (သာယာဝတီ)</t>
  </si>
  <si>
    <t>ဒေါ်ခင်သီ ဖူဂျီယာမ (ပဲခူး)</t>
  </si>
  <si>
    <t>ကိုထက်မောင်မောင်ဇော် (သံလျင်)</t>
  </si>
  <si>
    <t>ကိုဝေလင်း လင်း (တောင်ငူ)</t>
  </si>
  <si>
    <t>071</t>
  </si>
  <si>
    <t>ကိုဇော်မင်းအောင် /ကိုရှည်ကြီး (ဟင်္သာတ)</t>
  </si>
  <si>
    <t>ကိုအောင်လင်းထွေး (အောင်) (တောင်ကြီး)</t>
  </si>
  <si>
    <t>ဦးအောင်ထွန်း(ရွှေအောင်လံ) (လှည်းကူး)</t>
  </si>
  <si>
    <t>ကိုဇော်ဇော်ထွန်း (မိဘရိပ်)  (ဒလ)</t>
  </si>
  <si>
    <t>ကိုသိန်းမင်းစိုး (ရွှေဇင်ယော်) (သာယာဝတီ)</t>
  </si>
  <si>
    <t>ကိုသန်းစိုး (မိသားစု)(မင်းလှ)</t>
  </si>
  <si>
    <t>ကိုဝင်းအောင် (ဝင်း) (လှိုင်သာယာ)</t>
  </si>
  <si>
    <t>074</t>
  </si>
  <si>
    <t>075</t>
  </si>
  <si>
    <t>Grand Total</t>
  </si>
  <si>
    <t>Maximum</t>
  </si>
  <si>
    <t>Minimum</t>
  </si>
  <si>
    <t>Sales Average</t>
  </si>
  <si>
    <t>Count List</t>
  </si>
  <si>
    <t>Date-6-1-2023</t>
  </si>
  <si>
    <t>Size</t>
  </si>
  <si>
    <t>(2019) Total</t>
  </si>
  <si>
    <t>YT Motorcycle Tyre (Whole Sale &amp; Invoice) - 2018</t>
  </si>
  <si>
    <t>YT Motorcycle Tyre (Whole Sale &amp; Invoice) - 2019</t>
  </si>
  <si>
    <t>YT Motorcycle Tyre (Whole Sale &amp; Invoice) - 2020</t>
  </si>
  <si>
    <t>(2020) Total</t>
  </si>
  <si>
    <t>(2021) Total</t>
  </si>
  <si>
    <t>YT Motorcycle Tyre (Whole Sale &amp; Invoice) 2021</t>
  </si>
  <si>
    <t>YT Motorcycle Tyre (Whole Sale &amp; Invoice) 2022</t>
  </si>
  <si>
    <t>YT Motorcycle Tyre (Whole Sale &amp; Invoice)  (2018 , 2019, 2020, 2021, 2022)</t>
  </si>
  <si>
    <t>(2022) Total</t>
  </si>
  <si>
    <t>(2018) Total</t>
  </si>
  <si>
    <t xml:space="preserve">ကိုတင်ကိုဦး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</si>
</sst>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Pyidaungsu"/>
      <family val="2"/>
    </font>
    <font>
      <sz val="11"/>
      <color theme="1"/>
      <name val="Pyidaungsu"/>
      <family val="2"/>
    </font>
    <font>
      <b/>
      <sz val="11"/>
      <color theme="1"/>
      <name val="Pyidaungsu"/>
      <family val="2"/>
    </font>
    <font>
      <sz val="10"/>
      <name val="Pyidaungsu"/>
      <family val="2"/>
    </font>
    <font>
      <b/>
      <sz val="10"/>
      <name val="Pyidaungsu"/>
      <family val="2"/>
    </font>
    <font>
      <sz val="9.5"/>
      <name val="Pyidaungsu"/>
      <family val="2"/>
    </font>
    <font>
      <b/>
      <sz val="11"/>
      <name val="Pyidaungsu"/>
      <family val="2"/>
    </font>
    <font>
      <b/>
      <sz val="10"/>
      <color indexed="81"/>
      <name val="Pyidaungsu"/>
      <family val="2"/>
    </font>
    <font>
      <b/>
      <sz val="9"/>
      <color indexed="81"/>
      <name val="Pyidaungsu"/>
      <family val="2"/>
    </font>
    <font>
      <sz val="11"/>
      <name val="Pyidaungsu"/>
      <family val="2"/>
    </font>
    <font>
      <sz val="10"/>
      <color theme="1"/>
      <name val="Pyidaungsu"/>
      <family val="2"/>
    </font>
    <font>
      <b/>
      <sz val="10"/>
      <color theme="1"/>
      <name val="Pyidaungsu"/>
      <family val="2"/>
    </font>
    <font>
      <b/>
      <sz val="12"/>
      <name val="Pyidaungsu"/>
      <family val="2"/>
    </font>
    <font>
      <b/>
      <sz val="16"/>
      <name val="Pyidaungsu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Pyidaungsu"/>
      <family val="2"/>
    </font>
    <font>
      <b/>
      <sz val="14"/>
      <name val="Pyidaungsu"/>
      <family val="2"/>
    </font>
    <font>
      <sz val="12"/>
      <name val="Pyidaungsu"/>
      <family val="2"/>
    </font>
    <font>
      <sz val="12"/>
      <color theme="1"/>
      <name val="Pyidaungsu"/>
      <family val="2"/>
    </font>
    <font>
      <sz val="12"/>
      <color theme="1"/>
      <name val="Calibri"/>
      <family val="2"/>
      <scheme val="minor"/>
    </font>
    <font>
      <sz val="14"/>
      <name val="Pyidaungsu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5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164" fontId="6" fillId="0" borderId="0" xfId="1" applyNumberFormat="1" applyFont="1" applyAlignment="1">
      <alignment vertical="center"/>
    </xf>
    <xf numFmtId="164" fontId="6" fillId="0" borderId="0" xfId="1" applyNumberFormat="1" applyFont="1" applyBorder="1" applyAlignment="1">
      <alignment vertical="center"/>
    </xf>
    <xf numFmtId="0" fontId="6" fillId="0" borderId="1" xfId="1" applyNumberFormat="1" applyFont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164" fontId="6" fillId="0" borderId="1" xfId="1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4" fontId="6" fillId="0" borderId="0" xfId="1" applyNumberFormat="1" applyFont="1" applyFill="1" applyAlignment="1">
      <alignment vertical="center"/>
    </xf>
    <xf numFmtId="0" fontId="6" fillId="3" borderId="1" xfId="0" applyFont="1" applyFill="1" applyBorder="1" applyAlignment="1">
      <alignment horizontal="left" vertical="center"/>
    </xf>
    <xf numFmtId="17" fontId="6" fillId="0" borderId="1" xfId="1" applyNumberFormat="1" applyFont="1" applyBorder="1" applyAlignment="1">
      <alignment horizontal="left" vertical="center"/>
    </xf>
    <xf numFmtId="17" fontId="6" fillId="0" borderId="1" xfId="1" applyNumberFormat="1" applyFont="1" applyFill="1" applyBorder="1" applyAlignment="1">
      <alignment horizontal="left" vertical="center"/>
    </xf>
    <xf numFmtId="164" fontId="6" fillId="0" borderId="1" xfId="1" applyNumberFormat="1" applyFont="1" applyFill="1" applyBorder="1" applyAlignment="1">
      <alignment vertical="center"/>
    </xf>
    <xf numFmtId="49" fontId="6" fillId="2" borderId="8" xfId="1" applyNumberFormat="1" applyFont="1" applyFill="1" applyBorder="1" applyAlignment="1">
      <alignment horizontal="center" vertical="center" wrapText="1"/>
    </xf>
    <xf numFmtId="0" fontId="6" fillId="0" borderId="8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6" fillId="0" borderId="0" xfId="0" applyFont="1"/>
    <xf numFmtId="0" fontId="6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1" applyNumberFormat="1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6" fillId="0" borderId="1" xfId="1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164" fontId="6" fillId="0" borderId="1" xfId="0" applyNumberFormat="1" applyFont="1" applyBorder="1" applyAlignment="1">
      <alignment horizontal="center" vertical="center"/>
    </xf>
    <xf numFmtId="164" fontId="6" fillId="0" borderId="1" xfId="1" applyNumberFormat="1" applyFont="1" applyFill="1" applyBorder="1" applyAlignment="1">
      <alignment horizontal="right" vertical="center"/>
    </xf>
    <xf numFmtId="0" fontId="6" fillId="0" borderId="2" xfId="0" applyFont="1" applyBorder="1" applyAlignment="1">
      <alignment horizontal="left" vertical="center"/>
    </xf>
    <xf numFmtId="49" fontId="6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2" fillId="0" borderId="1" xfId="0" applyFont="1" applyBorder="1" applyAlignment="1">
      <alignment horizontal="left" vertical="center"/>
    </xf>
    <xf numFmtId="49" fontId="12" fillId="2" borderId="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6" fillId="0" borderId="2" xfId="1" applyNumberFormat="1" applyFont="1" applyFill="1" applyBorder="1" applyAlignment="1">
      <alignment horizontal="center" vertical="center" wrapText="1"/>
    </xf>
    <xf numFmtId="0" fontId="6" fillId="0" borderId="9" xfId="0" applyFont="1" applyBorder="1" applyAlignment="1">
      <alignment vertical="center"/>
    </xf>
    <xf numFmtId="0" fontId="7" fillId="0" borderId="1" xfId="1" applyNumberFormat="1" applyFont="1" applyFill="1" applyBorder="1" applyAlignment="1">
      <alignment horizontal="center" vertical="center"/>
    </xf>
    <xf numFmtId="0" fontId="6" fillId="0" borderId="10" xfId="1" applyNumberFormat="1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vertical="center"/>
    </xf>
    <xf numFmtId="17" fontId="6" fillId="0" borderId="3" xfId="1" applyNumberFormat="1" applyFont="1" applyFill="1" applyBorder="1" applyAlignment="1">
      <alignment horizontal="left" vertical="center"/>
    </xf>
    <xf numFmtId="164" fontId="6" fillId="2" borderId="1" xfId="1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6" fillId="0" borderId="0" xfId="1" applyNumberFormat="1" applyFont="1" applyFill="1" applyBorder="1" applyAlignment="1">
      <alignment vertical="center"/>
    </xf>
    <xf numFmtId="0" fontId="6" fillId="0" borderId="0" xfId="0" applyFont="1" applyFill="1" applyBorder="1"/>
    <xf numFmtId="49" fontId="12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center"/>
    </xf>
    <xf numFmtId="164" fontId="15" fillId="0" borderId="7" xfId="1" applyNumberFormat="1" applyFont="1" applyBorder="1" applyAlignment="1">
      <alignment horizontal="center" vertical="center"/>
    </xf>
    <xf numFmtId="164" fontId="15" fillId="0" borderId="0" xfId="1" applyNumberFormat="1" applyFont="1" applyBorder="1" applyAlignment="1">
      <alignment horizontal="center" vertical="center"/>
    </xf>
    <xf numFmtId="164" fontId="15" fillId="0" borderId="6" xfId="1" applyNumberFormat="1" applyFont="1" applyBorder="1" applyAlignment="1">
      <alignment horizontal="center" vertical="center"/>
    </xf>
    <xf numFmtId="0" fontId="6" fillId="0" borderId="1" xfId="1" applyNumberFormat="1" applyFont="1" applyBorder="1" applyAlignment="1">
      <alignment horizontal="center" vertical="center"/>
    </xf>
    <xf numFmtId="164" fontId="7" fillId="0" borderId="0" xfId="1" applyNumberFormat="1" applyFont="1" applyBorder="1" applyAlignment="1">
      <alignment vertical="center"/>
    </xf>
    <xf numFmtId="164" fontId="7" fillId="0" borderId="0" xfId="1" applyNumberFormat="1" applyFont="1" applyFill="1" applyBorder="1" applyAlignment="1">
      <alignment vertical="center"/>
    </xf>
    <xf numFmtId="49" fontId="6" fillId="0" borderId="0" xfId="1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left" vertical="center"/>
    </xf>
    <xf numFmtId="17" fontId="6" fillId="0" borderId="0" xfId="1" applyNumberFormat="1" applyFont="1" applyFill="1" applyBorder="1" applyAlignment="1">
      <alignment horizontal="left" vertical="center"/>
    </xf>
    <xf numFmtId="164" fontId="9" fillId="0" borderId="0" xfId="1" applyNumberFormat="1" applyFont="1" applyFill="1" applyBorder="1" applyAlignment="1">
      <alignment vertical="center"/>
    </xf>
    <xf numFmtId="164" fontId="9" fillId="0" borderId="6" xfId="1" applyNumberFormat="1" applyFont="1" applyFill="1" applyBorder="1" applyAlignment="1">
      <alignment horizontal="center" vertical="center"/>
    </xf>
    <xf numFmtId="164" fontId="9" fillId="0" borderId="0" xfId="1" applyNumberFormat="1" applyFont="1" applyFill="1" applyBorder="1" applyAlignment="1">
      <alignment horizontal="center" vertical="center"/>
    </xf>
    <xf numFmtId="164" fontId="9" fillId="0" borderId="0" xfId="1" applyNumberFormat="1" applyFont="1" applyFill="1" applyAlignment="1">
      <alignment vertical="center"/>
    </xf>
    <xf numFmtId="0" fontId="9" fillId="0" borderId="1" xfId="1" applyNumberFormat="1" applyFont="1" applyFill="1" applyBorder="1" applyAlignment="1">
      <alignment horizontal="center" vertical="center"/>
    </xf>
    <xf numFmtId="164" fontId="16" fillId="0" borderId="6" xfId="1" applyNumberFormat="1" applyFont="1" applyFill="1" applyBorder="1" applyAlignment="1">
      <alignment horizontal="center" vertical="center"/>
    </xf>
    <xf numFmtId="49" fontId="9" fillId="0" borderId="1" xfId="1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1" xfId="0" applyFont="1" applyFill="1" applyBorder="1" applyAlignment="1">
      <alignment horizontal="left" vertical="center"/>
    </xf>
    <xf numFmtId="0" fontId="12" fillId="0" borderId="0" xfId="0" applyFont="1" applyFill="1" applyAlignment="1">
      <alignment horizontal="center"/>
    </xf>
    <xf numFmtId="0" fontId="12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17" fontId="9" fillId="0" borderId="1" xfId="1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2" fillId="0" borderId="1" xfId="1" applyNumberFormat="1" applyFont="1" applyFill="1" applyBorder="1" applyAlignment="1">
      <alignment horizontal="center" vertical="center"/>
    </xf>
    <xf numFmtId="0" fontId="12" fillId="8" borderId="1" xfId="1" applyNumberFormat="1" applyFont="1" applyFill="1" applyBorder="1" applyAlignment="1">
      <alignment horizontal="center" vertical="center"/>
    </xf>
    <xf numFmtId="0" fontId="9" fillId="5" borderId="1" xfId="0" applyNumberFormat="1" applyFont="1" applyFill="1" applyBorder="1" applyAlignment="1">
      <alignment horizontal="center" vertical="center" wrapText="1"/>
    </xf>
    <xf numFmtId="1" fontId="9" fillId="6" borderId="1" xfId="0" applyNumberFormat="1" applyFont="1" applyFill="1" applyBorder="1" applyAlignment="1">
      <alignment horizontal="center" vertical="center"/>
    </xf>
    <xf numFmtId="1" fontId="9" fillId="7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 vertical="center"/>
    </xf>
    <xf numFmtId="164" fontId="9" fillId="0" borderId="1" xfId="1" applyNumberFormat="1" applyFont="1" applyFill="1" applyBorder="1" applyAlignment="1">
      <alignment horizontal="center" vertical="center"/>
    </xf>
    <xf numFmtId="164" fontId="16" fillId="0" borderId="0" xfId="1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7" fontId="7" fillId="0" borderId="1" xfId="1" applyNumberFormat="1" applyFont="1" applyBorder="1" applyAlignment="1">
      <alignment horizontal="center" vertical="center"/>
    </xf>
    <xf numFmtId="164" fontId="9" fillId="0" borderId="7" xfId="1" applyNumberFormat="1" applyFont="1" applyBorder="1" applyAlignment="1">
      <alignment horizontal="center" vertical="center"/>
    </xf>
    <xf numFmtId="164" fontId="9" fillId="0" borderId="0" xfId="1" applyNumberFormat="1" applyFont="1" applyBorder="1" applyAlignment="1">
      <alignment horizontal="center" vertical="center"/>
    </xf>
    <xf numFmtId="164" fontId="9" fillId="0" borderId="6" xfId="1" applyNumberFormat="1" applyFont="1" applyBorder="1" applyAlignment="1">
      <alignment horizontal="center" vertical="center"/>
    </xf>
    <xf numFmtId="17" fontId="9" fillId="0" borderId="1" xfId="1" applyNumberFormat="1" applyFont="1" applyBorder="1" applyAlignment="1">
      <alignment horizontal="center" vertical="center"/>
    </xf>
    <xf numFmtId="164" fontId="9" fillId="0" borderId="7" xfId="1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17" fontId="7" fillId="0" borderId="1" xfId="1" applyNumberFormat="1" applyFont="1" applyFill="1" applyBorder="1" applyAlignment="1">
      <alignment horizontal="center" vertical="center"/>
    </xf>
    <xf numFmtId="0" fontId="21" fillId="0" borderId="0" xfId="0" applyFont="1" applyFill="1" applyAlignment="1">
      <alignment vertical="center"/>
    </xf>
    <xf numFmtId="0" fontId="22" fillId="0" borderId="0" xfId="0" applyFont="1" applyFill="1" applyAlignment="1">
      <alignment vertical="center"/>
    </xf>
    <xf numFmtId="17" fontId="9" fillId="0" borderId="1" xfId="0" applyNumberFormat="1" applyFont="1" applyFill="1" applyBorder="1" applyAlignment="1">
      <alignment horizontal="center" vertical="center"/>
    </xf>
    <xf numFmtId="17" fontId="7" fillId="0" borderId="7" xfId="1" applyNumberFormat="1" applyFont="1" applyBorder="1" applyAlignment="1">
      <alignment vertical="center"/>
    </xf>
    <xf numFmtId="17" fontId="7" fillId="0" borderId="0" xfId="1" applyNumberFormat="1" applyFont="1" applyBorder="1" applyAlignment="1">
      <alignment vertical="center"/>
    </xf>
    <xf numFmtId="164" fontId="7" fillId="0" borderId="0" xfId="1" applyNumberFormat="1" applyFont="1" applyAlignment="1">
      <alignment vertical="center"/>
    </xf>
    <xf numFmtId="0" fontId="7" fillId="0" borderId="1" xfId="1" applyNumberFormat="1" applyFont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0" borderId="1" xfId="1" applyNumberFormat="1" applyFont="1" applyBorder="1" applyAlignment="1">
      <alignment vertical="center"/>
    </xf>
    <xf numFmtId="0" fontId="6" fillId="0" borderId="1" xfId="1" applyNumberFormat="1" applyFont="1" applyFill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2" fillId="0" borderId="6" xfId="0" applyFont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49" fontId="9" fillId="2" borderId="4" xfId="1" applyNumberFormat="1" applyFont="1" applyFill="1" applyBorder="1" applyAlignment="1">
      <alignment horizontal="center" vertical="center" wrapText="1"/>
    </xf>
    <xf numFmtId="17" fontId="9" fillId="0" borderId="7" xfId="1" applyNumberFormat="1" applyFont="1" applyBorder="1" applyAlignment="1">
      <alignment vertical="center"/>
    </xf>
    <xf numFmtId="17" fontId="9" fillId="0" borderId="0" xfId="1" applyNumberFormat="1" applyFont="1" applyFill="1" applyBorder="1" applyAlignment="1">
      <alignment vertical="center"/>
    </xf>
    <xf numFmtId="164" fontId="9" fillId="0" borderId="0" xfId="1" applyNumberFormat="1" applyFont="1" applyAlignment="1">
      <alignment vertical="center"/>
    </xf>
    <xf numFmtId="0" fontId="6" fillId="8" borderId="1" xfId="1" applyNumberFormat="1" applyFont="1" applyFill="1" applyBorder="1" applyAlignment="1">
      <alignment horizontal="center" vertical="center"/>
    </xf>
    <xf numFmtId="0" fontId="6" fillId="0" borderId="0" xfId="1" applyNumberFormat="1" applyFont="1" applyFill="1" applyBorder="1" applyAlignment="1">
      <alignment horizontal="center" vertical="center"/>
    </xf>
    <xf numFmtId="0" fontId="6" fillId="8" borderId="1" xfId="1" applyNumberFormat="1" applyFont="1" applyFill="1" applyBorder="1" applyAlignment="1">
      <alignment vertical="center"/>
    </xf>
    <xf numFmtId="49" fontId="6" fillId="0" borderId="0" xfId="0" applyNumberFormat="1" applyFont="1" applyFill="1" applyAlignment="1">
      <alignment vertical="center"/>
    </xf>
    <xf numFmtId="164" fontId="7" fillId="0" borderId="0" xfId="1" applyNumberFormat="1" applyFont="1" applyFill="1" applyAlignment="1">
      <alignment vertical="center"/>
    </xf>
    <xf numFmtId="0" fontId="6" fillId="0" borderId="0" xfId="0" applyFont="1" applyFill="1" applyAlignment="1">
      <alignment horizontal="left" vertical="center"/>
    </xf>
    <xf numFmtId="49" fontId="6" fillId="0" borderId="0" xfId="0" applyNumberFormat="1" applyFont="1" applyFill="1" applyAlignment="1">
      <alignment horizontal="left" vertical="center"/>
    </xf>
    <xf numFmtId="0" fontId="7" fillId="0" borderId="4" xfId="0" applyFont="1" applyFill="1" applyBorder="1" applyAlignment="1">
      <alignment horizontal="left" vertical="center" wrapText="1"/>
    </xf>
    <xf numFmtId="0" fontId="6" fillId="0" borderId="4" xfId="1" applyNumberFormat="1" applyFont="1" applyFill="1" applyBorder="1" applyAlignment="1">
      <alignment horizontal="center" vertical="center"/>
    </xf>
    <xf numFmtId="43" fontId="6" fillId="0" borderId="1" xfId="0" applyNumberFormat="1" applyFont="1" applyFill="1" applyBorder="1" applyAlignment="1">
      <alignment horizontal="center" vertical="center"/>
    </xf>
    <xf numFmtId="164" fontId="6" fillId="0" borderId="1" xfId="0" applyNumberFormat="1" applyFont="1" applyFill="1" applyBorder="1" applyAlignment="1">
      <alignment horizontal="center" vertical="center"/>
    </xf>
    <xf numFmtId="0" fontId="7" fillId="5" borderId="1" xfId="0" applyNumberFormat="1" applyFont="1" applyFill="1" applyBorder="1" applyAlignment="1">
      <alignment horizontal="center" vertical="center" wrapText="1"/>
    </xf>
    <xf numFmtId="1" fontId="7" fillId="6" borderId="1" xfId="0" applyNumberFormat="1" applyFont="1" applyFill="1" applyBorder="1" applyAlignment="1">
      <alignment horizontal="center" vertical="center"/>
    </xf>
    <xf numFmtId="1" fontId="7" fillId="7" borderId="1" xfId="0" applyNumberFormat="1" applyFont="1" applyFill="1" applyBorder="1" applyAlignment="1">
      <alignment horizontal="center" vertical="center"/>
    </xf>
    <xf numFmtId="1" fontId="7" fillId="4" borderId="1" xfId="0" applyNumberFormat="1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23" fillId="0" borderId="1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12" fillId="0" borderId="6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6" borderId="1" xfId="0" applyNumberFormat="1" applyFont="1" applyFill="1" applyBorder="1" applyAlignment="1">
      <alignment horizontal="center" vertical="center"/>
    </xf>
    <xf numFmtId="0" fontId="9" fillId="7" borderId="1" xfId="0" applyNumberFormat="1" applyFont="1" applyFill="1" applyBorder="1" applyAlignment="1">
      <alignment horizontal="center" vertical="center"/>
    </xf>
    <xf numFmtId="0" fontId="9" fillId="2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25" fillId="0" borderId="0" xfId="1" applyNumberFormat="1" applyFont="1" applyBorder="1" applyAlignment="1">
      <alignment vertical="center"/>
    </xf>
    <xf numFmtId="164" fontId="25" fillId="0" borderId="0" xfId="1" applyNumberFormat="1" applyFont="1" applyAlignment="1">
      <alignment vertical="center"/>
    </xf>
    <xf numFmtId="0" fontId="26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7" fillId="0" borderId="0" xfId="0" applyFont="1"/>
    <xf numFmtId="0" fontId="25" fillId="0" borderId="1" xfId="0" applyFont="1" applyBorder="1" applyAlignment="1">
      <alignment horizontal="left" vertical="center" wrapText="1"/>
    </xf>
    <xf numFmtId="0" fontId="15" fillId="5" borderId="1" xfId="0" applyNumberFormat="1" applyFont="1" applyFill="1" applyBorder="1" applyAlignment="1">
      <alignment horizontal="center" vertical="center" wrapText="1"/>
    </xf>
    <xf numFmtId="1" fontId="15" fillId="6" borderId="1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" fontId="15" fillId="7" borderId="1" xfId="0" applyNumberFormat="1" applyFont="1" applyFill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 vertical="center"/>
    </xf>
    <xf numFmtId="1" fontId="15" fillId="2" borderId="1" xfId="0" applyNumberFormat="1" applyFont="1" applyFill="1" applyBorder="1" applyAlignment="1">
      <alignment horizontal="center" vertical="center"/>
    </xf>
    <xf numFmtId="164" fontId="24" fillId="0" borderId="7" xfId="1" applyNumberFormat="1" applyFont="1" applyBorder="1" applyAlignment="1">
      <alignment horizontal="center" vertical="center"/>
    </xf>
    <xf numFmtId="164" fontId="24" fillId="0" borderId="0" xfId="1" applyNumberFormat="1" applyFont="1" applyBorder="1" applyAlignment="1">
      <alignment horizontal="center" vertical="center"/>
    </xf>
    <xf numFmtId="164" fontId="28" fillId="0" borderId="0" xfId="1" applyNumberFormat="1" applyFont="1" applyAlignment="1">
      <alignment vertical="center"/>
    </xf>
    <xf numFmtId="164" fontId="24" fillId="0" borderId="6" xfId="1" applyNumberFormat="1" applyFont="1" applyBorder="1" applyAlignment="1">
      <alignment horizontal="right" vertical="center"/>
    </xf>
    <xf numFmtId="17" fontId="24" fillId="0" borderId="1" xfId="1" applyNumberFormat="1" applyFont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5" fillId="5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164" fontId="24" fillId="0" borderId="0" xfId="1" applyNumberFormat="1" applyFont="1" applyBorder="1" applyAlignment="1">
      <alignment horizontal="center" vertical="center"/>
    </xf>
    <xf numFmtId="164" fontId="24" fillId="0" borderId="1" xfId="1" applyNumberFormat="1" applyFont="1" applyBorder="1" applyAlignment="1">
      <alignment horizontal="center" vertical="center"/>
    </xf>
    <xf numFmtId="164" fontId="24" fillId="4" borderId="1" xfId="1" applyNumberFormat="1" applyFont="1" applyFill="1" applyBorder="1" applyAlignment="1">
      <alignment horizontal="center" vertical="center" wrapText="1"/>
    </xf>
    <xf numFmtId="17" fontId="6" fillId="0" borderId="0" xfId="1" applyNumberFormat="1" applyFont="1" applyBorder="1" applyAlignment="1">
      <alignment horizontal="center" vertical="center"/>
    </xf>
    <xf numFmtId="164" fontId="9" fillId="2" borderId="4" xfId="1" applyNumberFormat="1" applyFont="1" applyFill="1" applyBorder="1" applyAlignment="1">
      <alignment horizontal="center" vertical="center" wrapText="1"/>
    </xf>
    <xf numFmtId="164" fontId="9" fillId="2" borderId="5" xfId="1" applyNumberFormat="1" applyFont="1" applyFill="1" applyBorder="1" applyAlignment="1">
      <alignment horizontal="center" vertical="center" wrapText="1"/>
    </xf>
    <xf numFmtId="164" fontId="9" fillId="0" borderId="0" xfId="1" applyNumberFormat="1" applyFont="1" applyBorder="1" applyAlignment="1">
      <alignment horizontal="center" vertical="center"/>
    </xf>
    <xf numFmtId="164" fontId="9" fillId="0" borderId="4" xfId="1" applyNumberFormat="1" applyFont="1" applyBorder="1" applyAlignment="1">
      <alignment horizontal="center" vertical="center"/>
    </xf>
    <xf numFmtId="164" fontId="9" fillId="0" borderId="5" xfId="1" applyNumberFormat="1" applyFont="1" applyBorder="1" applyAlignment="1">
      <alignment horizontal="center" vertical="center"/>
    </xf>
    <xf numFmtId="164" fontId="9" fillId="0" borderId="6" xfId="1" applyNumberFormat="1" applyFont="1" applyBorder="1" applyAlignment="1">
      <alignment horizontal="right" vertical="center"/>
    </xf>
    <xf numFmtId="0" fontId="9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4" fontId="9" fillId="0" borderId="0" xfId="1" applyNumberFormat="1" applyFont="1" applyFill="1" applyBorder="1" applyAlignment="1">
      <alignment horizontal="center" vertical="center"/>
    </xf>
    <xf numFmtId="164" fontId="9" fillId="0" borderId="6" xfId="1" applyNumberFormat="1" applyFont="1" applyFill="1" applyBorder="1" applyAlignment="1">
      <alignment horizontal="right" vertical="center"/>
    </xf>
    <xf numFmtId="164" fontId="9" fillId="0" borderId="4" xfId="1" applyNumberFormat="1" applyFont="1" applyFill="1" applyBorder="1" applyAlignment="1">
      <alignment horizontal="center" vertical="center"/>
    </xf>
    <xf numFmtId="164" fontId="9" fillId="0" borderId="5" xfId="1" applyNumberFormat="1" applyFont="1" applyFill="1" applyBorder="1" applyAlignment="1">
      <alignment horizontal="center" vertical="center"/>
    </xf>
    <xf numFmtId="49" fontId="9" fillId="4" borderId="4" xfId="0" applyNumberFormat="1" applyFont="1" applyFill="1" applyBorder="1" applyAlignment="1">
      <alignment horizontal="center" vertical="center" wrapText="1"/>
    </xf>
    <xf numFmtId="49" fontId="9" fillId="4" borderId="5" xfId="0" applyNumberFormat="1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164" fontId="15" fillId="0" borderId="0" xfId="1" applyNumberFormat="1" applyFont="1" applyBorder="1" applyAlignment="1">
      <alignment horizontal="center" vertical="center"/>
    </xf>
    <xf numFmtId="164" fontId="7" fillId="0" borderId="4" xfId="1" applyNumberFormat="1" applyFont="1" applyBorder="1" applyAlignment="1">
      <alignment horizontal="center" vertical="center"/>
    </xf>
    <xf numFmtId="164" fontId="7" fillId="0" borderId="5" xfId="1" applyNumberFormat="1" applyFont="1" applyBorder="1" applyAlignment="1">
      <alignment horizontal="center" vertical="center"/>
    </xf>
    <xf numFmtId="164" fontId="7" fillId="2" borderId="4" xfId="1" applyNumberFormat="1" applyFont="1" applyFill="1" applyBorder="1" applyAlignment="1">
      <alignment horizontal="center" vertical="center" wrapText="1"/>
    </xf>
    <xf numFmtId="164" fontId="7" fillId="2" borderId="5" xfId="1" applyNumberFormat="1" applyFont="1" applyFill="1" applyBorder="1" applyAlignment="1">
      <alignment horizontal="center" vertical="center" wrapText="1"/>
    </xf>
    <xf numFmtId="164" fontId="9" fillId="0" borderId="1" xfId="1" applyNumberFormat="1" applyFont="1" applyBorder="1" applyAlignment="1">
      <alignment horizontal="center" vertical="center"/>
    </xf>
    <xf numFmtId="49" fontId="9" fillId="4" borderId="4" xfId="1" applyNumberFormat="1" applyFont="1" applyFill="1" applyBorder="1" applyAlignment="1">
      <alignment horizontal="center" vertical="center" wrapText="1"/>
    </xf>
    <xf numFmtId="49" fontId="9" fillId="4" borderId="5" xfId="1" applyNumberFormat="1" applyFont="1" applyFill="1" applyBorder="1" applyAlignment="1">
      <alignment horizontal="center" vertical="center" wrapText="1"/>
    </xf>
    <xf numFmtId="164" fontId="9" fillId="0" borderId="1" xfId="1" applyNumberFormat="1" applyFont="1" applyFill="1" applyBorder="1" applyAlignment="1">
      <alignment horizontal="center" vertical="center"/>
    </xf>
    <xf numFmtId="17" fontId="9" fillId="0" borderId="4" xfId="1" applyNumberFormat="1" applyFont="1" applyFill="1" applyBorder="1" applyAlignment="1">
      <alignment horizontal="center" vertical="center"/>
    </xf>
    <xf numFmtId="17" fontId="9" fillId="0" borderId="5" xfId="1" applyNumberFormat="1" applyFont="1" applyFill="1" applyBorder="1" applyAlignment="1">
      <alignment horizontal="center" vertical="center"/>
    </xf>
    <xf numFmtId="49" fontId="9" fillId="2" borderId="4" xfId="1" applyNumberFormat="1" applyFont="1" applyFill="1" applyBorder="1" applyAlignment="1">
      <alignment horizontal="center" vertical="center" wrapText="1"/>
    </xf>
    <xf numFmtId="49" fontId="9" fillId="2" borderId="5" xfId="1" applyNumberFormat="1" applyFont="1" applyFill="1" applyBorder="1" applyAlignment="1">
      <alignment horizontal="center" vertical="center" wrapText="1"/>
    </xf>
    <xf numFmtId="17" fontId="9" fillId="0" borderId="4" xfId="1" applyNumberFormat="1" applyFont="1" applyBorder="1" applyAlignment="1">
      <alignment horizontal="center" vertical="center"/>
    </xf>
    <xf numFmtId="17" fontId="9" fillId="0" borderId="5" xfId="1" applyNumberFormat="1" applyFont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64" fontId="9" fillId="4" borderId="4" xfId="1" applyNumberFormat="1" applyFont="1" applyFill="1" applyBorder="1" applyAlignment="1">
      <alignment horizontal="center" vertical="center" wrapText="1"/>
    </xf>
    <xf numFmtId="164" fontId="9" fillId="4" borderId="5" xfId="1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164" fontId="16" fillId="0" borderId="6" xfId="1" applyNumberFormat="1" applyFont="1" applyFill="1" applyBorder="1" applyAlignment="1">
      <alignment horizontal="right" vertical="center"/>
    </xf>
    <xf numFmtId="164" fontId="16" fillId="0" borderId="0" xfId="1" applyNumberFormat="1" applyFont="1" applyFill="1" applyBorder="1" applyAlignment="1">
      <alignment horizontal="center" vertical="center"/>
    </xf>
    <xf numFmtId="164" fontId="15" fillId="0" borderId="0" xfId="1" applyNumberFormat="1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4" borderId="4" xfId="0" applyFont="1" applyFill="1" applyBorder="1" applyAlignment="1">
      <alignment horizontal="center" vertical="center" wrapText="1"/>
    </xf>
    <xf numFmtId="0" fontId="23" fillId="4" borderId="5" xfId="0" applyFont="1" applyFill="1" applyBorder="1" applyAlignment="1">
      <alignment horizontal="center" vertical="center" wrapText="1"/>
    </xf>
    <xf numFmtId="0" fontId="23" fillId="0" borderId="6" xfId="0" applyFont="1" applyBorder="1" applyAlignment="1">
      <alignment horizontal="right" vertical="center"/>
    </xf>
    <xf numFmtId="0" fontId="8" fillId="0" borderId="8" xfId="0" applyFont="1" applyBorder="1" applyAlignment="1">
      <alignment vertical="center"/>
    </xf>
    <xf numFmtId="17" fontId="6" fillId="0" borderId="8" xfId="1" applyNumberFormat="1" applyFont="1" applyBorder="1" applyAlignment="1">
      <alignment horizontal="left" vertical="center"/>
    </xf>
    <xf numFmtId="0" fontId="12" fillId="8" borderId="1" xfId="1" applyNumberFormat="1" applyFont="1" applyFill="1" applyBorder="1" applyAlignment="1">
      <alignment horizontal="center"/>
    </xf>
    <xf numFmtId="0" fontId="12" fillId="0" borderId="0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A85C7668-CC7E-43BD-B130-E57E78C2913F}"/>
            </a:ext>
          </a:extLst>
        </xdr:cNvPr>
        <xdr:cNvSpPr/>
      </xdr:nvSpPr>
      <xdr:spPr>
        <a:xfrm>
          <a:off x="557212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3" name="Rectangle 2">
          <a:extLst>
            <a:ext uri="{FF2B5EF4-FFF2-40B4-BE49-F238E27FC236}">
              <a16:creationId xmlns="" xmlns:a16="http://schemas.microsoft.com/office/drawing/2014/main" id="{AC51A088-C4EB-4072-B216-9EE418A5004D}"/>
            </a:ext>
          </a:extLst>
        </xdr:cNvPr>
        <xdr:cNvSpPr/>
      </xdr:nvSpPr>
      <xdr:spPr>
        <a:xfrm>
          <a:off x="557212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4" name="Rectangle 3">
          <a:extLst>
            <a:ext uri="{FF2B5EF4-FFF2-40B4-BE49-F238E27FC236}">
              <a16:creationId xmlns="" xmlns:a16="http://schemas.microsoft.com/office/drawing/2014/main" id="{51475E2D-807F-4E05-8CFD-36DAC7BF7177}"/>
            </a:ext>
          </a:extLst>
        </xdr:cNvPr>
        <xdr:cNvSpPr/>
      </xdr:nvSpPr>
      <xdr:spPr>
        <a:xfrm>
          <a:off x="557212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5" name="Rectangle 4">
          <a:extLst>
            <a:ext uri="{FF2B5EF4-FFF2-40B4-BE49-F238E27FC236}">
              <a16:creationId xmlns="" xmlns:a16="http://schemas.microsoft.com/office/drawing/2014/main" id="{129ABA8D-A07A-40B0-9DB6-8365A72F0161}"/>
            </a:ext>
          </a:extLst>
        </xdr:cNvPr>
        <xdr:cNvSpPr/>
      </xdr:nvSpPr>
      <xdr:spPr>
        <a:xfrm>
          <a:off x="557212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6" name="Rectangle 5">
          <a:extLst>
            <a:ext uri="{FF2B5EF4-FFF2-40B4-BE49-F238E27FC236}">
              <a16:creationId xmlns="" xmlns:a16="http://schemas.microsoft.com/office/drawing/2014/main" id="{CA66F03C-369E-4819-8607-1A4AFA4C2E52}"/>
            </a:ext>
          </a:extLst>
        </xdr:cNvPr>
        <xdr:cNvSpPr/>
      </xdr:nvSpPr>
      <xdr:spPr>
        <a:xfrm>
          <a:off x="557212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7" name="Rectangle 6">
          <a:extLst>
            <a:ext uri="{FF2B5EF4-FFF2-40B4-BE49-F238E27FC236}">
              <a16:creationId xmlns="" xmlns:a16="http://schemas.microsoft.com/office/drawing/2014/main" id="{86B7B56C-DA0C-4A2E-874C-01F15768B79C}"/>
            </a:ext>
          </a:extLst>
        </xdr:cNvPr>
        <xdr:cNvSpPr/>
      </xdr:nvSpPr>
      <xdr:spPr>
        <a:xfrm>
          <a:off x="557212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8" name="Rectangle 7">
          <a:extLst>
            <a:ext uri="{FF2B5EF4-FFF2-40B4-BE49-F238E27FC236}">
              <a16:creationId xmlns="" xmlns:a16="http://schemas.microsoft.com/office/drawing/2014/main" id="{BEECD175-0FC0-4F9E-A67C-EDC938252A65}"/>
            </a:ext>
          </a:extLst>
        </xdr:cNvPr>
        <xdr:cNvSpPr/>
      </xdr:nvSpPr>
      <xdr:spPr>
        <a:xfrm>
          <a:off x="557212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9" name="Rectangle 8">
          <a:extLst>
            <a:ext uri="{FF2B5EF4-FFF2-40B4-BE49-F238E27FC236}">
              <a16:creationId xmlns="" xmlns:a16="http://schemas.microsoft.com/office/drawing/2014/main" id="{318BCCC8-40A4-4BA6-9AEC-BF1E4C9CB564}"/>
            </a:ext>
          </a:extLst>
        </xdr:cNvPr>
        <xdr:cNvSpPr/>
      </xdr:nvSpPr>
      <xdr:spPr>
        <a:xfrm>
          <a:off x="557212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10" name="Rectangle 9">
          <a:extLst>
            <a:ext uri="{FF2B5EF4-FFF2-40B4-BE49-F238E27FC236}">
              <a16:creationId xmlns="" xmlns:a16="http://schemas.microsoft.com/office/drawing/2014/main" id="{DCD090A6-E772-4955-9E88-225E20504F12}"/>
            </a:ext>
          </a:extLst>
        </xdr:cNvPr>
        <xdr:cNvSpPr/>
      </xdr:nvSpPr>
      <xdr:spPr>
        <a:xfrm>
          <a:off x="557212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11" name="Rectangle 10">
          <a:extLst>
            <a:ext uri="{FF2B5EF4-FFF2-40B4-BE49-F238E27FC236}">
              <a16:creationId xmlns="" xmlns:a16="http://schemas.microsoft.com/office/drawing/2014/main" id="{DA308A88-D60E-47C5-A9DA-5DEB05F3BE75}"/>
            </a:ext>
          </a:extLst>
        </xdr:cNvPr>
        <xdr:cNvSpPr/>
      </xdr:nvSpPr>
      <xdr:spPr>
        <a:xfrm>
          <a:off x="557212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12" name="Rectangle 11">
          <a:extLst>
            <a:ext uri="{FF2B5EF4-FFF2-40B4-BE49-F238E27FC236}">
              <a16:creationId xmlns="" xmlns:a16="http://schemas.microsoft.com/office/drawing/2014/main" id="{E4E960BD-89C0-4741-AF3D-7B62E1EDD213}"/>
            </a:ext>
          </a:extLst>
        </xdr:cNvPr>
        <xdr:cNvSpPr/>
      </xdr:nvSpPr>
      <xdr:spPr>
        <a:xfrm>
          <a:off x="557212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13" name="Rectangle 12">
          <a:extLst>
            <a:ext uri="{FF2B5EF4-FFF2-40B4-BE49-F238E27FC236}">
              <a16:creationId xmlns="" xmlns:a16="http://schemas.microsoft.com/office/drawing/2014/main" id="{1A1244B0-5F5D-4BDB-819F-4FA333135D82}"/>
            </a:ext>
          </a:extLst>
        </xdr:cNvPr>
        <xdr:cNvSpPr/>
      </xdr:nvSpPr>
      <xdr:spPr>
        <a:xfrm>
          <a:off x="557212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14" name="Rectangle 13">
          <a:extLst>
            <a:ext uri="{FF2B5EF4-FFF2-40B4-BE49-F238E27FC236}">
              <a16:creationId xmlns="" xmlns:a16="http://schemas.microsoft.com/office/drawing/2014/main" id="{573BEBB2-3041-4FD0-9256-3742A58610D0}"/>
            </a:ext>
          </a:extLst>
        </xdr:cNvPr>
        <xdr:cNvSpPr/>
      </xdr:nvSpPr>
      <xdr:spPr>
        <a:xfrm>
          <a:off x="557212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15" name="Rectangle 14">
          <a:extLst>
            <a:ext uri="{FF2B5EF4-FFF2-40B4-BE49-F238E27FC236}">
              <a16:creationId xmlns="" xmlns:a16="http://schemas.microsoft.com/office/drawing/2014/main" id="{68FE8F84-8F38-4D5D-9644-55CD1ECC502C}"/>
            </a:ext>
          </a:extLst>
        </xdr:cNvPr>
        <xdr:cNvSpPr/>
      </xdr:nvSpPr>
      <xdr:spPr>
        <a:xfrm>
          <a:off x="557212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16" name="Rectangle 15">
          <a:extLst>
            <a:ext uri="{FF2B5EF4-FFF2-40B4-BE49-F238E27FC236}">
              <a16:creationId xmlns="" xmlns:a16="http://schemas.microsoft.com/office/drawing/2014/main" id="{3E41AC35-0E95-40D6-B389-637A074F0387}"/>
            </a:ext>
          </a:extLst>
        </xdr:cNvPr>
        <xdr:cNvSpPr/>
      </xdr:nvSpPr>
      <xdr:spPr>
        <a:xfrm>
          <a:off x="557212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17" name="Rectangle 16">
          <a:extLst>
            <a:ext uri="{FF2B5EF4-FFF2-40B4-BE49-F238E27FC236}">
              <a16:creationId xmlns="" xmlns:a16="http://schemas.microsoft.com/office/drawing/2014/main" id="{DEE1F1F1-3DFC-4485-AC75-DC726146D055}"/>
            </a:ext>
          </a:extLst>
        </xdr:cNvPr>
        <xdr:cNvSpPr/>
      </xdr:nvSpPr>
      <xdr:spPr>
        <a:xfrm>
          <a:off x="557212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18" name="Rectangle 17">
          <a:extLst>
            <a:ext uri="{FF2B5EF4-FFF2-40B4-BE49-F238E27FC236}">
              <a16:creationId xmlns="" xmlns:a16="http://schemas.microsoft.com/office/drawing/2014/main" id="{C760D333-320E-4B6E-A55D-AB90C660F5D7}"/>
            </a:ext>
          </a:extLst>
        </xdr:cNvPr>
        <xdr:cNvSpPr/>
      </xdr:nvSpPr>
      <xdr:spPr>
        <a:xfrm>
          <a:off x="557212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19" name="Rectangle 18">
          <a:extLst>
            <a:ext uri="{FF2B5EF4-FFF2-40B4-BE49-F238E27FC236}">
              <a16:creationId xmlns="" xmlns:a16="http://schemas.microsoft.com/office/drawing/2014/main" id="{BCF48B78-B298-45B7-AA8F-7FEE0579EE42}"/>
            </a:ext>
          </a:extLst>
        </xdr:cNvPr>
        <xdr:cNvSpPr/>
      </xdr:nvSpPr>
      <xdr:spPr>
        <a:xfrm>
          <a:off x="557212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20" name="Rectangle 19">
          <a:extLst>
            <a:ext uri="{FF2B5EF4-FFF2-40B4-BE49-F238E27FC236}">
              <a16:creationId xmlns="" xmlns:a16="http://schemas.microsoft.com/office/drawing/2014/main" id="{2B310066-60AF-4539-8048-9CAFF2B737D3}"/>
            </a:ext>
          </a:extLst>
        </xdr:cNvPr>
        <xdr:cNvSpPr/>
      </xdr:nvSpPr>
      <xdr:spPr>
        <a:xfrm>
          <a:off x="557212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21" name="Rectangle 20">
          <a:extLst>
            <a:ext uri="{FF2B5EF4-FFF2-40B4-BE49-F238E27FC236}">
              <a16:creationId xmlns="" xmlns:a16="http://schemas.microsoft.com/office/drawing/2014/main" id="{65997EC8-E687-49AD-B452-94132E2AD6C1}"/>
            </a:ext>
          </a:extLst>
        </xdr:cNvPr>
        <xdr:cNvSpPr/>
      </xdr:nvSpPr>
      <xdr:spPr>
        <a:xfrm>
          <a:off x="557212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22" name="Rectangle 21">
          <a:extLst>
            <a:ext uri="{FF2B5EF4-FFF2-40B4-BE49-F238E27FC236}">
              <a16:creationId xmlns="" xmlns:a16="http://schemas.microsoft.com/office/drawing/2014/main" id="{C9A1D40A-1AE0-4CD0-8C3E-DCD582960626}"/>
            </a:ext>
          </a:extLst>
        </xdr:cNvPr>
        <xdr:cNvSpPr/>
      </xdr:nvSpPr>
      <xdr:spPr>
        <a:xfrm>
          <a:off x="557212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23" name="Rectangle 22">
          <a:extLst>
            <a:ext uri="{FF2B5EF4-FFF2-40B4-BE49-F238E27FC236}">
              <a16:creationId xmlns="" xmlns:a16="http://schemas.microsoft.com/office/drawing/2014/main" id="{F2D78C44-D342-433A-98F8-23AD17B2B46E}"/>
            </a:ext>
          </a:extLst>
        </xdr:cNvPr>
        <xdr:cNvSpPr/>
      </xdr:nvSpPr>
      <xdr:spPr>
        <a:xfrm>
          <a:off x="557212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24" name="Rectangle 23">
          <a:extLst>
            <a:ext uri="{FF2B5EF4-FFF2-40B4-BE49-F238E27FC236}">
              <a16:creationId xmlns="" xmlns:a16="http://schemas.microsoft.com/office/drawing/2014/main" id="{18ADECC8-0CF2-4EB4-BEBF-AA1B31EB9BB3}"/>
            </a:ext>
          </a:extLst>
        </xdr:cNvPr>
        <xdr:cNvSpPr/>
      </xdr:nvSpPr>
      <xdr:spPr>
        <a:xfrm>
          <a:off x="557212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25" name="Rectangle 24">
          <a:extLst>
            <a:ext uri="{FF2B5EF4-FFF2-40B4-BE49-F238E27FC236}">
              <a16:creationId xmlns="" xmlns:a16="http://schemas.microsoft.com/office/drawing/2014/main" id="{34A351C3-E31F-444E-B467-D578A7B6D016}"/>
            </a:ext>
          </a:extLst>
        </xdr:cNvPr>
        <xdr:cNvSpPr/>
      </xdr:nvSpPr>
      <xdr:spPr>
        <a:xfrm>
          <a:off x="557212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26" name="Rectangle 25">
          <a:extLst>
            <a:ext uri="{FF2B5EF4-FFF2-40B4-BE49-F238E27FC236}">
              <a16:creationId xmlns="" xmlns:a16="http://schemas.microsoft.com/office/drawing/2014/main" id="{6B972493-19A4-465A-B0E9-A7D363460A59}"/>
            </a:ext>
          </a:extLst>
        </xdr:cNvPr>
        <xdr:cNvSpPr/>
      </xdr:nvSpPr>
      <xdr:spPr>
        <a:xfrm>
          <a:off x="557212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27" name="Rectangle 26">
          <a:extLst>
            <a:ext uri="{FF2B5EF4-FFF2-40B4-BE49-F238E27FC236}">
              <a16:creationId xmlns="" xmlns:a16="http://schemas.microsoft.com/office/drawing/2014/main" id="{7CE90DAC-74BE-42A1-8425-F99A6C3AB2F8}"/>
            </a:ext>
          </a:extLst>
        </xdr:cNvPr>
        <xdr:cNvSpPr/>
      </xdr:nvSpPr>
      <xdr:spPr>
        <a:xfrm>
          <a:off x="557212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28" name="Rectangle 27">
          <a:extLst>
            <a:ext uri="{FF2B5EF4-FFF2-40B4-BE49-F238E27FC236}">
              <a16:creationId xmlns="" xmlns:a16="http://schemas.microsoft.com/office/drawing/2014/main" id="{EDF5DED8-910A-4F85-A035-872A645C9D47}"/>
            </a:ext>
          </a:extLst>
        </xdr:cNvPr>
        <xdr:cNvSpPr/>
      </xdr:nvSpPr>
      <xdr:spPr>
        <a:xfrm>
          <a:off x="557212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29" name="Rectangle 28">
          <a:extLst>
            <a:ext uri="{FF2B5EF4-FFF2-40B4-BE49-F238E27FC236}">
              <a16:creationId xmlns="" xmlns:a16="http://schemas.microsoft.com/office/drawing/2014/main" id="{9ABD548B-6B22-411E-8C16-882B8904B40E}"/>
            </a:ext>
          </a:extLst>
        </xdr:cNvPr>
        <xdr:cNvSpPr/>
      </xdr:nvSpPr>
      <xdr:spPr>
        <a:xfrm>
          <a:off x="557212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30" name="Rectangle 29">
          <a:extLst>
            <a:ext uri="{FF2B5EF4-FFF2-40B4-BE49-F238E27FC236}">
              <a16:creationId xmlns="" xmlns:a16="http://schemas.microsoft.com/office/drawing/2014/main" id="{46C74649-91D2-4BAA-B669-EF3B25C33D0A}"/>
            </a:ext>
          </a:extLst>
        </xdr:cNvPr>
        <xdr:cNvSpPr/>
      </xdr:nvSpPr>
      <xdr:spPr>
        <a:xfrm>
          <a:off x="557212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31" name="Rectangle 30">
          <a:extLst>
            <a:ext uri="{FF2B5EF4-FFF2-40B4-BE49-F238E27FC236}">
              <a16:creationId xmlns="" xmlns:a16="http://schemas.microsoft.com/office/drawing/2014/main" id="{030B71F5-5F79-4C90-ACCF-17AFDD1EAFBA}"/>
            </a:ext>
          </a:extLst>
        </xdr:cNvPr>
        <xdr:cNvSpPr/>
      </xdr:nvSpPr>
      <xdr:spPr>
        <a:xfrm>
          <a:off x="557212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32" name="Rectangle 31">
          <a:extLst>
            <a:ext uri="{FF2B5EF4-FFF2-40B4-BE49-F238E27FC236}">
              <a16:creationId xmlns="" xmlns:a16="http://schemas.microsoft.com/office/drawing/2014/main" id="{706972F2-817E-4C60-A7E9-038019502412}"/>
            </a:ext>
          </a:extLst>
        </xdr:cNvPr>
        <xdr:cNvSpPr/>
      </xdr:nvSpPr>
      <xdr:spPr>
        <a:xfrm>
          <a:off x="557212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33" name="Rectangle 32">
          <a:extLst>
            <a:ext uri="{FF2B5EF4-FFF2-40B4-BE49-F238E27FC236}">
              <a16:creationId xmlns="" xmlns:a16="http://schemas.microsoft.com/office/drawing/2014/main" id="{4387D0FD-7320-43EF-8877-3773031A639F}"/>
            </a:ext>
          </a:extLst>
        </xdr:cNvPr>
        <xdr:cNvSpPr/>
      </xdr:nvSpPr>
      <xdr:spPr>
        <a:xfrm>
          <a:off x="557212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34" name="Rectangle 33">
          <a:extLst>
            <a:ext uri="{FF2B5EF4-FFF2-40B4-BE49-F238E27FC236}">
              <a16:creationId xmlns="" xmlns:a16="http://schemas.microsoft.com/office/drawing/2014/main" id="{C6E3474C-8829-4C66-89E0-AD9B7F998BF9}"/>
            </a:ext>
          </a:extLst>
        </xdr:cNvPr>
        <xdr:cNvSpPr/>
      </xdr:nvSpPr>
      <xdr:spPr>
        <a:xfrm>
          <a:off x="511780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317209</xdr:colOff>
      <xdr:row>0</xdr:row>
      <xdr:rowOff>0</xdr:rowOff>
    </xdr:from>
    <xdr:ext cx="184731" cy="937629"/>
    <xdr:sp macro="" textlink="">
      <xdr:nvSpPr>
        <xdr:cNvPr id="35" name="Rectangle 34">
          <a:extLst>
            <a:ext uri="{FF2B5EF4-FFF2-40B4-BE49-F238E27FC236}">
              <a16:creationId xmlns="" xmlns:a16="http://schemas.microsoft.com/office/drawing/2014/main" id="{8378EAF4-C03E-49E1-BA7B-874D08B43F52}"/>
            </a:ext>
          </a:extLst>
        </xdr:cNvPr>
        <xdr:cNvSpPr/>
      </xdr:nvSpPr>
      <xdr:spPr>
        <a:xfrm>
          <a:off x="539403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36" name="Rectangle 35">
          <a:extLst>
            <a:ext uri="{FF2B5EF4-FFF2-40B4-BE49-F238E27FC236}">
              <a16:creationId xmlns="" xmlns:a16="http://schemas.microsoft.com/office/drawing/2014/main" id="{60BF7489-10FF-456D-A519-9D9CD3D04D70}"/>
            </a:ext>
          </a:extLst>
        </xdr:cNvPr>
        <xdr:cNvSpPr/>
      </xdr:nvSpPr>
      <xdr:spPr>
        <a:xfrm>
          <a:off x="511780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317209</xdr:colOff>
      <xdr:row>0</xdr:row>
      <xdr:rowOff>0</xdr:rowOff>
    </xdr:from>
    <xdr:ext cx="184731" cy="937629"/>
    <xdr:sp macro="" textlink="">
      <xdr:nvSpPr>
        <xdr:cNvPr id="37" name="Rectangle 36">
          <a:extLst>
            <a:ext uri="{FF2B5EF4-FFF2-40B4-BE49-F238E27FC236}">
              <a16:creationId xmlns="" xmlns:a16="http://schemas.microsoft.com/office/drawing/2014/main" id="{C47684AE-AC4E-4EBB-BDBD-CA6897E6AD1A}"/>
            </a:ext>
          </a:extLst>
        </xdr:cNvPr>
        <xdr:cNvSpPr/>
      </xdr:nvSpPr>
      <xdr:spPr>
        <a:xfrm>
          <a:off x="539403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937629"/>
    <xdr:sp macro="" textlink="">
      <xdr:nvSpPr>
        <xdr:cNvPr id="38" name="Rectangle 37">
          <a:extLst>
            <a:ext uri="{FF2B5EF4-FFF2-40B4-BE49-F238E27FC236}">
              <a16:creationId xmlns="" xmlns:a16="http://schemas.microsoft.com/office/drawing/2014/main" id="{BFEEE2A8-D0AB-406B-990F-F0A870601293}"/>
            </a:ext>
          </a:extLst>
        </xdr:cNvPr>
        <xdr:cNvSpPr/>
      </xdr:nvSpPr>
      <xdr:spPr>
        <a:xfrm>
          <a:off x="507682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39" name="Rectangle 38">
          <a:extLst>
            <a:ext uri="{FF2B5EF4-FFF2-40B4-BE49-F238E27FC236}">
              <a16:creationId xmlns="" xmlns:a16="http://schemas.microsoft.com/office/drawing/2014/main" id="{AAA44838-5CEC-4B28-A6FF-DCBDA0101211}"/>
            </a:ext>
          </a:extLst>
        </xdr:cNvPr>
        <xdr:cNvSpPr/>
      </xdr:nvSpPr>
      <xdr:spPr>
        <a:xfrm>
          <a:off x="511780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317209</xdr:colOff>
      <xdr:row>0</xdr:row>
      <xdr:rowOff>0</xdr:rowOff>
    </xdr:from>
    <xdr:ext cx="184731" cy="937629"/>
    <xdr:sp macro="" textlink="">
      <xdr:nvSpPr>
        <xdr:cNvPr id="40" name="Rectangle 39">
          <a:extLst>
            <a:ext uri="{FF2B5EF4-FFF2-40B4-BE49-F238E27FC236}">
              <a16:creationId xmlns="" xmlns:a16="http://schemas.microsoft.com/office/drawing/2014/main" id="{D9EE970E-445C-4BBC-B247-8451533D00F9}"/>
            </a:ext>
          </a:extLst>
        </xdr:cNvPr>
        <xdr:cNvSpPr/>
      </xdr:nvSpPr>
      <xdr:spPr>
        <a:xfrm>
          <a:off x="539403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41" name="Rectangle 40">
          <a:extLst>
            <a:ext uri="{FF2B5EF4-FFF2-40B4-BE49-F238E27FC236}">
              <a16:creationId xmlns="" xmlns:a16="http://schemas.microsoft.com/office/drawing/2014/main" id="{E96C9AA6-C7D6-4C34-BB2D-7E2BFE34F0A4}"/>
            </a:ext>
          </a:extLst>
        </xdr:cNvPr>
        <xdr:cNvSpPr/>
      </xdr:nvSpPr>
      <xdr:spPr>
        <a:xfrm>
          <a:off x="511780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317209</xdr:colOff>
      <xdr:row>0</xdr:row>
      <xdr:rowOff>0</xdr:rowOff>
    </xdr:from>
    <xdr:ext cx="184731" cy="937629"/>
    <xdr:sp macro="" textlink="">
      <xdr:nvSpPr>
        <xdr:cNvPr id="42" name="Rectangle 41">
          <a:extLst>
            <a:ext uri="{FF2B5EF4-FFF2-40B4-BE49-F238E27FC236}">
              <a16:creationId xmlns="" xmlns:a16="http://schemas.microsoft.com/office/drawing/2014/main" id="{F20A1E17-F2AD-4930-ABA3-3F76DF75DD72}"/>
            </a:ext>
          </a:extLst>
        </xdr:cNvPr>
        <xdr:cNvSpPr/>
      </xdr:nvSpPr>
      <xdr:spPr>
        <a:xfrm>
          <a:off x="539403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937629"/>
    <xdr:sp macro="" textlink="">
      <xdr:nvSpPr>
        <xdr:cNvPr id="43" name="Rectangle 42">
          <a:extLst>
            <a:ext uri="{FF2B5EF4-FFF2-40B4-BE49-F238E27FC236}">
              <a16:creationId xmlns="" xmlns:a16="http://schemas.microsoft.com/office/drawing/2014/main" id="{45605BDD-E5D3-46D6-8662-A04A8A203B9A}"/>
            </a:ext>
          </a:extLst>
        </xdr:cNvPr>
        <xdr:cNvSpPr/>
      </xdr:nvSpPr>
      <xdr:spPr>
        <a:xfrm>
          <a:off x="507682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44" name="Rectangle 43">
          <a:extLst>
            <a:ext uri="{FF2B5EF4-FFF2-40B4-BE49-F238E27FC236}">
              <a16:creationId xmlns="" xmlns:a16="http://schemas.microsoft.com/office/drawing/2014/main" id="{61FFF6D8-77E4-4555-9C52-5D15811F7413}"/>
            </a:ext>
          </a:extLst>
        </xdr:cNvPr>
        <xdr:cNvSpPr/>
      </xdr:nvSpPr>
      <xdr:spPr>
        <a:xfrm>
          <a:off x="511780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317209</xdr:colOff>
      <xdr:row>0</xdr:row>
      <xdr:rowOff>0</xdr:rowOff>
    </xdr:from>
    <xdr:ext cx="184731" cy="937629"/>
    <xdr:sp macro="" textlink="">
      <xdr:nvSpPr>
        <xdr:cNvPr id="45" name="Rectangle 44">
          <a:extLst>
            <a:ext uri="{FF2B5EF4-FFF2-40B4-BE49-F238E27FC236}">
              <a16:creationId xmlns="" xmlns:a16="http://schemas.microsoft.com/office/drawing/2014/main" id="{F3CBA6C2-4F85-4A1D-B1B3-49FDF3D3794D}"/>
            </a:ext>
          </a:extLst>
        </xdr:cNvPr>
        <xdr:cNvSpPr/>
      </xdr:nvSpPr>
      <xdr:spPr>
        <a:xfrm>
          <a:off x="539403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46" name="Rectangle 45">
          <a:extLst>
            <a:ext uri="{FF2B5EF4-FFF2-40B4-BE49-F238E27FC236}">
              <a16:creationId xmlns="" xmlns:a16="http://schemas.microsoft.com/office/drawing/2014/main" id="{D73B579E-AFDF-49DC-9419-BF6C162800AF}"/>
            </a:ext>
          </a:extLst>
        </xdr:cNvPr>
        <xdr:cNvSpPr/>
      </xdr:nvSpPr>
      <xdr:spPr>
        <a:xfrm>
          <a:off x="511780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317209</xdr:colOff>
      <xdr:row>0</xdr:row>
      <xdr:rowOff>0</xdr:rowOff>
    </xdr:from>
    <xdr:ext cx="184731" cy="937629"/>
    <xdr:sp macro="" textlink="">
      <xdr:nvSpPr>
        <xdr:cNvPr id="47" name="Rectangle 46">
          <a:extLst>
            <a:ext uri="{FF2B5EF4-FFF2-40B4-BE49-F238E27FC236}">
              <a16:creationId xmlns="" xmlns:a16="http://schemas.microsoft.com/office/drawing/2014/main" id="{4743B60B-BDAD-4198-9B0F-C9B63C38B94E}"/>
            </a:ext>
          </a:extLst>
        </xdr:cNvPr>
        <xdr:cNvSpPr/>
      </xdr:nvSpPr>
      <xdr:spPr>
        <a:xfrm>
          <a:off x="539403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937629"/>
    <xdr:sp macro="" textlink="">
      <xdr:nvSpPr>
        <xdr:cNvPr id="48" name="Rectangle 47">
          <a:extLst>
            <a:ext uri="{FF2B5EF4-FFF2-40B4-BE49-F238E27FC236}">
              <a16:creationId xmlns="" xmlns:a16="http://schemas.microsoft.com/office/drawing/2014/main" id="{FBA4531C-A6FD-462C-A8E4-6B6258F67F9C}"/>
            </a:ext>
          </a:extLst>
        </xdr:cNvPr>
        <xdr:cNvSpPr/>
      </xdr:nvSpPr>
      <xdr:spPr>
        <a:xfrm>
          <a:off x="507682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49" name="Rectangle 48">
          <a:extLst>
            <a:ext uri="{FF2B5EF4-FFF2-40B4-BE49-F238E27FC236}">
              <a16:creationId xmlns="" xmlns:a16="http://schemas.microsoft.com/office/drawing/2014/main" id="{DFE045D2-443E-46B5-A845-D0C18A717FE1}"/>
            </a:ext>
          </a:extLst>
        </xdr:cNvPr>
        <xdr:cNvSpPr/>
      </xdr:nvSpPr>
      <xdr:spPr>
        <a:xfrm>
          <a:off x="511780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317209</xdr:colOff>
      <xdr:row>0</xdr:row>
      <xdr:rowOff>0</xdr:rowOff>
    </xdr:from>
    <xdr:ext cx="184731" cy="937629"/>
    <xdr:sp macro="" textlink="">
      <xdr:nvSpPr>
        <xdr:cNvPr id="50" name="Rectangle 49">
          <a:extLst>
            <a:ext uri="{FF2B5EF4-FFF2-40B4-BE49-F238E27FC236}">
              <a16:creationId xmlns="" xmlns:a16="http://schemas.microsoft.com/office/drawing/2014/main" id="{BE6BF808-5EB7-46CC-8733-BD397EDA58B5}"/>
            </a:ext>
          </a:extLst>
        </xdr:cNvPr>
        <xdr:cNvSpPr/>
      </xdr:nvSpPr>
      <xdr:spPr>
        <a:xfrm>
          <a:off x="539403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51" name="Rectangle 50">
          <a:extLst>
            <a:ext uri="{FF2B5EF4-FFF2-40B4-BE49-F238E27FC236}">
              <a16:creationId xmlns="" xmlns:a16="http://schemas.microsoft.com/office/drawing/2014/main" id="{A5233394-0F7B-4472-BFE9-3C485EEC2264}"/>
            </a:ext>
          </a:extLst>
        </xdr:cNvPr>
        <xdr:cNvSpPr/>
      </xdr:nvSpPr>
      <xdr:spPr>
        <a:xfrm>
          <a:off x="511780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317209</xdr:colOff>
      <xdr:row>0</xdr:row>
      <xdr:rowOff>0</xdr:rowOff>
    </xdr:from>
    <xdr:ext cx="184731" cy="937629"/>
    <xdr:sp macro="" textlink="">
      <xdr:nvSpPr>
        <xdr:cNvPr id="52" name="Rectangle 51">
          <a:extLst>
            <a:ext uri="{FF2B5EF4-FFF2-40B4-BE49-F238E27FC236}">
              <a16:creationId xmlns="" xmlns:a16="http://schemas.microsoft.com/office/drawing/2014/main" id="{70CDA84F-40FC-4C6E-B6AE-20E1E3486A06}"/>
            </a:ext>
          </a:extLst>
        </xdr:cNvPr>
        <xdr:cNvSpPr/>
      </xdr:nvSpPr>
      <xdr:spPr>
        <a:xfrm>
          <a:off x="539403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937629"/>
    <xdr:sp macro="" textlink="">
      <xdr:nvSpPr>
        <xdr:cNvPr id="53" name="Rectangle 52">
          <a:extLst>
            <a:ext uri="{FF2B5EF4-FFF2-40B4-BE49-F238E27FC236}">
              <a16:creationId xmlns="" xmlns:a16="http://schemas.microsoft.com/office/drawing/2014/main" id="{373D6E44-CC39-41FC-9D38-A608CAD41135}"/>
            </a:ext>
          </a:extLst>
        </xdr:cNvPr>
        <xdr:cNvSpPr/>
      </xdr:nvSpPr>
      <xdr:spPr>
        <a:xfrm>
          <a:off x="507682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54" name="Rectangle 53">
          <a:extLst>
            <a:ext uri="{FF2B5EF4-FFF2-40B4-BE49-F238E27FC236}">
              <a16:creationId xmlns="" xmlns:a16="http://schemas.microsoft.com/office/drawing/2014/main" id="{B96F1CFB-80B5-40E7-8245-FFC5BD59F385}"/>
            </a:ext>
          </a:extLst>
        </xdr:cNvPr>
        <xdr:cNvSpPr/>
      </xdr:nvSpPr>
      <xdr:spPr>
        <a:xfrm>
          <a:off x="543877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55" name="Rectangle 54">
          <a:extLst>
            <a:ext uri="{FF2B5EF4-FFF2-40B4-BE49-F238E27FC236}">
              <a16:creationId xmlns="" xmlns:a16="http://schemas.microsoft.com/office/drawing/2014/main" id="{0A4A5E0D-9F90-4B54-8C08-343564A6DBEA}"/>
            </a:ext>
          </a:extLst>
        </xdr:cNvPr>
        <xdr:cNvSpPr/>
      </xdr:nvSpPr>
      <xdr:spPr>
        <a:xfrm>
          <a:off x="543877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56" name="Rectangle 55">
          <a:extLst>
            <a:ext uri="{FF2B5EF4-FFF2-40B4-BE49-F238E27FC236}">
              <a16:creationId xmlns="" xmlns:a16="http://schemas.microsoft.com/office/drawing/2014/main" id="{94A52B4D-4AAF-42EA-978F-179F682C6C80}"/>
            </a:ext>
          </a:extLst>
        </xdr:cNvPr>
        <xdr:cNvSpPr/>
      </xdr:nvSpPr>
      <xdr:spPr>
        <a:xfrm>
          <a:off x="543877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57" name="Rectangle 56">
          <a:extLst>
            <a:ext uri="{FF2B5EF4-FFF2-40B4-BE49-F238E27FC236}">
              <a16:creationId xmlns="" xmlns:a16="http://schemas.microsoft.com/office/drawing/2014/main" id="{C132B66A-4422-4FCE-8772-28F06F2770DE}"/>
            </a:ext>
          </a:extLst>
        </xdr:cNvPr>
        <xdr:cNvSpPr/>
      </xdr:nvSpPr>
      <xdr:spPr>
        <a:xfrm>
          <a:off x="543877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58" name="Rectangle 57">
          <a:extLst>
            <a:ext uri="{FF2B5EF4-FFF2-40B4-BE49-F238E27FC236}">
              <a16:creationId xmlns="" xmlns:a16="http://schemas.microsoft.com/office/drawing/2014/main" id="{C8FF4BDE-29DF-433C-80BB-FDDED8075C8C}"/>
            </a:ext>
          </a:extLst>
        </xdr:cNvPr>
        <xdr:cNvSpPr/>
      </xdr:nvSpPr>
      <xdr:spPr>
        <a:xfrm>
          <a:off x="543877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59" name="Rectangle 58">
          <a:extLst>
            <a:ext uri="{FF2B5EF4-FFF2-40B4-BE49-F238E27FC236}">
              <a16:creationId xmlns="" xmlns:a16="http://schemas.microsoft.com/office/drawing/2014/main" id="{5BBD2EAD-6468-4448-8A06-4CDB7B906B92}"/>
            </a:ext>
          </a:extLst>
        </xdr:cNvPr>
        <xdr:cNvSpPr/>
      </xdr:nvSpPr>
      <xdr:spPr>
        <a:xfrm>
          <a:off x="543877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60" name="Rectangle 59">
          <a:extLst>
            <a:ext uri="{FF2B5EF4-FFF2-40B4-BE49-F238E27FC236}">
              <a16:creationId xmlns="" xmlns:a16="http://schemas.microsoft.com/office/drawing/2014/main" id="{233D2A62-7429-43DE-ACA9-41CF38EA699C}"/>
            </a:ext>
          </a:extLst>
        </xdr:cNvPr>
        <xdr:cNvSpPr/>
      </xdr:nvSpPr>
      <xdr:spPr>
        <a:xfrm>
          <a:off x="543877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61" name="Rectangle 60">
          <a:extLst>
            <a:ext uri="{FF2B5EF4-FFF2-40B4-BE49-F238E27FC236}">
              <a16:creationId xmlns="" xmlns:a16="http://schemas.microsoft.com/office/drawing/2014/main" id="{E67EF968-D46F-4781-A61D-ECB810FAF2EB}"/>
            </a:ext>
          </a:extLst>
        </xdr:cNvPr>
        <xdr:cNvSpPr/>
      </xdr:nvSpPr>
      <xdr:spPr>
        <a:xfrm>
          <a:off x="543877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62" name="Rectangle 61">
          <a:extLst>
            <a:ext uri="{FF2B5EF4-FFF2-40B4-BE49-F238E27FC236}">
              <a16:creationId xmlns="" xmlns:a16="http://schemas.microsoft.com/office/drawing/2014/main" id="{64B937ED-682D-4D5A-8319-9DB1DE4A00B9}"/>
            </a:ext>
          </a:extLst>
        </xdr:cNvPr>
        <xdr:cNvSpPr/>
      </xdr:nvSpPr>
      <xdr:spPr>
        <a:xfrm>
          <a:off x="543877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63" name="Rectangle 62">
          <a:extLst>
            <a:ext uri="{FF2B5EF4-FFF2-40B4-BE49-F238E27FC236}">
              <a16:creationId xmlns="" xmlns:a16="http://schemas.microsoft.com/office/drawing/2014/main" id="{25F82838-3B44-4D48-9000-769252DFFF65}"/>
            </a:ext>
          </a:extLst>
        </xdr:cNvPr>
        <xdr:cNvSpPr/>
      </xdr:nvSpPr>
      <xdr:spPr>
        <a:xfrm>
          <a:off x="543877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64" name="Rectangle 63">
          <a:extLst>
            <a:ext uri="{FF2B5EF4-FFF2-40B4-BE49-F238E27FC236}">
              <a16:creationId xmlns="" xmlns:a16="http://schemas.microsoft.com/office/drawing/2014/main" id="{81FAC46A-8E54-45D5-A805-85F78BC95C6F}"/>
            </a:ext>
          </a:extLst>
        </xdr:cNvPr>
        <xdr:cNvSpPr/>
      </xdr:nvSpPr>
      <xdr:spPr>
        <a:xfrm>
          <a:off x="543877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65" name="Rectangle 64">
          <a:extLst>
            <a:ext uri="{FF2B5EF4-FFF2-40B4-BE49-F238E27FC236}">
              <a16:creationId xmlns="" xmlns:a16="http://schemas.microsoft.com/office/drawing/2014/main" id="{DBAC5110-95A4-48EF-9487-ED262712EFC9}"/>
            </a:ext>
          </a:extLst>
        </xdr:cNvPr>
        <xdr:cNvSpPr/>
      </xdr:nvSpPr>
      <xdr:spPr>
        <a:xfrm>
          <a:off x="543877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66" name="Rectangle 65">
          <a:extLst>
            <a:ext uri="{FF2B5EF4-FFF2-40B4-BE49-F238E27FC236}">
              <a16:creationId xmlns="" xmlns:a16="http://schemas.microsoft.com/office/drawing/2014/main" id="{3D919546-74BE-4B9D-8822-A55D9A547EDC}"/>
            </a:ext>
          </a:extLst>
        </xdr:cNvPr>
        <xdr:cNvSpPr/>
      </xdr:nvSpPr>
      <xdr:spPr>
        <a:xfrm>
          <a:off x="543877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67" name="Rectangle 66">
          <a:extLst>
            <a:ext uri="{FF2B5EF4-FFF2-40B4-BE49-F238E27FC236}">
              <a16:creationId xmlns="" xmlns:a16="http://schemas.microsoft.com/office/drawing/2014/main" id="{FB7CA34A-06F1-48B6-B84F-75DC4AEE584B}"/>
            </a:ext>
          </a:extLst>
        </xdr:cNvPr>
        <xdr:cNvSpPr/>
      </xdr:nvSpPr>
      <xdr:spPr>
        <a:xfrm>
          <a:off x="543877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68" name="Rectangle 67">
          <a:extLst>
            <a:ext uri="{FF2B5EF4-FFF2-40B4-BE49-F238E27FC236}">
              <a16:creationId xmlns="" xmlns:a16="http://schemas.microsoft.com/office/drawing/2014/main" id="{D22A5A45-E93F-4EEE-8B7C-0C968AF4A690}"/>
            </a:ext>
          </a:extLst>
        </xdr:cNvPr>
        <xdr:cNvSpPr/>
      </xdr:nvSpPr>
      <xdr:spPr>
        <a:xfrm>
          <a:off x="543877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69" name="Rectangle 68">
          <a:extLst>
            <a:ext uri="{FF2B5EF4-FFF2-40B4-BE49-F238E27FC236}">
              <a16:creationId xmlns="" xmlns:a16="http://schemas.microsoft.com/office/drawing/2014/main" id="{BC190E0D-136E-4CBE-842A-D39B6C048142}"/>
            </a:ext>
          </a:extLst>
        </xdr:cNvPr>
        <xdr:cNvSpPr/>
      </xdr:nvSpPr>
      <xdr:spPr>
        <a:xfrm>
          <a:off x="543877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70" name="Rectangle 69">
          <a:extLst>
            <a:ext uri="{FF2B5EF4-FFF2-40B4-BE49-F238E27FC236}">
              <a16:creationId xmlns="" xmlns:a16="http://schemas.microsoft.com/office/drawing/2014/main" id="{219B12A0-32F8-4A15-93F4-C874D47FCE93}"/>
            </a:ext>
          </a:extLst>
        </xdr:cNvPr>
        <xdr:cNvSpPr/>
      </xdr:nvSpPr>
      <xdr:spPr>
        <a:xfrm>
          <a:off x="543877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71" name="Rectangle 70">
          <a:extLst>
            <a:ext uri="{FF2B5EF4-FFF2-40B4-BE49-F238E27FC236}">
              <a16:creationId xmlns="" xmlns:a16="http://schemas.microsoft.com/office/drawing/2014/main" id="{6D4EF07B-9B1F-4568-8CF5-379502ECA013}"/>
            </a:ext>
          </a:extLst>
        </xdr:cNvPr>
        <xdr:cNvSpPr/>
      </xdr:nvSpPr>
      <xdr:spPr>
        <a:xfrm>
          <a:off x="543877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72" name="Rectangle 71">
          <a:extLst>
            <a:ext uri="{FF2B5EF4-FFF2-40B4-BE49-F238E27FC236}">
              <a16:creationId xmlns="" xmlns:a16="http://schemas.microsoft.com/office/drawing/2014/main" id="{6ECDF97A-B5E0-4B42-B5E6-F48611929CC2}"/>
            </a:ext>
          </a:extLst>
        </xdr:cNvPr>
        <xdr:cNvSpPr/>
      </xdr:nvSpPr>
      <xdr:spPr>
        <a:xfrm>
          <a:off x="543877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73" name="Rectangle 72">
          <a:extLst>
            <a:ext uri="{FF2B5EF4-FFF2-40B4-BE49-F238E27FC236}">
              <a16:creationId xmlns="" xmlns:a16="http://schemas.microsoft.com/office/drawing/2014/main" id="{E1D6BF16-8B8B-4594-9A5A-872071B24D00}"/>
            </a:ext>
          </a:extLst>
        </xdr:cNvPr>
        <xdr:cNvSpPr/>
      </xdr:nvSpPr>
      <xdr:spPr>
        <a:xfrm>
          <a:off x="543877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74" name="Rectangle 73">
          <a:extLst>
            <a:ext uri="{FF2B5EF4-FFF2-40B4-BE49-F238E27FC236}">
              <a16:creationId xmlns="" xmlns:a16="http://schemas.microsoft.com/office/drawing/2014/main" id="{D93D9E93-1352-4A59-A6C9-A540E4AEABA3}"/>
            </a:ext>
          </a:extLst>
        </xdr:cNvPr>
        <xdr:cNvSpPr/>
      </xdr:nvSpPr>
      <xdr:spPr>
        <a:xfrm>
          <a:off x="543877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75" name="Rectangle 74">
          <a:extLst>
            <a:ext uri="{FF2B5EF4-FFF2-40B4-BE49-F238E27FC236}">
              <a16:creationId xmlns="" xmlns:a16="http://schemas.microsoft.com/office/drawing/2014/main" id="{B943EA3B-723F-4A3C-9309-7CAB8AA13603}"/>
            </a:ext>
          </a:extLst>
        </xdr:cNvPr>
        <xdr:cNvSpPr/>
      </xdr:nvSpPr>
      <xdr:spPr>
        <a:xfrm>
          <a:off x="543877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76" name="Rectangle 75">
          <a:extLst>
            <a:ext uri="{FF2B5EF4-FFF2-40B4-BE49-F238E27FC236}">
              <a16:creationId xmlns="" xmlns:a16="http://schemas.microsoft.com/office/drawing/2014/main" id="{BA623DBF-BDD7-4729-879E-C84CC4C40113}"/>
            </a:ext>
          </a:extLst>
        </xdr:cNvPr>
        <xdr:cNvSpPr/>
      </xdr:nvSpPr>
      <xdr:spPr>
        <a:xfrm>
          <a:off x="543877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77" name="Rectangle 76">
          <a:extLst>
            <a:ext uri="{FF2B5EF4-FFF2-40B4-BE49-F238E27FC236}">
              <a16:creationId xmlns="" xmlns:a16="http://schemas.microsoft.com/office/drawing/2014/main" id="{D9023A40-ADBF-4DB5-8B63-0DEBFCC562AC}"/>
            </a:ext>
          </a:extLst>
        </xdr:cNvPr>
        <xdr:cNvSpPr/>
      </xdr:nvSpPr>
      <xdr:spPr>
        <a:xfrm>
          <a:off x="543877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78" name="Rectangle 77">
          <a:extLst>
            <a:ext uri="{FF2B5EF4-FFF2-40B4-BE49-F238E27FC236}">
              <a16:creationId xmlns="" xmlns:a16="http://schemas.microsoft.com/office/drawing/2014/main" id="{59724165-3230-4154-9906-D33BFDF6D23F}"/>
            </a:ext>
          </a:extLst>
        </xdr:cNvPr>
        <xdr:cNvSpPr/>
      </xdr:nvSpPr>
      <xdr:spPr>
        <a:xfrm>
          <a:off x="543877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79" name="Rectangle 78">
          <a:extLst>
            <a:ext uri="{FF2B5EF4-FFF2-40B4-BE49-F238E27FC236}">
              <a16:creationId xmlns="" xmlns:a16="http://schemas.microsoft.com/office/drawing/2014/main" id="{CAAE198A-E06A-4ECA-8363-6207E3E96A85}"/>
            </a:ext>
          </a:extLst>
        </xdr:cNvPr>
        <xdr:cNvSpPr/>
      </xdr:nvSpPr>
      <xdr:spPr>
        <a:xfrm>
          <a:off x="543877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80" name="Rectangle 79">
          <a:extLst>
            <a:ext uri="{FF2B5EF4-FFF2-40B4-BE49-F238E27FC236}">
              <a16:creationId xmlns="" xmlns:a16="http://schemas.microsoft.com/office/drawing/2014/main" id="{478861AE-DDE2-4CF4-82F6-016B3A4970DA}"/>
            </a:ext>
          </a:extLst>
        </xdr:cNvPr>
        <xdr:cNvSpPr/>
      </xdr:nvSpPr>
      <xdr:spPr>
        <a:xfrm>
          <a:off x="543877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81" name="Rectangle 80">
          <a:extLst>
            <a:ext uri="{FF2B5EF4-FFF2-40B4-BE49-F238E27FC236}">
              <a16:creationId xmlns="" xmlns:a16="http://schemas.microsoft.com/office/drawing/2014/main" id="{E8014C28-A9D4-4687-BF57-D6E990A4F4C2}"/>
            </a:ext>
          </a:extLst>
        </xdr:cNvPr>
        <xdr:cNvSpPr/>
      </xdr:nvSpPr>
      <xdr:spPr>
        <a:xfrm>
          <a:off x="543877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82" name="Rectangle 81">
          <a:extLst>
            <a:ext uri="{FF2B5EF4-FFF2-40B4-BE49-F238E27FC236}">
              <a16:creationId xmlns="" xmlns:a16="http://schemas.microsoft.com/office/drawing/2014/main" id="{79AEFB3C-8FAF-4E3B-A48D-CA8A9EC706CB}"/>
            </a:ext>
          </a:extLst>
        </xdr:cNvPr>
        <xdr:cNvSpPr/>
      </xdr:nvSpPr>
      <xdr:spPr>
        <a:xfrm>
          <a:off x="543877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83" name="Rectangle 82">
          <a:extLst>
            <a:ext uri="{FF2B5EF4-FFF2-40B4-BE49-F238E27FC236}">
              <a16:creationId xmlns="" xmlns:a16="http://schemas.microsoft.com/office/drawing/2014/main" id="{BF15689C-8F4D-4BA5-BA97-DEDDC8631A42}"/>
            </a:ext>
          </a:extLst>
        </xdr:cNvPr>
        <xdr:cNvSpPr/>
      </xdr:nvSpPr>
      <xdr:spPr>
        <a:xfrm>
          <a:off x="543877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84" name="Rectangle 83">
          <a:extLst>
            <a:ext uri="{FF2B5EF4-FFF2-40B4-BE49-F238E27FC236}">
              <a16:creationId xmlns="" xmlns:a16="http://schemas.microsoft.com/office/drawing/2014/main" id="{B065716C-F5F3-46E9-9762-894EBB0ABAC1}"/>
            </a:ext>
          </a:extLst>
        </xdr:cNvPr>
        <xdr:cNvSpPr/>
      </xdr:nvSpPr>
      <xdr:spPr>
        <a:xfrm>
          <a:off x="543877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85" name="Rectangle 84">
          <a:extLst>
            <a:ext uri="{FF2B5EF4-FFF2-40B4-BE49-F238E27FC236}">
              <a16:creationId xmlns="" xmlns:a16="http://schemas.microsoft.com/office/drawing/2014/main" id="{0832DAA5-0410-4874-86C3-1BAC3539E72C}"/>
            </a:ext>
          </a:extLst>
        </xdr:cNvPr>
        <xdr:cNvSpPr/>
      </xdr:nvSpPr>
      <xdr:spPr>
        <a:xfrm>
          <a:off x="543877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86" name="Rectangle 85">
          <a:extLst>
            <a:ext uri="{FF2B5EF4-FFF2-40B4-BE49-F238E27FC236}">
              <a16:creationId xmlns="" xmlns:a16="http://schemas.microsoft.com/office/drawing/2014/main" id="{3DE0CDB4-F683-422C-8FDB-18399C5B7D94}"/>
            </a:ext>
          </a:extLst>
        </xdr:cNvPr>
        <xdr:cNvSpPr/>
      </xdr:nvSpPr>
      <xdr:spPr>
        <a:xfrm>
          <a:off x="498445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317209</xdr:colOff>
      <xdr:row>0</xdr:row>
      <xdr:rowOff>0</xdr:rowOff>
    </xdr:from>
    <xdr:ext cx="184731" cy="937629"/>
    <xdr:sp macro="" textlink="">
      <xdr:nvSpPr>
        <xdr:cNvPr id="87" name="Rectangle 86">
          <a:extLst>
            <a:ext uri="{FF2B5EF4-FFF2-40B4-BE49-F238E27FC236}">
              <a16:creationId xmlns="" xmlns:a16="http://schemas.microsoft.com/office/drawing/2014/main" id="{7B67DD4A-683D-4ABB-BF50-5EEB2181769F}"/>
            </a:ext>
          </a:extLst>
        </xdr:cNvPr>
        <xdr:cNvSpPr/>
      </xdr:nvSpPr>
      <xdr:spPr>
        <a:xfrm>
          <a:off x="52606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88" name="Rectangle 87">
          <a:extLst>
            <a:ext uri="{FF2B5EF4-FFF2-40B4-BE49-F238E27FC236}">
              <a16:creationId xmlns="" xmlns:a16="http://schemas.microsoft.com/office/drawing/2014/main" id="{5D5E08DC-0E49-497F-9957-95B016812DF4}"/>
            </a:ext>
          </a:extLst>
        </xdr:cNvPr>
        <xdr:cNvSpPr/>
      </xdr:nvSpPr>
      <xdr:spPr>
        <a:xfrm>
          <a:off x="498445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317209</xdr:colOff>
      <xdr:row>0</xdr:row>
      <xdr:rowOff>0</xdr:rowOff>
    </xdr:from>
    <xdr:ext cx="184731" cy="937629"/>
    <xdr:sp macro="" textlink="">
      <xdr:nvSpPr>
        <xdr:cNvPr id="89" name="Rectangle 88">
          <a:extLst>
            <a:ext uri="{FF2B5EF4-FFF2-40B4-BE49-F238E27FC236}">
              <a16:creationId xmlns="" xmlns:a16="http://schemas.microsoft.com/office/drawing/2014/main" id="{899E5EAE-E0A6-425D-9F65-2C48B30A9C57}"/>
            </a:ext>
          </a:extLst>
        </xdr:cNvPr>
        <xdr:cNvSpPr/>
      </xdr:nvSpPr>
      <xdr:spPr>
        <a:xfrm>
          <a:off x="52606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937629"/>
    <xdr:sp macro="" textlink="">
      <xdr:nvSpPr>
        <xdr:cNvPr id="90" name="Rectangle 89">
          <a:extLst>
            <a:ext uri="{FF2B5EF4-FFF2-40B4-BE49-F238E27FC236}">
              <a16:creationId xmlns="" xmlns:a16="http://schemas.microsoft.com/office/drawing/2014/main" id="{EEB49E38-B284-45CA-A4DF-46B169B1839E}"/>
            </a:ext>
          </a:extLst>
        </xdr:cNvPr>
        <xdr:cNvSpPr/>
      </xdr:nvSpPr>
      <xdr:spPr>
        <a:xfrm>
          <a:off x="494347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91" name="Rectangle 90">
          <a:extLst>
            <a:ext uri="{FF2B5EF4-FFF2-40B4-BE49-F238E27FC236}">
              <a16:creationId xmlns="" xmlns:a16="http://schemas.microsoft.com/office/drawing/2014/main" id="{19CF6FE4-5D10-4BA4-89EA-157CBE57DDE9}"/>
            </a:ext>
          </a:extLst>
        </xdr:cNvPr>
        <xdr:cNvSpPr/>
      </xdr:nvSpPr>
      <xdr:spPr>
        <a:xfrm>
          <a:off x="498445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317209</xdr:colOff>
      <xdr:row>0</xdr:row>
      <xdr:rowOff>0</xdr:rowOff>
    </xdr:from>
    <xdr:ext cx="184731" cy="937629"/>
    <xdr:sp macro="" textlink="">
      <xdr:nvSpPr>
        <xdr:cNvPr id="92" name="Rectangle 91">
          <a:extLst>
            <a:ext uri="{FF2B5EF4-FFF2-40B4-BE49-F238E27FC236}">
              <a16:creationId xmlns="" xmlns:a16="http://schemas.microsoft.com/office/drawing/2014/main" id="{CF7AF4BA-224D-4CCA-89E0-CA2F93C404B4}"/>
            </a:ext>
          </a:extLst>
        </xdr:cNvPr>
        <xdr:cNvSpPr/>
      </xdr:nvSpPr>
      <xdr:spPr>
        <a:xfrm>
          <a:off x="52606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93" name="Rectangle 92">
          <a:extLst>
            <a:ext uri="{FF2B5EF4-FFF2-40B4-BE49-F238E27FC236}">
              <a16:creationId xmlns="" xmlns:a16="http://schemas.microsoft.com/office/drawing/2014/main" id="{BF23F659-65D1-48E3-9769-C6EB947BEFD6}"/>
            </a:ext>
          </a:extLst>
        </xdr:cNvPr>
        <xdr:cNvSpPr/>
      </xdr:nvSpPr>
      <xdr:spPr>
        <a:xfrm>
          <a:off x="498445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317209</xdr:colOff>
      <xdr:row>0</xdr:row>
      <xdr:rowOff>0</xdr:rowOff>
    </xdr:from>
    <xdr:ext cx="184731" cy="937629"/>
    <xdr:sp macro="" textlink="">
      <xdr:nvSpPr>
        <xdr:cNvPr id="94" name="Rectangle 93">
          <a:extLst>
            <a:ext uri="{FF2B5EF4-FFF2-40B4-BE49-F238E27FC236}">
              <a16:creationId xmlns="" xmlns:a16="http://schemas.microsoft.com/office/drawing/2014/main" id="{79B4A765-80A6-4B7E-9D21-F278687D9E4B}"/>
            </a:ext>
          </a:extLst>
        </xdr:cNvPr>
        <xdr:cNvSpPr/>
      </xdr:nvSpPr>
      <xdr:spPr>
        <a:xfrm>
          <a:off x="52606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937629"/>
    <xdr:sp macro="" textlink="">
      <xdr:nvSpPr>
        <xdr:cNvPr id="95" name="Rectangle 94">
          <a:extLst>
            <a:ext uri="{FF2B5EF4-FFF2-40B4-BE49-F238E27FC236}">
              <a16:creationId xmlns="" xmlns:a16="http://schemas.microsoft.com/office/drawing/2014/main" id="{F27852A4-855C-4CDE-A879-77CC0A4B9CEF}"/>
            </a:ext>
          </a:extLst>
        </xdr:cNvPr>
        <xdr:cNvSpPr/>
      </xdr:nvSpPr>
      <xdr:spPr>
        <a:xfrm>
          <a:off x="494347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96" name="Rectangle 95">
          <a:extLst>
            <a:ext uri="{FF2B5EF4-FFF2-40B4-BE49-F238E27FC236}">
              <a16:creationId xmlns="" xmlns:a16="http://schemas.microsoft.com/office/drawing/2014/main" id="{17F152D5-F929-461D-A49E-F858C45828DE}"/>
            </a:ext>
          </a:extLst>
        </xdr:cNvPr>
        <xdr:cNvSpPr/>
      </xdr:nvSpPr>
      <xdr:spPr>
        <a:xfrm>
          <a:off x="498445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317209</xdr:colOff>
      <xdr:row>0</xdr:row>
      <xdr:rowOff>0</xdr:rowOff>
    </xdr:from>
    <xdr:ext cx="184731" cy="937629"/>
    <xdr:sp macro="" textlink="">
      <xdr:nvSpPr>
        <xdr:cNvPr id="97" name="Rectangle 96">
          <a:extLst>
            <a:ext uri="{FF2B5EF4-FFF2-40B4-BE49-F238E27FC236}">
              <a16:creationId xmlns="" xmlns:a16="http://schemas.microsoft.com/office/drawing/2014/main" id="{3F482E37-22E6-43E8-AC89-7A3061E604A8}"/>
            </a:ext>
          </a:extLst>
        </xdr:cNvPr>
        <xdr:cNvSpPr/>
      </xdr:nvSpPr>
      <xdr:spPr>
        <a:xfrm>
          <a:off x="52606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98" name="Rectangle 97">
          <a:extLst>
            <a:ext uri="{FF2B5EF4-FFF2-40B4-BE49-F238E27FC236}">
              <a16:creationId xmlns="" xmlns:a16="http://schemas.microsoft.com/office/drawing/2014/main" id="{CFF877F5-3DE8-4426-9251-AC138A7B1563}"/>
            </a:ext>
          </a:extLst>
        </xdr:cNvPr>
        <xdr:cNvSpPr/>
      </xdr:nvSpPr>
      <xdr:spPr>
        <a:xfrm>
          <a:off x="498445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317209</xdr:colOff>
      <xdr:row>0</xdr:row>
      <xdr:rowOff>0</xdr:rowOff>
    </xdr:from>
    <xdr:ext cx="184731" cy="937629"/>
    <xdr:sp macro="" textlink="">
      <xdr:nvSpPr>
        <xdr:cNvPr id="99" name="Rectangle 98">
          <a:extLst>
            <a:ext uri="{FF2B5EF4-FFF2-40B4-BE49-F238E27FC236}">
              <a16:creationId xmlns="" xmlns:a16="http://schemas.microsoft.com/office/drawing/2014/main" id="{B5C883E2-6D5B-4237-8D44-525CBA89C75C}"/>
            </a:ext>
          </a:extLst>
        </xdr:cNvPr>
        <xdr:cNvSpPr/>
      </xdr:nvSpPr>
      <xdr:spPr>
        <a:xfrm>
          <a:off x="52606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937629"/>
    <xdr:sp macro="" textlink="">
      <xdr:nvSpPr>
        <xdr:cNvPr id="100" name="Rectangle 99">
          <a:extLst>
            <a:ext uri="{FF2B5EF4-FFF2-40B4-BE49-F238E27FC236}">
              <a16:creationId xmlns="" xmlns:a16="http://schemas.microsoft.com/office/drawing/2014/main" id="{24E30549-7ECD-43F6-8F6F-A6478AA7EC18}"/>
            </a:ext>
          </a:extLst>
        </xdr:cNvPr>
        <xdr:cNvSpPr/>
      </xdr:nvSpPr>
      <xdr:spPr>
        <a:xfrm>
          <a:off x="494347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101" name="Rectangle 100">
          <a:extLst>
            <a:ext uri="{FF2B5EF4-FFF2-40B4-BE49-F238E27FC236}">
              <a16:creationId xmlns="" xmlns:a16="http://schemas.microsoft.com/office/drawing/2014/main" id="{A1F00EF0-747A-47CF-9C60-83CB69652956}"/>
            </a:ext>
          </a:extLst>
        </xdr:cNvPr>
        <xdr:cNvSpPr/>
      </xdr:nvSpPr>
      <xdr:spPr>
        <a:xfrm>
          <a:off x="498445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317209</xdr:colOff>
      <xdr:row>0</xdr:row>
      <xdr:rowOff>0</xdr:rowOff>
    </xdr:from>
    <xdr:ext cx="184731" cy="937629"/>
    <xdr:sp macro="" textlink="">
      <xdr:nvSpPr>
        <xdr:cNvPr id="102" name="Rectangle 101">
          <a:extLst>
            <a:ext uri="{FF2B5EF4-FFF2-40B4-BE49-F238E27FC236}">
              <a16:creationId xmlns="" xmlns:a16="http://schemas.microsoft.com/office/drawing/2014/main" id="{702D9B6E-03D7-4B18-98CE-A33428266F55}"/>
            </a:ext>
          </a:extLst>
        </xdr:cNvPr>
        <xdr:cNvSpPr/>
      </xdr:nvSpPr>
      <xdr:spPr>
        <a:xfrm>
          <a:off x="52606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103" name="Rectangle 102">
          <a:extLst>
            <a:ext uri="{FF2B5EF4-FFF2-40B4-BE49-F238E27FC236}">
              <a16:creationId xmlns="" xmlns:a16="http://schemas.microsoft.com/office/drawing/2014/main" id="{4052C83A-6B9F-4138-A88B-874497E18000}"/>
            </a:ext>
          </a:extLst>
        </xdr:cNvPr>
        <xdr:cNvSpPr/>
      </xdr:nvSpPr>
      <xdr:spPr>
        <a:xfrm>
          <a:off x="498445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317209</xdr:colOff>
      <xdr:row>0</xdr:row>
      <xdr:rowOff>0</xdr:rowOff>
    </xdr:from>
    <xdr:ext cx="184731" cy="937629"/>
    <xdr:sp macro="" textlink="">
      <xdr:nvSpPr>
        <xdr:cNvPr id="104" name="Rectangle 103">
          <a:extLst>
            <a:ext uri="{FF2B5EF4-FFF2-40B4-BE49-F238E27FC236}">
              <a16:creationId xmlns="" xmlns:a16="http://schemas.microsoft.com/office/drawing/2014/main" id="{1D923FE6-EF95-42BC-8185-FCAB2634996C}"/>
            </a:ext>
          </a:extLst>
        </xdr:cNvPr>
        <xdr:cNvSpPr/>
      </xdr:nvSpPr>
      <xdr:spPr>
        <a:xfrm>
          <a:off x="52606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937629"/>
    <xdr:sp macro="" textlink="">
      <xdr:nvSpPr>
        <xdr:cNvPr id="105" name="Rectangle 104">
          <a:extLst>
            <a:ext uri="{FF2B5EF4-FFF2-40B4-BE49-F238E27FC236}">
              <a16:creationId xmlns="" xmlns:a16="http://schemas.microsoft.com/office/drawing/2014/main" id="{52359162-0439-473D-8125-374377461C32}"/>
            </a:ext>
          </a:extLst>
        </xdr:cNvPr>
        <xdr:cNvSpPr/>
      </xdr:nvSpPr>
      <xdr:spPr>
        <a:xfrm>
          <a:off x="4943475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66FDE446-86D1-4A4B-B6C2-F342AC92C1EB}"/>
            </a:ext>
          </a:extLst>
        </xdr:cNvPr>
        <xdr:cNvSpPr/>
      </xdr:nvSpPr>
      <xdr:spPr>
        <a:xfrm>
          <a:off x="115471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3" name="Rectangle 2">
          <a:extLst>
            <a:ext uri="{FF2B5EF4-FFF2-40B4-BE49-F238E27FC236}">
              <a16:creationId xmlns="" xmlns:a16="http://schemas.microsoft.com/office/drawing/2014/main" id="{25873054-B1D6-4137-A55E-A8EB4F9105BA}"/>
            </a:ext>
          </a:extLst>
        </xdr:cNvPr>
        <xdr:cNvSpPr/>
      </xdr:nvSpPr>
      <xdr:spPr>
        <a:xfrm>
          <a:off x="115471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4" name="Rectangle 3">
          <a:extLst>
            <a:ext uri="{FF2B5EF4-FFF2-40B4-BE49-F238E27FC236}">
              <a16:creationId xmlns="" xmlns:a16="http://schemas.microsoft.com/office/drawing/2014/main" id="{83C51787-1016-437F-8A09-87B45BBCAC37}"/>
            </a:ext>
          </a:extLst>
        </xdr:cNvPr>
        <xdr:cNvSpPr/>
      </xdr:nvSpPr>
      <xdr:spPr>
        <a:xfrm>
          <a:off x="115471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5" name="Rectangle 4">
          <a:extLst>
            <a:ext uri="{FF2B5EF4-FFF2-40B4-BE49-F238E27FC236}">
              <a16:creationId xmlns="" xmlns:a16="http://schemas.microsoft.com/office/drawing/2014/main" id="{9EA694DC-DED9-4AFF-8B33-B6B26386A7DE}"/>
            </a:ext>
          </a:extLst>
        </xdr:cNvPr>
        <xdr:cNvSpPr/>
      </xdr:nvSpPr>
      <xdr:spPr>
        <a:xfrm>
          <a:off x="115471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6" name="Rectangle 5">
          <a:extLst>
            <a:ext uri="{FF2B5EF4-FFF2-40B4-BE49-F238E27FC236}">
              <a16:creationId xmlns="" xmlns:a16="http://schemas.microsoft.com/office/drawing/2014/main" id="{96088BC7-7355-4F83-9A05-4069EF6C83F9}"/>
            </a:ext>
          </a:extLst>
        </xdr:cNvPr>
        <xdr:cNvSpPr/>
      </xdr:nvSpPr>
      <xdr:spPr>
        <a:xfrm>
          <a:off x="115471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7" name="Rectangle 6">
          <a:extLst>
            <a:ext uri="{FF2B5EF4-FFF2-40B4-BE49-F238E27FC236}">
              <a16:creationId xmlns="" xmlns:a16="http://schemas.microsoft.com/office/drawing/2014/main" id="{4314DF55-0BC9-4D82-9A68-884964D34166}"/>
            </a:ext>
          </a:extLst>
        </xdr:cNvPr>
        <xdr:cNvSpPr/>
      </xdr:nvSpPr>
      <xdr:spPr>
        <a:xfrm>
          <a:off x="115471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8" name="Rectangle 7">
          <a:extLst>
            <a:ext uri="{FF2B5EF4-FFF2-40B4-BE49-F238E27FC236}">
              <a16:creationId xmlns="" xmlns:a16="http://schemas.microsoft.com/office/drawing/2014/main" id="{D87D92B7-7FDA-4A6B-B3CD-610FF8D153CE}"/>
            </a:ext>
          </a:extLst>
        </xdr:cNvPr>
        <xdr:cNvSpPr/>
      </xdr:nvSpPr>
      <xdr:spPr>
        <a:xfrm>
          <a:off x="115471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9" name="Rectangle 8">
          <a:extLst>
            <a:ext uri="{FF2B5EF4-FFF2-40B4-BE49-F238E27FC236}">
              <a16:creationId xmlns="" xmlns:a16="http://schemas.microsoft.com/office/drawing/2014/main" id="{3D3A5E62-389A-431F-94D1-F3187E681702}"/>
            </a:ext>
          </a:extLst>
        </xdr:cNvPr>
        <xdr:cNvSpPr/>
      </xdr:nvSpPr>
      <xdr:spPr>
        <a:xfrm>
          <a:off x="115471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10" name="Rectangle 9">
          <a:extLst>
            <a:ext uri="{FF2B5EF4-FFF2-40B4-BE49-F238E27FC236}">
              <a16:creationId xmlns="" xmlns:a16="http://schemas.microsoft.com/office/drawing/2014/main" id="{BED97A7C-1109-4B67-80A7-FFFCE2F3643C}"/>
            </a:ext>
          </a:extLst>
        </xdr:cNvPr>
        <xdr:cNvSpPr/>
      </xdr:nvSpPr>
      <xdr:spPr>
        <a:xfrm>
          <a:off x="115471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11" name="Rectangle 10">
          <a:extLst>
            <a:ext uri="{FF2B5EF4-FFF2-40B4-BE49-F238E27FC236}">
              <a16:creationId xmlns="" xmlns:a16="http://schemas.microsoft.com/office/drawing/2014/main" id="{3850109B-392F-4634-9D07-EF13AE6F2313}"/>
            </a:ext>
          </a:extLst>
        </xdr:cNvPr>
        <xdr:cNvSpPr/>
      </xdr:nvSpPr>
      <xdr:spPr>
        <a:xfrm>
          <a:off x="115471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12" name="Rectangle 11">
          <a:extLst>
            <a:ext uri="{FF2B5EF4-FFF2-40B4-BE49-F238E27FC236}">
              <a16:creationId xmlns="" xmlns:a16="http://schemas.microsoft.com/office/drawing/2014/main" id="{FA82A6F9-AF41-4FEF-AB27-E25F843F847F}"/>
            </a:ext>
          </a:extLst>
        </xdr:cNvPr>
        <xdr:cNvSpPr/>
      </xdr:nvSpPr>
      <xdr:spPr>
        <a:xfrm>
          <a:off x="115471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13" name="Rectangle 12">
          <a:extLst>
            <a:ext uri="{FF2B5EF4-FFF2-40B4-BE49-F238E27FC236}">
              <a16:creationId xmlns="" xmlns:a16="http://schemas.microsoft.com/office/drawing/2014/main" id="{300B10BE-EC0A-43BC-B5CB-D151CC8C2EAD}"/>
            </a:ext>
          </a:extLst>
        </xdr:cNvPr>
        <xdr:cNvSpPr/>
      </xdr:nvSpPr>
      <xdr:spPr>
        <a:xfrm>
          <a:off x="115471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14" name="Rectangle 13">
          <a:extLst>
            <a:ext uri="{FF2B5EF4-FFF2-40B4-BE49-F238E27FC236}">
              <a16:creationId xmlns="" xmlns:a16="http://schemas.microsoft.com/office/drawing/2014/main" id="{8D37EA44-7494-4CD5-9C77-D03030810E9E}"/>
            </a:ext>
          </a:extLst>
        </xdr:cNvPr>
        <xdr:cNvSpPr/>
      </xdr:nvSpPr>
      <xdr:spPr>
        <a:xfrm>
          <a:off x="115471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15" name="Rectangle 14">
          <a:extLst>
            <a:ext uri="{FF2B5EF4-FFF2-40B4-BE49-F238E27FC236}">
              <a16:creationId xmlns="" xmlns:a16="http://schemas.microsoft.com/office/drawing/2014/main" id="{A5926CE4-5675-4309-9D8E-35D65F9850BD}"/>
            </a:ext>
          </a:extLst>
        </xdr:cNvPr>
        <xdr:cNvSpPr/>
      </xdr:nvSpPr>
      <xdr:spPr>
        <a:xfrm>
          <a:off x="115471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16" name="Rectangle 15">
          <a:extLst>
            <a:ext uri="{FF2B5EF4-FFF2-40B4-BE49-F238E27FC236}">
              <a16:creationId xmlns="" xmlns:a16="http://schemas.microsoft.com/office/drawing/2014/main" id="{5ABDED45-716B-4EF1-A74D-E41C6BE118B5}"/>
            </a:ext>
          </a:extLst>
        </xdr:cNvPr>
        <xdr:cNvSpPr/>
      </xdr:nvSpPr>
      <xdr:spPr>
        <a:xfrm>
          <a:off x="115471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17" name="Rectangle 16">
          <a:extLst>
            <a:ext uri="{FF2B5EF4-FFF2-40B4-BE49-F238E27FC236}">
              <a16:creationId xmlns="" xmlns:a16="http://schemas.microsoft.com/office/drawing/2014/main" id="{F5E5DBF4-3F60-44FD-8B92-3B3313205131}"/>
            </a:ext>
          </a:extLst>
        </xdr:cNvPr>
        <xdr:cNvSpPr/>
      </xdr:nvSpPr>
      <xdr:spPr>
        <a:xfrm>
          <a:off x="115471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18" name="Rectangle 17">
          <a:extLst>
            <a:ext uri="{FF2B5EF4-FFF2-40B4-BE49-F238E27FC236}">
              <a16:creationId xmlns="" xmlns:a16="http://schemas.microsoft.com/office/drawing/2014/main" id="{B66BAF0B-2322-48D6-A750-116C0A43749D}"/>
            </a:ext>
          </a:extLst>
        </xdr:cNvPr>
        <xdr:cNvSpPr/>
      </xdr:nvSpPr>
      <xdr:spPr>
        <a:xfrm>
          <a:off x="115471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19" name="Rectangle 18">
          <a:extLst>
            <a:ext uri="{FF2B5EF4-FFF2-40B4-BE49-F238E27FC236}">
              <a16:creationId xmlns="" xmlns:a16="http://schemas.microsoft.com/office/drawing/2014/main" id="{DA043B94-EC4D-43D2-9A6A-1C3C741A0F8B}"/>
            </a:ext>
          </a:extLst>
        </xdr:cNvPr>
        <xdr:cNvSpPr/>
      </xdr:nvSpPr>
      <xdr:spPr>
        <a:xfrm>
          <a:off x="115471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20" name="Rectangle 19">
          <a:extLst>
            <a:ext uri="{FF2B5EF4-FFF2-40B4-BE49-F238E27FC236}">
              <a16:creationId xmlns="" xmlns:a16="http://schemas.microsoft.com/office/drawing/2014/main" id="{3BDFD579-EE50-42F8-8432-40D04635FA72}"/>
            </a:ext>
          </a:extLst>
        </xdr:cNvPr>
        <xdr:cNvSpPr/>
      </xdr:nvSpPr>
      <xdr:spPr>
        <a:xfrm>
          <a:off x="115471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21" name="Rectangle 20">
          <a:extLst>
            <a:ext uri="{FF2B5EF4-FFF2-40B4-BE49-F238E27FC236}">
              <a16:creationId xmlns="" xmlns:a16="http://schemas.microsoft.com/office/drawing/2014/main" id="{BFA5B653-2F9E-4CC1-8CB1-16DFAB3330EB}"/>
            </a:ext>
          </a:extLst>
        </xdr:cNvPr>
        <xdr:cNvSpPr/>
      </xdr:nvSpPr>
      <xdr:spPr>
        <a:xfrm>
          <a:off x="115471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22" name="Rectangle 21">
          <a:extLst>
            <a:ext uri="{FF2B5EF4-FFF2-40B4-BE49-F238E27FC236}">
              <a16:creationId xmlns="" xmlns:a16="http://schemas.microsoft.com/office/drawing/2014/main" id="{98BCBBC1-654B-4F46-90EE-41DDAF0E88B6}"/>
            </a:ext>
          </a:extLst>
        </xdr:cNvPr>
        <xdr:cNvSpPr/>
      </xdr:nvSpPr>
      <xdr:spPr>
        <a:xfrm>
          <a:off x="115471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23" name="Rectangle 22">
          <a:extLst>
            <a:ext uri="{FF2B5EF4-FFF2-40B4-BE49-F238E27FC236}">
              <a16:creationId xmlns="" xmlns:a16="http://schemas.microsoft.com/office/drawing/2014/main" id="{B7595465-2CBD-4D20-BAA3-DE07651DE79A}"/>
            </a:ext>
          </a:extLst>
        </xdr:cNvPr>
        <xdr:cNvSpPr/>
      </xdr:nvSpPr>
      <xdr:spPr>
        <a:xfrm>
          <a:off x="115471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24" name="Rectangle 23">
          <a:extLst>
            <a:ext uri="{FF2B5EF4-FFF2-40B4-BE49-F238E27FC236}">
              <a16:creationId xmlns="" xmlns:a16="http://schemas.microsoft.com/office/drawing/2014/main" id="{9FE741CB-FA10-4BED-8A75-F6EDE28C2E9D}"/>
            </a:ext>
          </a:extLst>
        </xdr:cNvPr>
        <xdr:cNvSpPr/>
      </xdr:nvSpPr>
      <xdr:spPr>
        <a:xfrm>
          <a:off x="115471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25" name="Rectangle 24">
          <a:extLst>
            <a:ext uri="{FF2B5EF4-FFF2-40B4-BE49-F238E27FC236}">
              <a16:creationId xmlns="" xmlns:a16="http://schemas.microsoft.com/office/drawing/2014/main" id="{9C44FEC6-3A88-4F7C-A0BF-466DD757AC04}"/>
            </a:ext>
          </a:extLst>
        </xdr:cNvPr>
        <xdr:cNvSpPr/>
      </xdr:nvSpPr>
      <xdr:spPr>
        <a:xfrm>
          <a:off x="115471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26" name="Rectangle 25">
          <a:extLst>
            <a:ext uri="{FF2B5EF4-FFF2-40B4-BE49-F238E27FC236}">
              <a16:creationId xmlns="" xmlns:a16="http://schemas.microsoft.com/office/drawing/2014/main" id="{0ED9AD19-E419-45F2-9E8C-413CCA118EFD}"/>
            </a:ext>
          </a:extLst>
        </xdr:cNvPr>
        <xdr:cNvSpPr/>
      </xdr:nvSpPr>
      <xdr:spPr>
        <a:xfrm>
          <a:off x="115471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27" name="Rectangle 26">
          <a:extLst>
            <a:ext uri="{FF2B5EF4-FFF2-40B4-BE49-F238E27FC236}">
              <a16:creationId xmlns="" xmlns:a16="http://schemas.microsoft.com/office/drawing/2014/main" id="{C09B2A54-522A-437A-A172-C38F00E11605}"/>
            </a:ext>
          </a:extLst>
        </xdr:cNvPr>
        <xdr:cNvSpPr/>
      </xdr:nvSpPr>
      <xdr:spPr>
        <a:xfrm>
          <a:off x="115471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28" name="Rectangle 27">
          <a:extLst>
            <a:ext uri="{FF2B5EF4-FFF2-40B4-BE49-F238E27FC236}">
              <a16:creationId xmlns="" xmlns:a16="http://schemas.microsoft.com/office/drawing/2014/main" id="{3C43CB71-C264-407B-8973-30AA476C3997}"/>
            </a:ext>
          </a:extLst>
        </xdr:cNvPr>
        <xdr:cNvSpPr/>
      </xdr:nvSpPr>
      <xdr:spPr>
        <a:xfrm>
          <a:off x="115471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29" name="Rectangle 28">
          <a:extLst>
            <a:ext uri="{FF2B5EF4-FFF2-40B4-BE49-F238E27FC236}">
              <a16:creationId xmlns="" xmlns:a16="http://schemas.microsoft.com/office/drawing/2014/main" id="{AF3886F7-1C9A-4A75-A632-E4E2B6817BC3}"/>
            </a:ext>
          </a:extLst>
        </xdr:cNvPr>
        <xdr:cNvSpPr/>
      </xdr:nvSpPr>
      <xdr:spPr>
        <a:xfrm>
          <a:off x="115471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30" name="Rectangle 29">
          <a:extLst>
            <a:ext uri="{FF2B5EF4-FFF2-40B4-BE49-F238E27FC236}">
              <a16:creationId xmlns="" xmlns:a16="http://schemas.microsoft.com/office/drawing/2014/main" id="{C53860A2-A31F-494C-87F3-FA0098F49FF9}"/>
            </a:ext>
          </a:extLst>
        </xdr:cNvPr>
        <xdr:cNvSpPr/>
      </xdr:nvSpPr>
      <xdr:spPr>
        <a:xfrm>
          <a:off x="115471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31" name="Rectangle 30">
          <a:extLst>
            <a:ext uri="{FF2B5EF4-FFF2-40B4-BE49-F238E27FC236}">
              <a16:creationId xmlns="" xmlns:a16="http://schemas.microsoft.com/office/drawing/2014/main" id="{C5492BD1-17C5-458D-882D-7FFEF6D52B66}"/>
            </a:ext>
          </a:extLst>
        </xdr:cNvPr>
        <xdr:cNvSpPr/>
      </xdr:nvSpPr>
      <xdr:spPr>
        <a:xfrm>
          <a:off x="115471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32" name="Rectangle 31">
          <a:extLst>
            <a:ext uri="{FF2B5EF4-FFF2-40B4-BE49-F238E27FC236}">
              <a16:creationId xmlns="" xmlns:a16="http://schemas.microsoft.com/office/drawing/2014/main" id="{98C470B1-E8F4-489E-81CF-179F131460FA}"/>
            </a:ext>
          </a:extLst>
        </xdr:cNvPr>
        <xdr:cNvSpPr/>
      </xdr:nvSpPr>
      <xdr:spPr>
        <a:xfrm>
          <a:off x="115471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184731" cy="937629"/>
    <xdr:sp macro="" textlink="">
      <xdr:nvSpPr>
        <xdr:cNvPr id="33" name="Rectangle 32">
          <a:extLst>
            <a:ext uri="{FF2B5EF4-FFF2-40B4-BE49-F238E27FC236}">
              <a16:creationId xmlns="" xmlns:a16="http://schemas.microsoft.com/office/drawing/2014/main" id="{F2C91D3B-26D7-4E95-A858-B4D7F18505A5}"/>
            </a:ext>
          </a:extLst>
        </xdr:cNvPr>
        <xdr:cNvSpPr/>
      </xdr:nvSpPr>
      <xdr:spPr>
        <a:xfrm>
          <a:off x="115471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34" name="Rectangle 33">
          <a:extLst>
            <a:ext uri="{FF2B5EF4-FFF2-40B4-BE49-F238E27FC236}">
              <a16:creationId xmlns="" xmlns:a16="http://schemas.microsoft.com/office/drawing/2014/main" id="{AC9CB9BF-8E8E-4F60-AFFF-0C48891542B7}"/>
            </a:ext>
          </a:extLst>
        </xdr:cNvPr>
        <xdr:cNvSpPr/>
      </xdr:nvSpPr>
      <xdr:spPr>
        <a:xfrm>
          <a:off x="10823284" y="3143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317209</xdr:colOff>
      <xdr:row>0</xdr:row>
      <xdr:rowOff>0</xdr:rowOff>
    </xdr:from>
    <xdr:ext cx="184731" cy="937629"/>
    <xdr:sp macro="" textlink="">
      <xdr:nvSpPr>
        <xdr:cNvPr id="35" name="Rectangle 34">
          <a:extLst>
            <a:ext uri="{FF2B5EF4-FFF2-40B4-BE49-F238E27FC236}">
              <a16:creationId xmlns="" xmlns:a16="http://schemas.microsoft.com/office/drawing/2014/main" id="{5611E61A-E802-477B-9E19-21970D6DBCD3}"/>
            </a:ext>
          </a:extLst>
        </xdr:cNvPr>
        <xdr:cNvSpPr/>
      </xdr:nvSpPr>
      <xdr:spPr>
        <a:xfrm>
          <a:off x="11099509" y="3143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36" name="Rectangle 35">
          <a:extLst>
            <a:ext uri="{FF2B5EF4-FFF2-40B4-BE49-F238E27FC236}">
              <a16:creationId xmlns="" xmlns:a16="http://schemas.microsoft.com/office/drawing/2014/main" id="{E17F4177-9236-4274-AD43-D42E0082900B}"/>
            </a:ext>
          </a:extLst>
        </xdr:cNvPr>
        <xdr:cNvSpPr/>
      </xdr:nvSpPr>
      <xdr:spPr>
        <a:xfrm>
          <a:off x="10823284" y="3143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317209</xdr:colOff>
      <xdr:row>0</xdr:row>
      <xdr:rowOff>0</xdr:rowOff>
    </xdr:from>
    <xdr:ext cx="184731" cy="937629"/>
    <xdr:sp macro="" textlink="">
      <xdr:nvSpPr>
        <xdr:cNvPr id="37" name="Rectangle 36">
          <a:extLst>
            <a:ext uri="{FF2B5EF4-FFF2-40B4-BE49-F238E27FC236}">
              <a16:creationId xmlns="" xmlns:a16="http://schemas.microsoft.com/office/drawing/2014/main" id="{42ADBA11-8827-425F-80BB-55283CEC95E5}"/>
            </a:ext>
          </a:extLst>
        </xdr:cNvPr>
        <xdr:cNvSpPr/>
      </xdr:nvSpPr>
      <xdr:spPr>
        <a:xfrm>
          <a:off x="11099509" y="3143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937629"/>
    <xdr:sp macro="" textlink="">
      <xdr:nvSpPr>
        <xdr:cNvPr id="38" name="Rectangle 37">
          <a:extLst>
            <a:ext uri="{FF2B5EF4-FFF2-40B4-BE49-F238E27FC236}">
              <a16:creationId xmlns="" xmlns:a16="http://schemas.microsoft.com/office/drawing/2014/main" id="{EAA49556-C85A-4D82-A4BE-8238F4C7193D}"/>
            </a:ext>
          </a:extLst>
        </xdr:cNvPr>
        <xdr:cNvSpPr/>
      </xdr:nvSpPr>
      <xdr:spPr>
        <a:xfrm>
          <a:off x="9775534" y="3143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0</xdr:colOff>
      <xdr:row>2</xdr:row>
      <xdr:rowOff>66675</xdr:rowOff>
    </xdr:from>
    <xdr:ext cx="184731" cy="937629"/>
    <xdr:sp macro="" textlink="">
      <xdr:nvSpPr>
        <xdr:cNvPr id="39" name="Rectangle 38">
          <a:extLst>
            <a:ext uri="{FF2B5EF4-FFF2-40B4-BE49-F238E27FC236}">
              <a16:creationId xmlns="" xmlns:a16="http://schemas.microsoft.com/office/drawing/2014/main" id="{8B18424B-64D3-42B2-9EC7-E33235DE77EF}"/>
            </a:ext>
          </a:extLst>
        </xdr:cNvPr>
        <xdr:cNvSpPr/>
      </xdr:nvSpPr>
      <xdr:spPr>
        <a:xfrm>
          <a:off x="9775534" y="6953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40" name="Rectangle 39">
          <a:extLst>
            <a:ext uri="{FF2B5EF4-FFF2-40B4-BE49-F238E27FC236}">
              <a16:creationId xmlns="" xmlns:a16="http://schemas.microsoft.com/office/drawing/2014/main" id="{745BFAA0-C51B-4999-ACC0-7533F7CAFA4C}"/>
            </a:ext>
          </a:extLst>
        </xdr:cNvPr>
        <xdr:cNvSpPr/>
      </xdr:nvSpPr>
      <xdr:spPr>
        <a:xfrm>
          <a:off x="10823284" y="3143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317209</xdr:colOff>
      <xdr:row>0</xdr:row>
      <xdr:rowOff>0</xdr:rowOff>
    </xdr:from>
    <xdr:ext cx="184731" cy="937629"/>
    <xdr:sp macro="" textlink="">
      <xdr:nvSpPr>
        <xdr:cNvPr id="41" name="Rectangle 40">
          <a:extLst>
            <a:ext uri="{FF2B5EF4-FFF2-40B4-BE49-F238E27FC236}">
              <a16:creationId xmlns="" xmlns:a16="http://schemas.microsoft.com/office/drawing/2014/main" id="{77081E4E-EC07-4007-AF62-A81B7B31AACC}"/>
            </a:ext>
          </a:extLst>
        </xdr:cNvPr>
        <xdr:cNvSpPr/>
      </xdr:nvSpPr>
      <xdr:spPr>
        <a:xfrm>
          <a:off x="11099509" y="3143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42" name="Rectangle 41">
          <a:extLst>
            <a:ext uri="{FF2B5EF4-FFF2-40B4-BE49-F238E27FC236}">
              <a16:creationId xmlns="" xmlns:a16="http://schemas.microsoft.com/office/drawing/2014/main" id="{AF974B93-91ED-41E3-A7AA-9BC48753A22F}"/>
            </a:ext>
          </a:extLst>
        </xdr:cNvPr>
        <xdr:cNvSpPr/>
      </xdr:nvSpPr>
      <xdr:spPr>
        <a:xfrm>
          <a:off x="10823284" y="3143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317209</xdr:colOff>
      <xdr:row>0</xdr:row>
      <xdr:rowOff>0</xdr:rowOff>
    </xdr:from>
    <xdr:ext cx="184731" cy="937629"/>
    <xdr:sp macro="" textlink="">
      <xdr:nvSpPr>
        <xdr:cNvPr id="43" name="Rectangle 42">
          <a:extLst>
            <a:ext uri="{FF2B5EF4-FFF2-40B4-BE49-F238E27FC236}">
              <a16:creationId xmlns="" xmlns:a16="http://schemas.microsoft.com/office/drawing/2014/main" id="{196B2ADD-B6E4-40D5-87AA-66C462B81A34}"/>
            </a:ext>
          </a:extLst>
        </xdr:cNvPr>
        <xdr:cNvSpPr/>
      </xdr:nvSpPr>
      <xdr:spPr>
        <a:xfrm>
          <a:off x="11099509" y="3143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937629"/>
    <xdr:sp macro="" textlink="">
      <xdr:nvSpPr>
        <xdr:cNvPr id="44" name="Rectangle 43">
          <a:extLst>
            <a:ext uri="{FF2B5EF4-FFF2-40B4-BE49-F238E27FC236}">
              <a16:creationId xmlns="" xmlns:a16="http://schemas.microsoft.com/office/drawing/2014/main" id="{486E3186-2369-47EE-8700-7FEC21F59338}"/>
            </a:ext>
          </a:extLst>
        </xdr:cNvPr>
        <xdr:cNvSpPr/>
      </xdr:nvSpPr>
      <xdr:spPr>
        <a:xfrm>
          <a:off x="9775534" y="3143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0</xdr:colOff>
      <xdr:row>2</xdr:row>
      <xdr:rowOff>66675</xdr:rowOff>
    </xdr:from>
    <xdr:ext cx="184731" cy="937629"/>
    <xdr:sp macro="" textlink="">
      <xdr:nvSpPr>
        <xdr:cNvPr id="45" name="Rectangle 44">
          <a:extLst>
            <a:ext uri="{FF2B5EF4-FFF2-40B4-BE49-F238E27FC236}">
              <a16:creationId xmlns="" xmlns:a16="http://schemas.microsoft.com/office/drawing/2014/main" id="{AB0871BE-7198-4153-815F-D3886CDCDDAE}"/>
            </a:ext>
          </a:extLst>
        </xdr:cNvPr>
        <xdr:cNvSpPr/>
      </xdr:nvSpPr>
      <xdr:spPr>
        <a:xfrm>
          <a:off x="9775534" y="6953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46" name="Rectangle 45">
          <a:extLst>
            <a:ext uri="{FF2B5EF4-FFF2-40B4-BE49-F238E27FC236}">
              <a16:creationId xmlns="" xmlns:a16="http://schemas.microsoft.com/office/drawing/2014/main" id="{8DD2EFC3-77FB-44CE-A16E-9C507731CA7D}"/>
            </a:ext>
          </a:extLst>
        </xdr:cNvPr>
        <xdr:cNvSpPr/>
      </xdr:nvSpPr>
      <xdr:spPr>
        <a:xfrm>
          <a:off x="10823284" y="3143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317209</xdr:colOff>
      <xdr:row>0</xdr:row>
      <xdr:rowOff>0</xdr:rowOff>
    </xdr:from>
    <xdr:ext cx="184731" cy="937629"/>
    <xdr:sp macro="" textlink="">
      <xdr:nvSpPr>
        <xdr:cNvPr id="47" name="Rectangle 46">
          <a:extLst>
            <a:ext uri="{FF2B5EF4-FFF2-40B4-BE49-F238E27FC236}">
              <a16:creationId xmlns="" xmlns:a16="http://schemas.microsoft.com/office/drawing/2014/main" id="{8859BC8A-EEA3-4DAA-998E-6E97E007DF67}"/>
            </a:ext>
          </a:extLst>
        </xdr:cNvPr>
        <xdr:cNvSpPr/>
      </xdr:nvSpPr>
      <xdr:spPr>
        <a:xfrm>
          <a:off x="11099509" y="3143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48" name="Rectangle 47">
          <a:extLst>
            <a:ext uri="{FF2B5EF4-FFF2-40B4-BE49-F238E27FC236}">
              <a16:creationId xmlns="" xmlns:a16="http://schemas.microsoft.com/office/drawing/2014/main" id="{A7D29040-7B45-45E8-832D-38E8D1FC4454}"/>
            </a:ext>
          </a:extLst>
        </xdr:cNvPr>
        <xdr:cNvSpPr/>
      </xdr:nvSpPr>
      <xdr:spPr>
        <a:xfrm>
          <a:off x="10823284" y="3143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317209</xdr:colOff>
      <xdr:row>0</xdr:row>
      <xdr:rowOff>0</xdr:rowOff>
    </xdr:from>
    <xdr:ext cx="184731" cy="937629"/>
    <xdr:sp macro="" textlink="">
      <xdr:nvSpPr>
        <xdr:cNvPr id="49" name="Rectangle 48">
          <a:extLst>
            <a:ext uri="{FF2B5EF4-FFF2-40B4-BE49-F238E27FC236}">
              <a16:creationId xmlns="" xmlns:a16="http://schemas.microsoft.com/office/drawing/2014/main" id="{2BFCF03F-E1BF-49A3-9A53-46C6FB9598AF}"/>
            </a:ext>
          </a:extLst>
        </xdr:cNvPr>
        <xdr:cNvSpPr/>
      </xdr:nvSpPr>
      <xdr:spPr>
        <a:xfrm>
          <a:off x="11099509" y="3143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937629"/>
    <xdr:sp macro="" textlink="">
      <xdr:nvSpPr>
        <xdr:cNvPr id="50" name="Rectangle 49">
          <a:extLst>
            <a:ext uri="{FF2B5EF4-FFF2-40B4-BE49-F238E27FC236}">
              <a16:creationId xmlns="" xmlns:a16="http://schemas.microsoft.com/office/drawing/2014/main" id="{66B07FDC-288A-4877-B561-D2BAA7464E4F}"/>
            </a:ext>
          </a:extLst>
        </xdr:cNvPr>
        <xdr:cNvSpPr/>
      </xdr:nvSpPr>
      <xdr:spPr>
        <a:xfrm>
          <a:off x="9775534" y="3143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0</xdr:colOff>
      <xdr:row>2</xdr:row>
      <xdr:rowOff>66675</xdr:rowOff>
    </xdr:from>
    <xdr:ext cx="184731" cy="937629"/>
    <xdr:sp macro="" textlink="">
      <xdr:nvSpPr>
        <xdr:cNvPr id="51" name="Rectangle 50">
          <a:extLst>
            <a:ext uri="{FF2B5EF4-FFF2-40B4-BE49-F238E27FC236}">
              <a16:creationId xmlns="" xmlns:a16="http://schemas.microsoft.com/office/drawing/2014/main" id="{D2275512-03C1-49D7-843A-24AA9BFC058A}"/>
            </a:ext>
          </a:extLst>
        </xdr:cNvPr>
        <xdr:cNvSpPr/>
      </xdr:nvSpPr>
      <xdr:spPr>
        <a:xfrm>
          <a:off x="9775534" y="6953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52" name="Rectangle 51">
          <a:extLst>
            <a:ext uri="{FF2B5EF4-FFF2-40B4-BE49-F238E27FC236}">
              <a16:creationId xmlns="" xmlns:a16="http://schemas.microsoft.com/office/drawing/2014/main" id="{C682B39B-280C-454F-8014-351D04E6E0B2}"/>
            </a:ext>
          </a:extLst>
        </xdr:cNvPr>
        <xdr:cNvSpPr/>
      </xdr:nvSpPr>
      <xdr:spPr>
        <a:xfrm>
          <a:off x="10823284" y="3143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317209</xdr:colOff>
      <xdr:row>0</xdr:row>
      <xdr:rowOff>0</xdr:rowOff>
    </xdr:from>
    <xdr:ext cx="184731" cy="937629"/>
    <xdr:sp macro="" textlink="">
      <xdr:nvSpPr>
        <xdr:cNvPr id="53" name="Rectangle 52">
          <a:extLst>
            <a:ext uri="{FF2B5EF4-FFF2-40B4-BE49-F238E27FC236}">
              <a16:creationId xmlns="" xmlns:a16="http://schemas.microsoft.com/office/drawing/2014/main" id="{BF9CDF3D-2B62-4A9F-9750-9B019C0977E4}"/>
            </a:ext>
          </a:extLst>
        </xdr:cNvPr>
        <xdr:cNvSpPr/>
      </xdr:nvSpPr>
      <xdr:spPr>
        <a:xfrm>
          <a:off x="11099509" y="3143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54" name="Rectangle 53">
          <a:extLst>
            <a:ext uri="{FF2B5EF4-FFF2-40B4-BE49-F238E27FC236}">
              <a16:creationId xmlns="" xmlns:a16="http://schemas.microsoft.com/office/drawing/2014/main" id="{71CF8C31-B9EA-466E-93CF-198E56AA47D0}"/>
            </a:ext>
          </a:extLst>
        </xdr:cNvPr>
        <xdr:cNvSpPr/>
      </xdr:nvSpPr>
      <xdr:spPr>
        <a:xfrm>
          <a:off x="10823284" y="3143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317209</xdr:colOff>
      <xdr:row>0</xdr:row>
      <xdr:rowOff>0</xdr:rowOff>
    </xdr:from>
    <xdr:ext cx="184731" cy="937629"/>
    <xdr:sp macro="" textlink="">
      <xdr:nvSpPr>
        <xdr:cNvPr id="55" name="Rectangle 54">
          <a:extLst>
            <a:ext uri="{FF2B5EF4-FFF2-40B4-BE49-F238E27FC236}">
              <a16:creationId xmlns="" xmlns:a16="http://schemas.microsoft.com/office/drawing/2014/main" id="{DDB01BF6-3A8F-4C09-99F1-B6C510C8F58C}"/>
            </a:ext>
          </a:extLst>
        </xdr:cNvPr>
        <xdr:cNvSpPr/>
      </xdr:nvSpPr>
      <xdr:spPr>
        <a:xfrm>
          <a:off x="11099509" y="3143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937629"/>
    <xdr:sp macro="" textlink="">
      <xdr:nvSpPr>
        <xdr:cNvPr id="56" name="Rectangle 55">
          <a:extLst>
            <a:ext uri="{FF2B5EF4-FFF2-40B4-BE49-F238E27FC236}">
              <a16:creationId xmlns="" xmlns:a16="http://schemas.microsoft.com/office/drawing/2014/main" id="{5131B4F2-A66B-4034-8F97-592B41B23AD3}"/>
            </a:ext>
          </a:extLst>
        </xdr:cNvPr>
        <xdr:cNvSpPr/>
      </xdr:nvSpPr>
      <xdr:spPr>
        <a:xfrm>
          <a:off x="9775534" y="3143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0</xdr:colOff>
      <xdr:row>2</xdr:row>
      <xdr:rowOff>66675</xdr:rowOff>
    </xdr:from>
    <xdr:ext cx="184731" cy="937629"/>
    <xdr:sp macro="" textlink="">
      <xdr:nvSpPr>
        <xdr:cNvPr id="57" name="Rectangle 56">
          <a:extLst>
            <a:ext uri="{FF2B5EF4-FFF2-40B4-BE49-F238E27FC236}">
              <a16:creationId xmlns="" xmlns:a16="http://schemas.microsoft.com/office/drawing/2014/main" id="{35889165-4BC3-4BCF-AA13-5E3576DF1851}"/>
            </a:ext>
          </a:extLst>
        </xdr:cNvPr>
        <xdr:cNvSpPr/>
      </xdr:nvSpPr>
      <xdr:spPr>
        <a:xfrm>
          <a:off x="9775534" y="6953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50" name="Rectangle 49">
          <a:extLst>
            <a:ext uri="{FF2B5EF4-FFF2-40B4-BE49-F238E27FC236}">
              <a16:creationId xmlns="" xmlns:a16="http://schemas.microsoft.com/office/drawing/2014/main" id="{6CCE9F61-E13B-4F85-84AB-F98285E1363C}"/>
            </a:ext>
          </a:extLst>
        </xdr:cNvPr>
        <xdr:cNvSpPr/>
      </xdr:nvSpPr>
      <xdr:spPr>
        <a:xfrm>
          <a:off x="517495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51" name="Rectangle 50">
          <a:extLst>
            <a:ext uri="{FF2B5EF4-FFF2-40B4-BE49-F238E27FC236}">
              <a16:creationId xmlns="" xmlns:a16="http://schemas.microsoft.com/office/drawing/2014/main" id="{179FEF9D-39C8-4F6A-8E32-618848209687}"/>
            </a:ext>
          </a:extLst>
        </xdr:cNvPr>
        <xdr:cNvSpPr/>
      </xdr:nvSpPr>
      <xdr:spPr>
        <a:xfrm>
          <a:off x="517495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52" name="Rectangle 51">
          <a:extLst>
            <a:ext uri="{FF2B5EF4-FFF2-40B4-BE49-F238E27FC236}">
              <a16:creationId xmlns="" xmlns:a16="http://schemas.microsoft.com/office/drawing/2014/main" id="{A2109482-627C-4BFA-A045-6D1559B49101}"/>
            </a:ext>
          </a:extLst>
        </xdr:cNvPr>
        <xdr:cNvSpPr/>
      </xdr:nvSpPr>
      <xdr:spPr>
        <a:xfrm>
          <a:off x="517495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53" name="Rectangle 52">
          <a:extLst>
            <a:ext uri="{FF2B5EF4-FFF2-40B4-BE49-F238E27FC236}">
              <a16:creationId xmlns="" xmlns:a16="http://schemas.microsoft.com/office/drawing/2014/main" id="{D91DD377-51FA-4A81-B8CA-1B6692306BE8}"/>
            </a:ext>
          </a:extLst>
        </xdr:cNvPr>
        <xdr:cNvSpPr/>
      </xdr:nvSpPr>
      <xdr:spPr>
        <a:xfrm>
          <a:off x="517495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54" name="Rectangle 53">
          <a:extLst>
            <a:ext uri="{FF2B5EF4-FFF2-40B4-BE49-F238E27FC236}">
              <a16:creationId xmlns="" xmlns:a16="http://schemas.microsoft.com/office/drawing/2014/main" id="{5B3AD885-60EC-48B0-983D-8D2DA23876EE}"/>
            </a:ext>
          </a:extLst>
        </xdr:cNvPr>
        <xdr:cNvSpPr/>
      </xdr:nvSpPr>
      <xdr:spPr>
        <a:xfrm>
          <a:off x="517495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55" name="Rectangle 54">
          <a:extLst>
            <a:ext uri="{FF2B5EF4-FFF2-40B4-BE49-F238E27FC236}">
              <a16:creationId xmlns="" xmlns:a16="http://schemas.microsoft.com/office/drawing/2014/main" id="{42266E61-B473-4B32-8263-365E7AB0C134}"/>
            </a:ext>
          </a:extLst>
        </xdr:cNvPr>
        <xdr:cNvSpPr/>
      </xdr:nvSpPr>
      <xdr:spPr>
        <a:xfrm>
          <a:off x="517495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56" name="Rectangle 55">
          <a:extLst>
            <a:ext uri="{FF2B5EF4-FFF2-40B4-BE49-F238E27FC236}">
              <a16:creationId xmlns="" xmlns:a16="http://schemas.microsoft.com/office/drawing/2014/main" id="{D09B86B7-7A13-460E-8FCF-5A9EB1995890}"/>
            </a:ext>
          </a:extLst>
        </xdr:cNvPr>
        <xdr:cNvSpPr/>
      </xdr:nvSpPr>
      <xdr:spPr>
        <a:xfrm>
          <a:off x="517495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57" name="Rectangle 56">
          <a:extLst>
            <a:ext uri="{FF2B5EF4-FFF2-40B4-BE49-F238E27FC236}">
              <a16:creationId xmlns="" xmlns:a16="http://schemas.microsoft.com/office/drawing/2014/main" id="{552E1940-AE51-4FD4-8F7A-E221DE07387C}"/>
            </a:ext>
          </a:extLst>
        </xdr:cNvPr>
        <xdr:cNvSpPr/>
      </xdr:nvSpPr>
      <xdr:spPr>
        <a:xfrm>
          <a:off x="517495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58" name="Rectangle 57">
          <a:extLst>
            <a:ext uri="{FF2B5EF4-FFF2-40B4-BE49-F238E27FC236}">
              <a16:creationId xmlns="" xmlns:a16="http://schemas.microsoft.com/office/drawing/2014/main" id="{0D589194-6845-4868-BA0B-EE50D5BDFAC3}"/>
            </a:ext>
          </a:extLst>
        </xdr:cNvPr>
        <xdr:cNvSpPr/>
      </xdr:nvSpPr>
      <xdr:spPr>
        <a:xfrm>
          <a:off x="517495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59" name="Rectangle 58">
          <a:extLst>
            <a:ext uri="{FF2B5EF4-FFF2-40B4-BE49-F238E27FC236}">
              <a16:creationId xmlns="" xmlns:a16="http://schemas.microsoft.com/office/drawing/2014/main" id="{4DE36665-8BB8-4299-B6CE-1E41B5533E40}"/>
            </a:ext>
          </a:extLst>
        </xdr:cNvPr>
        <xdr:cNvSpPr/>
      </xdr:nvSpPr>
      <xdr:spPr>
        <a:xfrm>
          <a:off x="517495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60" name="Rectangle 59">
          <a:extLst>
            <a:ext uri="{FF2B5EF4-FFF2-40B4-BE49-F238E27FC236}">
              <a16:creationId xmlns="" xmlns:a16="http://schemas.microsoft.com/office/drawing/2014/main" id="{03ABDF6D-CC25-4FA3-8618-8CCCD864FCB1}"/>
            </a:ext>
          </a:extLst>
        </xdr:cNvPr>
        <xdr:cNvSpPr/>
      </xdr:nvSpPr>
      <xdr:spPr>
        <a:xfrm>
          <a:off x="517495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61" name="Rectangle 60">
          <a:extLst>
            <a:ext uri="{FF2B5EF4-FFF2-40B4-BE49-F238E27FC236}">
              <a16:creationId xmlns="" xmlns:a16="http://schemas.microsoft.com/office/drawing/2014/main" id="{7AF380C2-4931-4E04-9539-7BD39B7ADE0A}"/>
            </a:ext>
          </a:extLst>
        </xdr:cNvPr>
        <xdr:cNvSpPr/>
      </xdr:nvSpPr>
      <xdr:spPr>
        <a:xfrm>
          <a:off x="517495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62" name="Rectangle 61">
          <a:extLst>
            <a:ext uri="{FF2B5EF4-FFF2-40B4-BE49-F238E27FC236}">
              <a16:creationId xmlns="" xmlns:a16="http://schemas.microsoft.com/office/drawing/2014/main" id="{BF9A157F-8F67-46D8-8259-C3B53CEB0F6D}"/>
            </a:ext>
          </a:extLst>
        </xdr:cNvPr>
        <xdr:cNvSpPr/>
      </xdr:nvSpPr>
      <xdr:spPr>
        <a:xfrm>
          <a:off x="517495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63" name="Rectangle 62">
          <a:extLst>
            <a:ext uri="{FF2B5EF4-FFF2-40B4-BE49-F238E27FC236}">
              <a16:creationId xmlns="" xmlns:a16="http://schemas.microsoft.com/office/drawing/2014/main" id="{17EB7179-9E5A-404C-B8F8-F595E227E5C1}"/>
            </a:ext>
          </a:extLst>
        </xdr:cNvPr>
        <xdr:cNvSpPr/>
      </xdr:nvSpPr>
      <xdr:spPr>
        <a:xfrm>
          <a:off x="517495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64" name="Rectangle 63">
          <a:extLst>
            <a:ext uri="{FF2B5EF4-FFF2-40B4-BE49-F238E27FC236}">
              <a16:creationId xmlns="" xmlns:a16="http://schemas.microsoft.com/office/drawing/2014/main" id="{2B69F33B-60A3-47F4-A533-F751B709DF52}"/>
            </a:ext>
          </a:extLst>
        </xdr:cNvPr>
        <xdr:cNvSpPr/>
      </xdr:nvSpPr>
      <xdr:spPr>
        <a:xfrm>
          <a:off x="517495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65" name="Rectangle 64">
          <a:extLst>
            <a:ext uri="{FF2B5EF4-FFF2-40B4-BE49-F238E27FC236}">
              <a16:creationId xmlns="" xmlns:a16="http://schemas.microsoft.com/office/drawing/2014/main" id="{F93A4ADC-0586-4DD1-80F9-90E4FBF8B5FB}"/>
            </a:ext>
          </a:extLst>
        </xdr:cNvPr>
        <xdr:cNvSpPr/>
      </xdr:nvSpPr>
      <xdr:spPr>
        <a:xfrm>
          <a:off x="517495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66" name="Rectangle 65">
          <a:extLst>
            <a:ext uri="{FF2B5EF4-FFF2-40B4-BE49-F238E27FC236}">
              <a16:creationId xmlns="" xmlns:a16="http://schemas.microsoft.com/office/drawing/2014/main" id="{55515F57-79E4-4365-B3F0-580657139DAE}"/>
            </a:ext>
          </a:extLst>
        </xdr:cNvPr>
        <xdr:cNvSpPr/>
      </xdr:nvSpPr>
      <xdr:spPr>
        <a:xfrm>
          <a:off x="494635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67" name="Rectangle 66">
          <a:extLst>
            <a:ext uri="{FF2B5EF4-FFF2-40B4-BE49-F238E27FC236}">
              <a16:creationId xmlns="" xmlns:a16="http://schemas.microsoft.com/office/drawing/2014/main" id="{15917D31-A254-4C4D-9C6C-3E98D3A615B9}"/>
            </a:ext>
          </a:extLst>
        </xdr:cNvPr>
        <xdr:cNvSpPr/>
      </xdr:nvSpPr>
      <xdr:spPr>
        <a:xfrm>
          <a:off x="494635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68" name="Rectangle 67">
          <a:extLst>
            <a:ext uri="{FF2B5EF4-FFF2-40B4-BE49-F238E27FC236}">
              <a16:creationId xmlns="" xmlns:a16="http://schemas.microsoft.com/office/drawing/2014/main" id="{5C916AF7-310D-4231-BAC8-7A9969CED83D}"/>
            </a:ext>
          </a:extLst>
        </xdr:cNvPr>
        <xdr:cNvSpPr/>
      </xdr:nvSpPr>
      <xdr:spPr>
        <a:xfrm>
          <a:off x="494635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69" name="Rectangle 68">
          <a:extLst>
            <a:ext uri="{FF2B5EF4-FFF2-40B4-BE49-F238E27FC236}">
              <a16:creationId xmlns="" xmlns:a16="http://schemas.microsoft.com/office/drawing/2014/main" id="{D392FD96-E6B1-4EE5-8F58-616822F36ECB}"/>
            </a:ext>
          </a:extLst>
        </xdr:cNvPr>
        <xdr:cNvSpPr/>
      </xdr:nvSpPr>
      <xdr:spPr>
        <a:xfrm>
          <a:off x="494635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70" name="Rectangle 69">
          <a:extLst>
            <a:ext uri="{FF2B5EF4-FFF2-40B4-BE49-F238E27FC236}">
              <a16:creationId xmlns="" xmlns:a16="http://schemas.microsoft.com/office/drawing/2014/main" id="{EAD18754-2807-4465-9ABF-07206880A39F}"/>
            </a:ext>
          </a:extLst>
        </xdr:cNvPr>
        <xdr:cNvSpPr/>
      </xdr:nvSpPr>
      <xdr:spPr>
        <a:xfrm>
          <a:off x="494635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71" name="Rectangle 70">
          <a:extLst>
            <a:ext uri="{FF2B5EF4-FFF2-40B4-BE49-F238E27FC236}">
              <a16:creationId xmlns="" xmlns:a16="http://schemas.microsoft.com/office/drawing/2014/main" id="{1967E6D4-972F-473D-8B5D-73E97C4ACD3E}"/>
            </a:ext>
          </a:extLst>
        </xdr:cNvPr>
        <xdr:cNvSpPr/>
      </xdr:nvSpPr>
      <xdr:spPr>
        <a:xfrm>
          <a:off x="494635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72" name="Rectangle 71">
          <a:extLst>
            <a:ext uri="{FF2B5EF4-FFF2-40B4-BE49-F238E27FC236}">
              <a16:creationId xmlns="" xmlns:a16="http://schemas.microsoft.com/office/drawing/2014/main" id="{17119CC8-40F1-4D64-BAB9-23E7CF29F3A6}"/>
            </a:ext>
          </a:extLst>
        </xdr:cNvPr>
        <xdr:cNvSpPr/>
      </xdr:nvSpPr>
      <xdr:spPr>
        <a:xfrm>
          <a:off x="494635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73" name="Rectangle 72">
          <a:extLst>
            <a:ext uri="{FF2B5EF4-FFF2-40B4-BE49-F238E27FC236}">
              <a16:creationId xmlns="" xmlns:a16="http://schemas.microsoft.com/office/drawing/2014/main" id="{A97B8F39-DDCE-4FC2-A7BC-C23C725D661E}"/>
            </a:ext>
          </a:extLst>
        </xdr:cNvPr>
        <xdr:cNvSpPr/>
      </xdr:nvSpPr>
      <xdr:spPr>
        <a:xfrm>
          <a:off x="494635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74" name="Rectangle 73">
          <a:extLst>
            <a:ext uri="{FF2B5EF4-FFF2-40B4-BE49-F238E27FC236}">
              <a16:creationId xmlns="" xmlns:a16="http://schemas.microsoft.com/office/drawing/2014/main" id="{EB944D2B-3CB8-48AF-8B16-9D04972A3C5A}"/>
            </a:ext>
          </a:extLst>
        </xdr:cNvPr>
        <xdr:cNvSpPr/>
      </xdr:nvSpPr>
      <xdr:spPr>
        <a:xfrm>
          <a:off x="494635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75" name="Rectangle 74">
          <a:extLst>
            <a:ext uri="{FF2B5EF4-FFF2-40B4-BE49-F238E27FC236}">
              <a16:creationId xmlns="" xmlns:a16="http://schemas.microsoft.com/office/drawing/2014/main" id="{E236D2A0-BC7D-46CE-9513-3488D4EB1BE7}"/>
            </a:ext>
          </a:extLst>
        </xdr:cNvPr>
        <xdr:cNvSpPr/>
      </xdr:nvSpPr>
      <xdr:spPr>
        <a:xfrm>
          <a:off x="494635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76" name="Rectangle 75">
          <a:extLst>
            <a:ext uri="{FF2B5EF4-FFF2-40B4-BE49-F238E27FC236}">
              <a16:creationId xmlns="" xmlns:a16="http://schemas.microsoft.com/office/drawing/2014/main" id="{F5E73EE0-B459-4FA1-AC8B-81F5517D08EF}"/>
            </a:ext>
          </a:extLst>
        </xdr:cNvPr>
        <xdr:cNvSpPr/>
      </xdr:nvSpPr>
      <xdr:spPr>
        <a:xfrm>
          <a:off x="494635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77" name="Rectangle 76">
          <a:extLst>
            <a:ext uri="{FF2B5EF4-FFF2-40B4-BE49-F238E27FC236}">
              <a16:creationId xmlns="" xmlns:a16="http://schemas.microsoft.com/office/drawing/2014/main" id="{4BE0E240-226E-43E7-92B0-B3281D08010C}"/>
            </a:ext>
          </a:extLst>
        </xdr:cNvPr>
        <xdr:cNvSpPr/>
      </xdr:nvSpPr>
      <xdr:spPr>
        <a:xfrm>
          <a:off x="494635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78" name="Rectangle 77">
          <a:extLst>
            <a:ext uri="{FF2B5EF4-FFF2-40B4-BE49-F238E27FC236}">
              <a16:creationId xmlns="" xmlns:a16="http://schemas.microsoft.com/office/drawing/2014/main" id="{DED54829-665F-4A6F-B825-69473FA46A7F}"/>
            </a:ext>
          </a:extLst>
        </xdr:cNvPr>
        <xdr:cNvSpPr/>
      </xdr:nvSpPr>
      <xdr:spPr>
        <a:xfrm>
          <a:off x="494635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79" name="Rectangle 78">
          <a:extLst>
            <a:ext uri="{FF2B5EF4-FFF2-40B4-BE49-F238E27FC236}">
              <a16:creationId xmlns="" xmlns:a16="http://schemas.microsoft.com/office/drawing/2014/main" id="{2F54E3BF-37AD-4F50-9272-594AB617BC83}"/>
            </a:ext>
          </a:extLst>
        </xdr:cNvPr>
        <xdr:cNvSpPr/>
      </xdr:nvSpPr>
      <xdr:spPr>
        <a:xfrm>
          <a:off x="494635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80" name="Rectangle 79">
          <a:extLst>
            <a:ext uri="{FF2B5EF4-FFF2-40B4-BE49-F238E27FC236}">
              <a16:creationId xmlns="" xmlns:a16="http://schemas.microsoft.com/office/drawing/2014/main" id="{86245C04-A08E-4F7F-96D0-EC4DECAD1359}"/>
            </a:ext>
          </a:extLst>
        </xdr:cNvPr>
        <xdr:cNvSpPr/>
      </xdr:nvSpPr>
      <xdr:spPr>
        <a:xfrm>
          <a:off x="494635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81" name="Rectangle 80">
          <a:extLst>
            <a:ext uri="{FF2B5EF4-FFF2-40B4-BE49-F238E27FC236}">
              <a16:creationId xmlns="" xmlns:a16="http://schemas.microsoft.com/office/drawing/2014/main" id="{AFD0C595-1371-4BC5-AD2E-02A88250F033}"/>
            </a:ext>
          </a:extLst>
        </xdr:cNvPr>
        <xdr:cNvSpPr/>
      </xdr:nvSpPr>
      <xdr:spPr>
        <a:xfrm>
          <a:off x="494635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43</xdr:row>
      <xdr:rowOff>0</xdr:rowOff>
    </xdr:from>
    <xdr:ext cx="184731" cy="937629"/>
    <xdr:sp macro="" textlink="">
      <xdr:nvSpPr>
        <xdr:cNvPr id="82" name="Rectangle 81">
          <a:extLst>
            <a:ext uri="{FF2B5EF4-FFF2-40B4-BE49-F238E27FC236}">
              <a16:creationId xmlns="" xmlns:a16="http://schemas.microsoft.com/office/drawing/2014/main" id="{99F007C5-42E0-4D2D-85E8-6FEB929CDCD7}"/>
            </a:ext>
          </a:extLst>
        </xdr:cNvPr>
        <xdr:cNvSpPr/>
      </xdr:nvSpPr>
      <xdr:spPr>
        <a:xfrm>
          <a:off x="4946359" y="211169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43</xdr:row>
      <xdr:rowOff>0</xdr:rowOff>
    </xdr:from>
    <xdr:ext cx="184731" cy="937629"/>
    <xdr:sp macro="" textlink="">
      <xdr:nvSpPr>
        <xdr:cNvPr id="83" name="Rectangle 82">
          <a:extLst>
            <a:ext uri="{FF2B5EF4-FFF2-40B4-BE49-F238E27FC236}">
              <a16:creationId xmlns="" xmlns:a16="http://schemas.microsoft.com/office/drawing/2014/main" id="{D8ED3EFD-ECB6-4DA9-9081-DA592F165DCE}"/>
            </a:ext>
          </a:extLst>
        </xdr:cNvPr>
        <xdr:cNvSpPr/>
      </xdr:nvSpPr>
      <xdr:spPr>
        <a:xfrm>
          <a:off x="4946359" y="211169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43</xdr:row>
      <xdr:rowOff>0</xdr:rowOff>
    </xdr:from>
    <xdr:ext cx="184731" cy="937629"/>
    <xdr:sp macro="" textlink="">
      <xdr:nvSpPr>
        <xdr:cNvPr id="84" name="Rectangle 83">
          <a:extLst>
            <a:ext uri="{FF2B5EF4-FFF2-40B4-BE49-F238E27FC236}">
              <a16:creationId xmlns="" xmlns:a16="http://schemas.microsoft.com/office/drawing/2014/main" id="{7BE7C038-57C5-4605-AF59-7B874C4F19B7}"/>
            </a:ext>
          </a:extLst>
        </xdr:cNvPr>
        <xdr:cNvSpPr/>
      </xdr:nvSpPr>
      <xdr:spPr>
        <a:xfrm>
          <a:off x="4946359" y="211169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43</xdr:row>
      <xdr:rowOff>0</xdr:rowOff>
    </xdr:from>
    <xdr:ext cx="184731" cy="937629"/>
    <xdr:sp macro="" textlink="">
      <xdr:nvSpPr>
        <xdr:cNvPr id="85" name="Rectangle 84">
          <a:extLst>
            <a:ext uri="{FF2B5EF4-FFF2-40B4-BE49-F238E27FC236}">
              <a16:creationId xmlns="" xmlns:a16="http://schemas.microsoft.com/office/drawing/2014/main" id="{1D31B433-1B95-4B7E-ADDE-E3A5F4B45EDC}"/>
            </a:ext>
          </a:extLst>
        </xdr:cNvPr>
        <xdr:cNvSpPr/>
      </xdr:nvSpPr>
      <xdr:spPr>
        <a:xfrm>
          <a:off x="4946359" y="211169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43</xdr:row>
      <xdr:rowOff>0</xdr:rowOff>
    </xdr:from>
    <xdr:ext cx="184731" cy="937629"/>
    <xdr:sp macro="" textlink="">
      <xdr:nvSpPr>
        <xdr:cNvPr id="86" name="Rectangle 85">
          <a:extLst>
            <a:ext uri="{FF2B5EF4-FFF2-40B4-BE49-F238E27FC236}">
              <a16:creationId xmlns="" xmlns:a16="http://schemas.microsoft.com/office/drawing/2014/main" id="{0EA6FFE4-F8E5-498D-883A-3D6A37BD9D42}"/>
            </a:ext>
          </a:extLst>
        </xdr:cNvPr>
        <xdr:cNvSpPr/>
      </xdr:nvSpPr>
      <xdr:spPr>
        <a:xfrm>
          <a:off x="4946359" y="211169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43</xdr:row>
      <xdr:rowOff>0</xdr:rowOff>
    </xdr:from>
    <xdr:ext cx="184731" cy="937629"/>
    <xdr:sp macro="" textlink="">
      <xdr:nvSpPr>
        <xdr:cNvPr id="87" name="Rectangle 86">
          <a:extLst>
            <a:ext uri="{FF2B5EF4-FFF2-40B4-BE49-F238E27FC236}">
              <a16:creationId xmlns="" xmlns:a16="http://schemas.microsoft.com/office/drawing/2014/main" id="{4FD0BF23-39A5-4B30-A3A2-8C4778CDBE60}"/>
            </a:ext>
          </a:extLst>
        </xdr:cNvPr>
        <xdr:cNvSpPr/>
      </xdr:nvSpPr>
      <xdr:spPr>
        <a:xfrm>
          <a:off x="4946359" y="211169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43</xdr:row>
      <xdr:rowOff>0</xdr:rowOff>
    </xdr:from>
    <xdr:ext cx="184731" cy="937629"/>
    <xdr:sp macro="" textlink="">
      <xdr:nvSpPr>
        <xdr:cNvPr id="88" name="Rectangle 87">
          <a:extLst>
            <a:ext uri="{FF2B5EF4-FFF2-40B4-BE49-F238E27FC236}">
              <a16:creationId xmlns="" xmlns:a16="http://schemas.microsoft.com/office/drawing/2014/main" id="{A6BAC5DE-F2F3-4783-95CF-AB49C18E3A43}"/>
            </a:ext>
          </a:extLst>
        </xdr:cNvPr>
        <xdr:cNvSpPr/>
      </xdr:nvSpPr>
      <xdr:spPr>
        <a:xfrm>
          <a:off x="4946359" y="211169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43</xdr:row>
      <xdr:rowOff>0</xdr:rowOff>
    </xdr:from>
    <xdr:ext cx="184731" cy="937629"/>
    <xdr:sp macro="" textlink="">
      <xdr:nvSpPr>
        <xdr:cNvPr id="89" name="Rectangle 88">
          <a:extLst>
            <a:ext uri="{FF2B5EF4-FFF2-40B4-BE49-F238E27FC236}">
              <a16:creationId xmlns="" xmlns:a16="http://schemas.microsoft.com/office/drawing/2014/main" id="{0BD5DB56-7EE8-46EC-B985-22B2107D476F}"/>
            </a:ext>
          </a:extLst>
        </xdr:cNvPr>
        <xdr:cNvSpPr/>
      </xdr:nvSpPr>
      <xdr:spPr>
        <a:xfrm>
          <a:off x="4946359" y="211169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43</xdr:row>
      <xdr:rowOff>0</xdr:rowOff>
    </xdr:from>
    <xdr:ext cx="184731" cy="937629"/>
    <xdr:sp macro="" textlink="">
      <xdr:nvSpPr>
        <xdr:cNvPr id="90" name="Rectangle 89">
          <a:extLst>
            <a:ext uri="{FF2B5EF4-FFF2-40B4-BE49-F238E27FC236}">
              <a16:creationId xmlns="" xmlns:a16="http://schemas.microsoft.com/office/drawing/2014/main" id="{EB669A76-8181-4840-82EB-4D6A58CF8F17}"/>
            </a:ext>
          </a:extLst>
        </xdr:cNvPr>
        <xdr:cNvSpPr/>
      </xdr:nvSpPr>
      <xdr:spPr>
        <a:xfrm>
          <a:off x="4946359" y="211169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43</xdr:row>
      <xdr:rowOff>0</xdr:rowOff>
    </xdr:from>
    <xdr:ext cx="184731" cy="937629"/>
    <xdr:sp macro="" textlink="">
      <xdr:nvSpPr>
        <xdr:cNvPr id="91" name="Rectangle 90">
          <a:extLst>
            <a:ext uri="{FF2B5EF4-FFF2-40B4-BE49-F238E27FC236}">
              <a16:creationId xmlns="" xmlns:a16="http://schemas.microsoft.com/office/drawing/2014/main" id="{6BC20C1D-525D-4373-9FE9-F927A3AA6732}"/>
            </a:ext>
          </a:extLst>
        </xdr:cNvPr>
        <xdr:cNvSpPr/>
      </xdr:nvSpPr>
      <xdr:spPr>
        <a:xfrm>
          <a:off x="4946359" y="211169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43</xdr:row>
      <xdr:rowOff>0</xdr:rowOff>
    </xdr:from>
    <xdr:ext cx="184731" cy="937629"/>
    <xdr:sp macro="" textlink="">
      <xdr:nvSpPr>
        <xdr:cNvPr id="92" name="Rectangle 91">
          <a:extLst>
            <a:ext uri="{FF2B5EF4-FFF2-40B4-BE49-F238E27FC236}">
              <a16:creationId xmlns="" xmlns:a16="http://schemas.microsoft.com/office/drawing/2014/main" id="{A692A9F0-979F-49B8-9E14-66E0C928D4C0}"/>
            </a:ext>
          </a:extLst>
        </xdr:cNvPr>
        <xdr:cNvSpPr/>
      </xdr:nvSpPr>
      <xdr:spPr>
        <a:xfrm>
          <a:off x="4946359" y="211169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43</xdr:row>
      <xdr:rowOff>0</xdr:rowOff>
    </xdr:from>
    <xdr:ext cx="184731" cy="937629"/>
    <xdr:sp macro="" textlink="">
      <xdr:nvSpPr>
        <xdr:cNvPr id="93" name="Rectangle 92">
          <a:extLst>
            <a:ext uri="{FF2B5EF4-FFF2-40B4-BE49-F238E27FC236}">
              <a16:creationId xmlns="" xmlns:a16="http://schemas.microsoft.com/office/drawing/2014/main" id="{FF0D17E1-CC77-4EBD-9B4E-546630ADE652}"/>
            </a:ext>
          </a:extLst>
        </xdr:cNvPr>
        <xdr:cNvSpPr/>
      </xdr:nvSpPr>
      <xdr:spPr>
        <a:xfrm>
          <a:off x="4946359" y="211169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43</xdr:row>
      <xdr:rowOff>0</xdr:rowOff>
    </xdr:from>
    <xdr:ext cx="184731" cy="937629"/>
    <xdr:sp macro="" textlink="">
      <xdr:nvSpPr>
        <xdr:cNvPr id="94" name="Rectangle 93">
          <a:extLst>
            <a:ext uri="{FF2B5EF4-FFF2-40B4-BE49-F238E27FC236}">
              <a16:creationId xmlns="" xmlns:a16="http://schemas.microsoft.com/office/drawing/2014/main" id="{D34559CE-0486-4D32-8071-68DB710F06F1}"/>
            </a:ext>
          </a:extLst>
        </xdr:cNvPr>
        <xdr:cNvSpPr/>
      </xdr:nvSpPr>
      <xdr:spPr>
        <a:xfrm>
          <a:off x="4946359" y="211169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43</xdr:row>
      <xdr:rowOff>0</xdr:rowOff>
    </xdr:from>
    <xdr:ext cx="184731" cy="937629"/>
    <xdr:sp macro="" textlink="">
      <xdr:nvSpPr>
        <xdr:cNvPr id="95" name="Rectangle 94">
          <a:extLst>
            <a:ext uri="{FF2B5EF4-FFF2-40B4-BE49-F238E27FC236}">
              <a16:creationId xmlns="" xmlns:a16="http://schemas.microsoft.com/office/drawing/2014/main" id="{A25085BB-7CCB-41D6-A4E2-DF4F3B73403A}"/>
            </a:ext>
          </a:extLst>
        </xdr:cNvPr>
        <xdr:cNvSpPr/>
      </xdr:nvSpPr>
      <xdr:spPr>
        <a:xfrm>
          <a:off x="4946359" y="211169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43</xdr:row>
      <xdr:rowOff>0</xdr:rowOff>
    </xdr:from>
    <xdr:ext cx="184731" cy="937629"/>
    <xdr:sp macro="" textlink="">
      <xdr:nvSpPr>
        <xdr:cNvPr id="96" name="Rectangle 95">
          <a:extLst>
            <a:ext uri="{FF2B5EF4-FFF2-40B4-BE49-F238E27FC236}">
              <a16:creationId xmlns="" xmlns:a16="http://schemas.microsoft.com/office/drawing/2014/main" id="{56E11C53-65D8-4149-9D53-768A0F2DF94B}"/>
            </a:ext>
          </a:extLst>
        </xdr:cNvPr>
        <xdr:cNvSpPr/>
      </xdr:nvSpPr>
      <xdr:spPr>
        <a:xfrm>
          <a:off x="4946359" y="211169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43</xdr:row>
      <xdr:rowOff>0</xdr:rowOff>
    </xdr:from>
    <xdr:ext cx="184731" cy="937629"/>
    <xdr:sp macro="" textlink="">
      <xdr:nvSpPr>
        <xdr:cNvPr id="97" name="Rectangle 96">
          <a:extLst>
            <a:ext uri="{FF2B5EF4-FFF2-40B4-BE49-F238E27FC236}">
              <a16:creationId xmlns="" xmlns:a16="http://schemas.microsoft.com/office/drawing/2014/main" id="{2FA46857-F703-4752-A736-8F0AD081C7A1}"/>
            </a:ext>
          </a:extLst>
        </xdr:cNvPr>
        <xdr:cNvSpPr/>
      </xdr:nvSpPr>
      <xdr:spPr>
        <a:xfrm>
          <a:off x="4946359" y="211169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1AB9F9CE-5170-48CA-B842-8E0A6D0342F0}"/>
            </a:ext>
          </a:extLst>
        </xdr:cNvPr>
        <xdr:cNvSpPr/>
      </xdr:nvSpPr>
      <xdr:spPr>
        <a:xfrm>
          <a:off x="77371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3" name="Rectangle 2">
          <a:extLst>
            <a:ext uri="{FF2B5EF4-FFF2-40B4-BE49-F238E27FC236}">
              <a16:creationId xmlns="" xmlns:a16="http://schemas.microsoft.com/office/drawing/2014/main" id="{0E5637DD-FD6B-4760-B49E-EEB33A92C992}"/>
            </a:ext>
          </a:extLst>
        </xdr:cNvPr>
        <xdr:cNvSpPr/>
      </xdr:nvSpPr>
      <xdr:spPr>
        <a:xfrm>
          <a:off x="77371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4" name="Rectangle 3">
          <a:extLst>
            <a:ext uri="{FF2B5EF4-FFF2-40B4-BE49-F238E27FC236}">
              <a16:creationId xmlns="" xmlns:a16="http://schemas.microsoft.com/office/drawing/2014/main" id="{A00C4D63-7E40-4357-82C4-CEEEBBD2230F}"/>
            </a:ext>
          </a:extLst>
        </xdr:cNvPr>
        <xdr:cNvSpPr/>
      </xdr:nvSpPr>
      <xdr:spPr>
        <a:xfrm>
          <a:off x="77371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5" name="Rectangle 4">
          <a:extLst>
            <a:ext uri="{FF2B5EF4-FFF2-40B4-BE49-F238E27FC236}">
              <a16:creationId xmlns="" xmlns:a16="http://schemas.microsoft.com/office/drawing/2014/main" id="{C690217B-FDC7-4B65-9523-9D79A1E95A93}"/>
            </a:ext>
          </a:extLst>
        </xdr:cNvPr>
        <xdr:cNvSpPr/>
      </xdr:nvSpPr>
      <xdr:spPr>
        <a:xfrm>
          <a:off x="77371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6" name="Rectangle 5">
          <a:extLst>
            <a:ext uri="{FF2B5EF4-FFF2-40B4-BE49-F238E27FC236}">
              <a16:creationId xmlns="" xmlns:a16="http://schemas.microsoft.com/office/drawing/2014/main" id="{DAC48B74-751B-41A5-AD26-5AF2D5216D0A}"/>
            </a:ext>
          </a:extLst>
        </xdr:cNvPr>
        <xdr:cNvSpPr/>
      </xdr:nvSpPr>
      <xdr:spPr>
        <a:xfrm>
          <a:off x="77371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7" name="Rectangle 6">
          <a:extLst>
            <a:ext uri="{FF2B5EF4-FFF2-40B4-BE49-F238E27FC236}">
              <a16:creationId xmlns="" xmlns:a16="http://schemas.microsoft.com/office/drawing/2014/main" id="{C02FC6FF-A3F6-4A5C-8002-1FA6AB4E77FB}"/>
            </a:ext>
          </a:extLst>
        </xdr:cNvPr>
        <xdr:cNvSpPr/>
      </xdr:nvSpPr>
      <xdr:spPr>
        <a:xfrm>
          <a:off x="77371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8" name="Rectangle 7">
          <a:extLst>
            <a:ext uri="{FF2B5EF4-FFF2-40B4-BE49-F238E27FC236}">
              <a16:creationId xmlns="" xmlns:a16="http://schemas.microsoft.com/office/drawing/2014/main" id="{03C15520-60F1-4919-87B7-8F322BD7CADB}"/>
            </a:ext>
          </a:extLst>
        </xdr:cNvPr>
        <xdr:cNvSpPr/>
      </xdr:nvSpPr>
      <xdr:spPr>
        <a:xfrm>
          <a:off x="77371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9" name="Rectangle 8">
          <a:extLst>
            <a:ext uri="{FF2B5EF4-FFF2-40B4-BE49-F238E27FC236}">
              <a16:creationId xmlns="" xmlns:a16="http://schemas.microsoft.com/office/drawing/2014/main" id="{BF9A23A2-6BAD-4AE7-B292-628E370C37DC}"/>
            </a:ext>
          </a:extLst>
        </xdr:cNvPr>
        <xdr:cNvSpPr/>
      </xdr:nvSpPr>
      <xdr:spPr>
        <a:xfrm>
          <a:off x="77371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10" name="Rectangle 9">
          <a:extLst>
            <a:ext uri="{FF2B5EF4-FFF2-40B4-BE49-F238E27FC236}">
              <a16:creationId xmlns="" xmlns:a16="http://schemas.microsoft.com/office/drawing/2014/main" id="{0792C327-CCE3-44D2-8618-92699EAD29CA}"/>
            </a:ext>
          </a:extLst>
        </xdr:cNvPr>
        <xdr:cNvSpPr/>
      </xdr:nvSpPr>
      <xdr:spPr>
        <a:xfrm>
          <a:off x="77371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11" name="Rectangle 10">
          <a:extLst>
            <a:ext uri="{FF2B5EF4-FFF2-40B4-BE49-F238E27FC236}">
              <a16:creationId xmlns="" xmlns:a16="http://schemas.microsoft.com/office/drawing/2014/main" id="{ED931E41-F7D8-4763-9879-F9AE104D77B7}"/>
            </a:ext>
          </a:extLst>
        </xdr:cNvPr>
        <xdr:cNvSpPr/>
      </xdr:nvSpPr>
      <xdr:spPr>
        <a:xfrm>
          <a:off x="77371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12" name="Rectangle 11">
          <a:extLst>
            <a:ext uri="{FF2B5EF4-FFF2-40B4-BE49-F238E27FC236}">
              <a16:creationId xmlns="" xmlns:a16="http://schemas.microsoft.com/office/drawing/2014/main" id="{C684931A-124A-404F-B07D-143EA25139BE}"/>
            </a:ext>
          </a:extLst>
        </xdr:cNvPr>
        <xdr:cNvSpPr/>
      </xdr:nvSpPr>
      <xdr:spPr>
        <a:xfrm>
          <a:off x="77371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13" name="Rectangle 12">
          <a:extLst>
            <a:ext uri="{FF2B5EF4-FFF2-40B4-BE49-F238E27FC236}">
              <a16:creationId xmlns="" xmlns:a16="http://schemas.microsoft.com/office/drawing/2014/main" id="{473437EE-9B36-4B22-8514-076CD7D8E0A9}"/>
            </a:ext>
          </a:extLst>
        </xdr:cNvPr>
        <xdr:cNvSpPr/>
      </xdr:nvSpPr>
      <xdr:spPr>
        <a:xfrm>
          <a:off x="77371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14" name="Rectangle 13">
          <a:extLst>
            <a:ext uri="{FF2B5EF4-FFF2-40B4-BE49-F238E27FC236}">
              <a16:creationId xmlns="" xmlns:a16="http://schemas.microsoft.com/office/drawing/2014/main" id="{291F5D05-6528-467C-AA66-3626B2C0E393}"/>
            </a:ext>
          </a:extLst>
        </xdr:cNvPr>
        <xdr:cNvSpPr/>
      </xdr:nvSpPr>
      <xdr:spPr>
        <a:xfrm>
          <a:off x="77371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15" name="Rectangle 14">
          <a:extLst>
            <a:ext uri="{FF2B5EF4-FFF2-40B4-BE49-F238E27FC236}">
              <a16:creationId xmlns="" xmlns:a16="http://schemas.microsoft.com/office/drawing/2014/main" id="{C79251B4-8035-48E7-BE86-5D7527513B2E}"/>
            </a:ext>
          </a:extLst>
        </xdr:cNvPr>
        <xdr:cNvSpPr/>
      </xdr:nvSpPr>
      <xdr:spPr>
        <a:xfrm>
          <a:off x="77371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16" name="Rectangle 15">
          <a:extLst>
            <a:ext uri="{FF2B5EF4-FFF2-40B4-BE49-F238E27FC236}">
              <a16:creationId xmlns="" xmlns:a16="http://schemas.microsoft.com/office/drawing/2014/main" id="{23F91819-187C-4E8B-BF1A-C2235408BC38}"/>
            </a:ext>
          </a:extLst>
        </xdr:cNvPr>
        <xdr:cNvSpPr/>
      </xdr:nvSpPr>
      <xdr:spPr>
        <a:xfrm>
          <a:off x="77371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17" name="Rectangle 16">
          <a:extLst>
            <a:ext uri="{FF2B5EF4-FFF2-40B4-BE49-F238E27FC236}">
              <a16:creationId xmlns="" xmlns:a16="http://schemas.microsoft.com/office/drawing/2014/main" id="{A24F8D04-4412-4B51-8287-C97E81F3CC0C}"/>
            </a:ext>
          </a:extLst>
        </xdr:cNvPr>
        <xdr:cNvSpPr/>
      </xdr:nvSpPr>
      <xdr:spPr>
        <a:xfrm>
          <a:off x="77371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59</xdr:row>
      <xdr:rowOff>0</xdr:rowOff>
    </xdr:from>
    <xdr:ext cx="184731" cy="937629"/>
    <xdr:sp macro="" textlink="">
      <xdr:nvSpPr>
        <xdr:cNvPr id="18" name="Rectangle 17">
          <a:extLst>
            <a:ext uri="{FF2B5EF4-FFF2-40B4-BE49-F238E27FC236}">
              <a16:creationId xmlns="" xmlns:a16="http://schemas.microsoft.com/office/drawing/2014/main" id="{0DEEF023-CAE0-4F01-930C-E3412BAB79EF}"/>
            </a:ext>
          </a:extLst>
        </xdr:cNvPr>
        <xdr:cNvSpPr/>
      </xdr:nvSpPr>
      <xdr:spPr>
        <a:xfrm>
          <a:off x="7737184" y="208692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59</xdr:row>
      <xdr:rowOff>0</xdr:rowOff>
    </xdr:from>
    <xdr:ext cx="184731" cy="937629"/>
    <xdr:sp macro="" textlink="">
      <xdr:nvSpPr>
        <xdr:cNvPr id="19" name="Rectangle 18">
          <a:extLst>
            <a:ext uri="{FF2B5EF4-FFF2-40B4-BE49-F238E27FC236}">
              <a16:creationId xmlns="" xmlns:a16="http://schemas.microsoft.com/office/drawing/2014/main" id="{D5D9D859-30E6-4579-B7CF-685951D3D0A4}"/>
            </a:ext>
          </a:extLst>
        </xdr:cNvPr>
        <xdr:cNvSpPr/>
      </xdr:nvSpPr>
      <xdr:spPr>
        <a:xfrm>
          <a:off x="7737184" y="208692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59</xdr:row>
      <xdr:rowOff>0</xdr:rowOff>
    </xdr:from>
    <xdr:ext cx="184731" cy="937629"/>
    <xdr:sp macro="" textlink="">
      <xdr:nvSpPr>
        <xdr:cNvPr id="20" name="Rectangle 19">
          <a:extLst>
            <a:ext uri="{FF2B5EF4-FFF2-40B4-BE49-F238E27FC236}">
              <a16:creationId xmlns="" xmlns:a16="http://schemas.microsoft.com/office/drawing/2014/main" id="{AD58AED0-2337-4806-99C3-AB83FE2CA515}"/>
            </a:ext>
          </a:extLst>
        </xdr:cNvPr>
        <xdr:cNvSpPr/>
      </xdr:nvSpPr>
      <xdr:spPr>
        <a:xfrm>
          <a:off x="7737184" y="208692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59</xdr:row>
      <xdr:rowOff>0</xdr:rowOff>
    </xdr:from>
    <xdr:ext cx="184731" cy="937629"/>
    <xdr:sp macro="" textlink="">
      <xdr:nvSpPr>
        <xdr:cNvPr id="21" name="Rectangle 20">
          <a:extLst>
            <a:ext uri="{FF2B5EF4-FFF2-40B4-BE49-F238E27FC236}">
              <a16:creationId xmlns="" xmlns:a16="http://schemas.microsoft.com/office/drawing/2014/main" id="{7DD0C89F-9B61-4A29-8BAB-E6F45A78A1ED}"/>
            </a:ext>
          </a:extLst>
        </xdr:cNvPr>
        <xdr:cNvSpPr/>
      </xdr:nvSpPr>
      <xdr:spPr>
        <a:xfrm>
          <a:off x="7737184" y="208692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59</xdr:row>
      <xdr:rowOff>0</xdr:rowOff>
    </xdr:from>
    <xdr:ext cx="184731" cy="937629"/>
    <xdr:sp macro="" textlink="">
      <xdr:nvSpPr>
        <xdr:cNvPr id="22" name="Rectangle 21">
          <a:extLst>
            <a:ext uri="{FF2B5EF4-FFF2-40B4-BE49-F238E27FC236}">
              <a16:creationId xmlns="" xmlns:a16="http://schemas.microsoft.com/office/drawing/2014/main" id="{DA9C64C5-FFD6-4871-8BCA-F575FF50597C}"/>
            </a:ext>
          </a:extLst>
        </xdr:cNvPr>
        <xdr:cNvSpPr/>
      </xdr:nvSpPr>
      <xdr:spPr>
        <a:xfrm>
          <a:off x="7737184" y="208692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59</xdr:row>
      <xdr:rowOff>0</xdr:rowOff>
    </xdr:from>
    <xdr:ext cx="184731" cy="937629"/>
    <xdr:sp macro="" textlink="">
      <xdr:nvSpPr>
        <xdr:cNvPr id="23" name="Rectangle 22">
          <a:extLst>
            <a:ext uri="{FF2B5EF4-FFF2-40B4-BE49-F238E27FC236}">
              <a16:creationId xmlns="" xmlns:a16="http://schemas.microsoft.com/office/drawing/2014/main" id="{B49C24DC-95F4-442E-A52F-CFEC8F2C9906}"/>
            </a:ext>
          </a:extLst>
        </xdr:cNvPr>
        <xdr:cNvSpPr/>
      </xdr:nvSpPr>
      <xdr:spPr>
        <a:xfrm>
          <a:off x="7737184" y="208692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59</xdr:row>
      <xdr:rowOff>0</xdr:rowOff>
    </xdr:from>
    <xdr:ext cx="184731" cy="937629"/>
    <xdr:sp macro="" textlink="">
      <xdr:nvSpPr>
        <xdr:cNvPr id="24" name="Rectangle 23">
          <a:extLst>
            <a:ext uri="{FF2B5EF4-FFF2-40B4-BE49-F238E27FC236}">
              <a16:creationId xmlns="" xmlns:a16="http://schemas.microsoft.com/office/drawing/2014/main" id="{DFD24583-C86A-4A3D-83FE-74E4ED54C7F3}"/>
            </a:ext>
          </a:extLst>
        </xdr:cNvPr>
        <xdr:cNvSpPr/>
      </xdr:nvSpPr>
      <xdr:spPr>
        <a:xfrm>
          <a:off x="7737184" y="208692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59</xdr:row>
      <xdr:rowOff>0</xdr:rowOff>
    </xdr:from>
    <xdr:ext cx="184731" cy="937629"/>
    <xdr:sp macro="" textlink="">
      <xdr:nvSpPr>
        <xdr:cNvPr id="25" name="Rectangle 24">
          <a:extLst>
            <a:ext uri="{FF2B5EF4-FFF2-40B4-BE49-F238E27FC236}">
              <a16:creationId xmlns="" xmlns:a16="http://schemas.microsoft.com/office/drawing/2014/main" id="{B4DFE486-172B-4085-AE91-E5FCBDA3A5C0}"/>
            </a:ext>
          </a:extLst>
        </xdr:cNvPr>
        <xdr:cNvSpPr/>
      </xdr:nvSpPr>
      <xdr:spPr>
        <a:xfrm>
          <a:off x="7737184" y="208692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59</xdr:row>
      <xdr:rowOff>0</xdr:rowOff>
    </xdr:from>
    <xdr:ext cx="184731" cy="937629"/>
    <xdr:sp macro="" textlink="">
      <xdr:nvSpPr>
        <xdr:cNvPr id="26" name="Rectangle 25">
          <a:extLst>
            <a:ext uri="{FF2B5EF4-FFF2-40B4-BE49-F238E27FC236}">
              <a16:creationId xmlns="" xmlns:a16="http://schemas.microsoft.com/office/drawing/2014/main" id="{0026D15F-1BC0-4A34-BCF5-6E23DDFFA265}"/>
            </a:ext>
          </a:extLst>
        </xdr:cNvPr>
        <xdr:cNvSpPr/>
      </xdr:nvSpPr>
      <xdr:spPr>
        <a:xfrm>
          <a:off x="7737184" y="208692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59</xdr:row>
      <xdr:rowOff>0</xdr:rowOff>
    </xdr:from>
    <xdr:ext cx="184731" cy="937629"/>
    <xdr:sp macro="" textlink="">
      <xdr:nvSpPr>
        <xdr:cNvPr id="27" name="Rectangle 26">
          <a:extLst>
            <a:ext uri="{FF2B5EF4-FFF2-40B4-BE49-F238E27FC236}">
              <a16:creationId xmlns="" xmlns:a16="http://schemas.microsoft.com/office/drawing/2014/main" id="{D964E57E-DB7C-42AB-BA89-3E3168903477}"/>
            </a:ext>
          </a:extLst>
        </xdr:cNvPr>
        <xdr:cNvSpPr/>
      </xdr:nvSpPr>
      <xdr:spPr>
        <a:xfrm>
          <a:off x="7737184" y="208692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59</xdr:row>
      <xdr:rowOff>0</xdr:rowOff>
    </xdr:from>
    <xdr:ext cx="184731" cy="937629"/>
    <xdr:sp macro="" textlink="">
      <xdr:nvSpPr>
        <xdr:cNvPr id="28" name="Rectangle 27">
          <a:extLst>
            <a:ext uri="{FF2B5EF4-FFF2-40B4-BE49-F238E27FC236}">
              <a16:creationId xmlns="" xmlns:a16="http://schemas.microsoft.com/office/drawing/2014/main" id="{7DF9A288-9A8C-4DE9-92C1-B6C100CB522B}"/>
            </a:ext>
          </a:extLst>
        </xdr:cNvPr>
        <xdr:cNvSpPr/>
      </xdr:nvSpPr>
      <xdr:spPr>
        <a:xfrm>
          <a:off x="7737184" y="208692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59</xdr:row>
      <xdr:rowOff>0</xdr:rowOff>
    </xdr:from>
    <xdr:ext cx="184731" cy="937629"/>
    <xdr:sp macro="" textlink="">
      <xdr:nvSpPr>
        <xdr:cNvPr id="29" name="Rectangle 28">
          <a:extLst>
            <a:ext uri="{FF2B5EF4-FFF2-40B4-BE49-F238E27FC236}">
              <a16:creationId xmlns="" xmlns:a16="http://schemas.microsoft.com/office/drawing/2014/main" id="{88809A00-F285-47C7-817C-B2BD4971BEC3}"/>
            </a:ext>
          </a:extLst>
        </xdr:cNvPr>
        <xdr:cNvSpPr/>
      </xdr:nvSpPr>
      <xdr:spPr>
        <a:xfrm>
          <a:off x="7737184" y="208692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59</xdr:row>
      <xdr:rowOff>0</xdr:rowOff>
    </xdr:from>
    <xdr:ext cx="184731" cy="937629"/>
    <xdr:sp macro="" textlink="">
      <xdr:nvSpPr>
        <xdr:cNvPr id="30" name="Rectangle 29">
          <a:extLst>
            <a:ext uri="{FF2B5EF4-FFF2-40B4-BE49-F238E27FC236}">
              <a16:creationId xmlns="" xmlns:a16="http://schemas.microsoft.com/office/drawing/2014/main" id="{411F2423-B5D7-4304-B391-FC4159825C7E}"/>
            </a:ext>
          </a:extLst>
        </xdr:cNvPr>
        <xdr:cNvSpPr/>
      </xdr:nvSpPr>
      <xdr:spPr>
        <a:xfrm>
          <a:off x="7737184" y="208692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59</xdr:row>
      <xdr:rowOff>0</xdr:rowOff>
    </xdr:from>
    <xdr:ext cx="184731" cy="937629"/>
    <xdr:sp macro="" textlink="">
      <xdr:nvSpPr>
        <xdr:cNvPr id="31" name="Rectangle 30">
          <a:extLst>
            <a:ext uri="{FF2B5EF4-FFF2-40B4-BE49-F238E27FC236}">
              <a16:creationId xmlns="" xmlns:a16="http://schemas.microsoft.com/office/drawing/2014/main" id="{75007D08-5436-4F3F-AAF3-AE948587DE1F}"/>
            </a:ext>
          </a:extLst>
        </xdr:cNvPr>
        <xdr:cNvSpPr/>
      </xdr:nvSpPr>
      <xdr:spPr>
        <a:xfrm>
          <a:off x="7737184" y="208692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59</xdr:row>
      <xdr:rowOff>0</xdr:rowOff>
    </xdr:from>
    <xdr:ext cx="184731" cy="937629"/>
    <xdr:sp macro="" textlink="">
      <xdr:nvSpPr>
        <xdr:cNvPr id="32" name="Rectangle 31">
          <a:extLst>
            <a:ext uri="{FF2B5EF4-FFF2-40B4-BE49-F238E27FC236}">
              <a16:creationId xmlns="" xmlns:a16="http://schemas.microsoft.com/office/drawing/2014/main" id="{E386F6A0-77DC-4C6A-8129-DFC3AB89F059}"/>
            </a:ext>
          </a:extLst>
        </xdr:cNvPr>
        <xdr:cNvSpPr/>
      </xdr:nvSpPr>
      <xdr:spPr>
        <a:xfrm>
          <a:off x="7737184" y="208692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59</xdr:row>
      <xdr:rowOff>0</xdr:rowOff>
    </xdr:from>
    <xdr:ext cx="184731" cy="937629"/>
    <xdr:sp macro="" textlink="">
      <xdr:nvSpPr>
        <xdr:cNvPr id="33" name="Rectangle 32">
          <a:extLst>
            <a:ext uri="{FF2B5EF4-FFF2-40B4-BE49-F238E27FC236}">
              <a16:creationId xmlns="" xmlns:a16="http://schemas.microsoft.com/office/drawing/2014/main" id="{C137B8F8-6CE7-4FC5-BF6E-0BFFCA1B94A7}"/>
            </a:ext>
          </a:extLst>
        </xdr:cNvPr>
        <xdr:cNvSpPr/>
      </xdr:nvSpPr>
      <xdr:spPr>
        <a:xfrm>
          <a:off x="7737184" y="208692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6CCE9F61-E13B-4F85-84AB-F98285E1363C}"/>
            </a:ext>
          </a:extLst>
        </xdr:cNvPr>
        <xdr:cNvSpPr/>
      </xdr:nvSpPr>
      <xdr:spPr>
        <a:xfrm>
          <a:off x="48415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3" name="Rectangle 2">
          <a:extLst>
            <a:ext uri="{FF2B5EF4-FFF2-40B4-BE49-F238E27FC236}">
              <a16:creationId xmlns="" xmlns:a16="http://schemas.microsoft.com/office/drawing/2014/main" id="{179FEF9D-39C8-4F6A-8E32-618848209687}"/>
            </a:ext>
          </a:extLst>
        </xdr:cNvPr>
        <xdr:cNvSpPr/>
      </xdr:nvSpPr>
      <xdr:spPr>
        <a:xfrm>
          <a:off x="48415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4" name="Rectangle 3">
          <a:extLst>
            <a:ext uri="{FF2B5EF4-FFF2-40B4-BE49-F238E27FC236}">
              <a16:creationId xmlns="" xmlns:a16="http://schemas.microsoft.com/office/drawing/2014/main" id="{A2109482-627C-4BFA-A045-6D1559B49101}"/>
            </a:ext>
          </a:extLst>
        </xdr:cNvPr>
        <xdr:cNvSpPr/>
      </xdr:nvSpPr>
      <xdr:spPr>
        <a:xfrm>
          <a:off x="48415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5" name="Rectangle 4">
          <a:extLst>
            <a:ext uri="{FF2B5EF4-FFF2-40B4-BE49-F238E27FC236}">
              <a16:creationId xmlns="" xmlns:a16="http://schemas.microsoft.com/office/drawing/2014/main" id="{D91DD377-51FA-4A81-B8CA-1B6692306BE8}"/>
            </a:ext>
          </a:extLst>
        </xdr:cNvPr>
        <xdr:cNvSpPr/>
      </xdr:nvSpPr>
      <xdr:spPr>
        <a:xfrm>
          <a:off x="48415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6" name="Rectangle 5">
          <a:extLst>
            <a:ext uri="{FF2B5EF4-FFF2-40B4-BE49-F238E27FC236}">
              <a16:creationId xmlns="" xmlns:a16="http://schemas.microsoft.com/office/drawing/2014/main" id="{5B3AD885-60EC-48B0-983D-8D2DA23876EE}"/>
            </a:ext>
          </a:extLst>
        </xdr:cNvPr>
        <xdr:cNvSpPr/>
      </xdr:nvSpPr>
      <xdr:spPr>
        <a:xfrm>
          <a:off x="48415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7" name="Rectangle 6">
          <a:extLst>
            <a:ext uri="{FF2B5EF4-FFF2-40B4-BE49-F238E27FC236}">
              <a16:creationId xmlns="" xmlns:a16="http://schemas.microsoft.com/office/drawing/2014/main" id="{42266E61-B473-4B32-8263-365E7AB0C134}"/>
            </a:ext>
          </a:extLst>
        </xdr:cNvPr>
        <xdr:cNvSpPr/>
      </xdr:nvSpPr>
      <xdr:spPr>
        <a:xfrm>
          <a:off x="48415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8" name="Rectangle 7">
          <a:extLst>
            <a:ext uri="{FF2B5EF4-FFF2-40B4-BE49-F238E27FC236}">
              <a16:creationId xmlns="" xmlns:a16="http://schemas.microsoft.com/office/drawing/2014/main" id="{D09B86B7-7A13-460E-8FCF-5A9EB1995890}"/>
            </a:ext>
          </a:extLst>
        </xdr:cNvPr>
        <xdr:cNvSpPr/>
      </xdr:nvSpPr>
      <xdr:spPr>
        <a:xfrm>
          <a:off x="48415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9" name="Rectangle 8">
          <a:extLst>
            <a:ext uri="{FF2B5EF4-FFF2-40B4-BE49-F238E27FC236}">
              <a16:creationId xmlns="" xmlns:a16="http://schemas.microsoft.com/office/drawing/2014/main" id="{552E1940-AE51-4FD4-8F7A-E221DE07387C}"/>
            </a:ext>
          </a:extLst>
        </xdr:cNvPr>
        <xdr:cNvSpPr/>
      </xdr:nvSpPr>
      <xdr:spPr>
        <a:xfrm>
          <a:off x="48415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10" name="Rectangle 9">
          <a:extLst>
            <a:ext uri="{FF2B5EF4-FFF2-40B4-BE49-F238E27FC236}">
              <a16:creationId xmlns="" xmlns:a16="http://schemas.microsoft.com/office/drawing/2014/main" id="{0D589194-6845-4868-BA0B-EE50D5BDFAC3}"/>
            </a:ext>
          </a:extLst>
        </xdr:cNvPr>
        <xdr:cNvSpPr/>
      </xdr:nvSpPr>
      <xdr:spPr>
        <a:xfrm>
          <a:off x="48415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11" name="Rectangle 10">
          <a:extLst>
            <a:ext uri="{FF2B5EF4-FFF2-40B4-BE49-F238E27FC236}">
              <a16:creationId xmlns="" xmlns:a16="http://schemas.microsoft.com/office/drawing/2014/main" id="{4DE36665-8BB8-4299-B6CE-1E41B5533E40}"/>
            </a:ext>
          </a:extLst>
        </xdr:cNvPr>
        <xdr:cNvSpPr/>
      </xdr:nvSpPr>
      <xdr:spPr>
        <a:xfrm>
          <a:off x="48415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12" name="Rectangle 11">
          <a:extLst>
            <a:ext uri="{FF2B5EF4-FFF2-40B4-BE49-F238E27FC236}">
              <a16:creationId xmlns="" xmlns:a16="http://schemas.microsoft.com/office/drawing/2014/main" id="{03ABDF6D-CC25-4FA3-8618-8CCCD864FCB1}"/>
            </a:ext>
          </a:extLst>
        </xdr:cNvPr>
        <xdr:cNvSpPr/>
      </xdr:nvSpPr>
      <xdr:spPr>
        <a:xfrm>
          <a:off x="48415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13" name="Rectangle 12">
          <a:extLst>
            <a:ext uri="{FF2B5EF4-FFF2-40B4-BE49-F238E27FC236}">
              <a16:creationId xmlns="" xmlns:a16="http://schemas.microsoft.com/office/drawing/2014/main" id="{7AF380C2-4931-4E04-9539-7BD39B7ADE0A}"/>
            </a:ext>
          </a:extLst>
        </xdr:cNvPr>
        <xdr:cNvSpPr/>
      </xdr:nvSpPr>
      <xdr:spPr>
        <a:xfrm>
          <a:off x="48415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14" name="Rectangle 13">
          <a:extLst>
            <a:ext uri="{FF2B5EF4-FFF2-40B4-BE49-F238E27FC236}">
              <a16:creationId xmlns="" xmlns:a16="http://schemas.microsoft.com/office/drawing/2014/main" id="{BF9A157F-8F67-46D8-8259-C3B53CEB0F6D}"/>
            </a:ext>
          </a:extLst>
        </xdr:cNvPr>
        <xdr:cNvSpPr/>
      </xdr:nvSpPr>
      <xdr:spPr>
        <a:xfrm>
          <a:off x="48415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15" name="Rectangle 14">
          <a:extLst>
            <a:ext uri="{FF2B5EF4-FFF2-40B4-BE49-F238E27FC236}">
              <a16:creationId xmlns="" xmlns:a16="http://schemas.microsoft.com/office/drawing/2014/main" id="{17EB7179-9E5A-404C-B8F8-F595E227E5C1}"/>
            </a:ext>
          </a:extLst>
        </xdr:cNvPr>
        <xdr:cNvSpPr/>
      </xdr:nvSpPr>
      <xdr:spPr>
        <a:xfrm>
          <a:off x="48415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16" name="Rectangle 15">
          <a:extLst>
            <a:ext uri="{FF2B5EF4-FFF2-40B4-BE49-F238E27FC236}">
              <a16:creationId xmlns="" xmlns:a16="http://schemas.microsoft.com/office/drawing/2014/main" id="{2B69F33B-60A3-47F4-A533-F751B709DF52}"/>
            </a:ext>
          </a:extLst>
        </xdr:cNvPr>
        <xdr:cNvSpPr/>
      </xdr:nvSpPr>
      <xdr:spPr>
        <a:xfrm>
          <a:off x="48415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17" name="Rectangle 16">
          <a:extLst>
            <a:ext uri="{FF2B5EF4-FFF2-40B4-BE49-F238E27FC236}">
              <a16:creationId xmlns="" xmlns:a16="http://schemas.microsoft.com/office/drawing/2014/main" id="{F93A4ADC-0586-4DD1-80F9-90E4FBF8B5FB}"/>
            </a:ext>
          </a:extLst>
        </xdr:cNvPr>
        <xdr:cNvSpPr/>
      </xdr:nvSpPr>
      <xdr:spPr>
        <a:xfrm>
          <a:off x="48415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18" name="Rectangle 17">
          <a:extLst>
            <a:ext uri="{FF2B5EF4-FFF2-40B4-BE49-F238E27FC236}">
              <a16:creationId xmlns="" xmlns:a16="http://schemas.microsoft.com/office/drawing/2014/main" id="{55515F57-79E4-4365-B3F0-580657139DAE}"/>
            </a:ext>
          </a:extLst>
        </xdr:cNvPr>
        <xdr:cNvSpPr/>
      </xdr:nvSpPr>
      <xdr:spPr>
        <a:xfrm>
          <a:off x="48415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19" name="Rectangle 18">
          <a:extLst>
            <a:ext uri="{FF2B5EF4-FFF2-40B4-BE49-F238E27FC236}">
              <a16:creationId xmlns="" xmlns:a16="http://schemas.microsoft.com/office/drawing/2014/main" id="{15917D31-A254-4C4D-9C6C-3E98D3A615B9}"/>
            </a:ext>
          </a:extLst>
        </xdr:cNvPr>
        <xdr:cNvSpPr/>
      </xdr:nvSpPr>
      <xdr:spPr>
        <a:xfrm>
          <a:off x="48415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20" name="Rectangle 19">
          <a:extLst>
            <a:ext uri="{FF2B5EF4-FFF2-40B4-BE49-F238E27FC236}">
              <a16:creationId xmlns="" xmlns:a16="http://schemas.microsoft.com/office/drawing/2014/main" id="{5C916AF7-310D-4231-BAC8-7A9969CED83D}"/>
            </a:ext>
          </a:extLst>
        </xdr:cNvPr>
        <xdr:cNvSpPr/>
      </xdr:nvSpPr>
      <xdr:spPr>
        <a:xfrm>
          <a:off x="48415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21" name="Rectangle 20">
          <a:extLst>
            <a:ext uri="{FF2B5EF4-FFF2-40B4-BE49-F238E27FC236}">
              <a16:creationId xmlns="" xmlns:a16="http://schemas.microsoft.com/office/drawing/2014/main" id="{D392FD96-E6B1-4EE5-8F58-616822F36ECB}"/>
            </a:ext>
          </a:extLst>
        </xdr:cNvPr>
        <xdr:cNvSpPr/>
      </xdr:nvSpPr>
      <xdr:spPr>
        <a:xfrm>
          <a:off x="48415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22" name="Rectangle 21">
          <a:extLst>
            <a:ext uri="{FF2B5EF4-FFF2-40B4-BE49-F238E27FC236}">
              <a16:creationId xmlns="" xmlns:a16="http://schemas.microsoft.com/office/drawing/2014/main" id="{EAD18754-2807-4465-9ABF-07206880A39F}"/>
            </a:ext>
          </a:extLst>
        </xdr:cNvPr>
        <xdr:cNvSpPr/>
      </xdr:nvSpPr>
      <xdr:spPr>
        <a:xfrm>
          <a:off x="48415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23" name="Rectangle 22">
          <a:extLst>
            <a:ext uri="{FF2B5EF4-FFF2-40B4-BE49-F238E27FC236}">
              <a16:creationId xmlns="" xmlns:a16="http://schemas.microsoft.com/office/drawing/2014/main" id="{1967E6D4-972F-473D-8B5D-73E97C4ACD3E}"/>
            </a:ext>
          </a:extLst>
        </xdr:cNvPr>
        <xdr:cNvSpPr/>
      </xdr:nvSpPr>
      <xdr:spPr>
        <a:xfrm>
          <a:off x="48415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24" name="Rectangle 23">
          <a:extLst>
            <a:ext uri="{FF2B5EF4-FFF2-40B4-BE49-F238E27FC236}">
              <a16:creationId xmlns="" xmlns:a16="http://schemas.microsoft.com/office/drawing/2014/main" id="{17119CC8-40F1-4D64-BAB9-23E7CF29F3A6}"/>
            </a:ext>
          </a:extLst>
        </xdr:cNvPr>
        <xdr:cNvSpPr/>
      </xdr:nvSpPr>
      <xdr:spPr>
        <a:xfrm>
          <a:off x="48415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25" name="Rectangle 24">
          <a:extLst>
            <a:ext uri="{FF2B5EF4-FFF2-40B4-BE49-F238E27FC236}">
              <a16:creationId xmlns="" xmlns:a16="http://schemas.microsoft.com/office/drawing/2014/main" id="{A97B8F39-DDCE-4FC2-A7BC-C23C725D661E}"/>
            </a:ext>
          </a:extLst>
        </xdr:cNvPr>
        <xdr:cNvSpPr/>
      </xdr:nvSpPr>
      <xdr:spPr>
        <a:xfrm>
          <a:off x="48415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26" name="Rectangle 25">
          <a:extLst>
            <a:ext uri="{FF2B5EF4-FFF2-40B4-BE49-F238E27FC236}">
              <a16:creationId xmlns="" xmlns:a16="http://schemas.microsoft.com/office/drawing/2014/main" id="{EB944D2B-3CB8-48AF-8B16-9D04972A3C5A}"/>
            </a:ext>
          </a:extLst>
        </xdr:cNvPr>
        <xdr:cNvSpPr/>
      </xdr:nvSpPr>
      <xdr:spPr>
        <a:xfrm>
          <a:off x="48415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27" name="Rectangle 26">
          <a:extLst>
            <a:ext uri="{FF2B5EF4-FFF2-40B4-BE49-F238E27FC236}">
              <a16:creationId xmlns="" xmlns:a16="http://schemas.microsoft.com/office/drawing/2014/main" id="{E236D2A0-BC7D-46CE-9513-3488D4EB1BE7}"/>
            </a:ext>
          </a:extLst>
        </xdr:cNvPr>
        <xdr:cNvSpPr/>
      </xdr:nvSpPr>
      <xdr:spPr>
        <a:xfrm>
          <a:off x="48415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28" name="Rectangle 27">
          <a:extLst>
            <a:ext uri="{FF2B5EF4-FFF2-40B4-BE49-F238E27FC236}">
              <a16:creationId xmlns="" xmlns:a16="http://schemas.microsoft.com/office/drawing/2014/main" id="{F5E73EE0-B459-4FA1-AC8B-81F5517D08EF}"/>
            </a:ext>
          </a:extLst>
        </xdr:cNvPr>
        <xdr:cNvSpPr/>
      </xdr:nvSpPr>
      <xdr:spPr>
        <a:xfrm>
          <a:off x="48415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29" name="Rectangle 28">
          <a:extLst>
            <a:ext uri="{FF2B5EF4-FFF2-40B4-BE49-F238E27FC236}">
              <a16:creationId xmlns="" xmlns:a16="http://schemas.microsoft.com/office/drawing/2014/main" id="{4BE0E240-226E-43E7-92B0-B3281D08010C}"/>
            </a:ext>
          </a:extLst>
        </xdr:cNvPr>
        <xdr:cNvSpPr/>
      </xdr:nvSpPr>
      <xdr:spPr>
        <a:xfrm>
          <a:off x="48415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30" name="Rectangle 29">
          <a:extLst>
            <a:ext uri="{FF2B5EF4-FFF2-40B4-BE49-F238E27FC236}">
              <a16:creationId xmlns="" xmlns:a16="http://schemas.microsoft.com/office/drawing/2014/main" id="{DED54829-665F-4A6F-B825-69473FA46A7F}"/>
            </a:ext>
          </a:extLst>
        </xdr:cNvPr>
        <xdr:cNvSpPr/>
      </xdr:nvSpPr>
      <xdr:spPr>
        <a:xfrm>
          <a:off x="48415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31" name="Rectangle 30">
          <a:extLst>
            <a:ext uri="{FF2B5EF4-FFF2-40B4-BE49-F238E27FC236}">
              <a16:creationId xmlns="" xmlns:a16="http://schemas.microsoft.com/office/drawing/2014/main" id="{2F54E3BF-37AD-4F50-9272-594AB617BC83}"/>
            </a:ext>
          </a:extLst>
        </xdr:cNvPr>
        <xdr:cNvSpPr/>
      </xdr:nvSpPr>
      <xdr:spPr>
        <a:xfrm>
          <a:off x="48415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32" name="Rectangle 31">
          <a:extLst>
            <a:ext uri="{FF2B5EF4-FFF2-40B4-BE49-F238E27FC236}">
              <a16:creationId xmlns="" xmlns:a16="http://schemas.microsoft.com/office/drawing/2014/main" id="{86245C04-A08E-4F7F-96D0-EC4DECAD1359}"/>
            </a:ext>
          </a:extLst>
        </xdr:cNvPr>
        <xdr:cNvSpPr/>
      </xdr:nvSpPr>
      <xdr:spPr>
        <a:xfrm>
          <a:off x="48415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0</xdr:row>
      <xdr:rowOff>0</xdr:rowOff>
    </xdr:from>
    <xdr:ext cx="184731" cy="937629"/>
    <xdr:sp macro="" textlink="">
      <xdr:nvSpPr>
        <xdr:cNvPr id="33" name="Rectangle 32">
          <a:extLst>
            <a:ext uri="{FF2B5EF4-FFF2-40B4-BE49-F238E27FC236}">
              <a16:creationId xmlns="" xmlns:a16="http://schemas.microsoft.com/office/drawing/2014/main" id="{AFD0C595-1371-4BC5-AD2E-02A88250F033}"/>
            </a:ext>
          </a:extLst>
        </xdr:cNvPr>
        <xdr:cNvSpPr/>
      </xdr:nvSpPr>
      <xdr:spPr>
        <a:xfrm>
          <a:off x="4841584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43</xdr:row>
      <xdr:rowOff>0</xdr:rowOff>
    </xdr:from>
    <xdr:ext cx="184731" cy="937629"/>
    <xdr:sp macro="" textlink="">
      <xdr:nvSpPr>
        <xdr:cNvPr id="34" name="Rectangle 33">
          <a:extLst>
            <a:ext uri="{FF2B5EF4-FFF2-40B4-BE49-F238E27FC236}">
              <a16:creationId xmlns="" xmlns:a16="http://schemas.microsoft.com/office/drawing/2014/main" id="{0DEEF023-CAE0-4F01-930C-E3412BAB79EF}"/>
            </a:ext>
          </a:extLst>
        </xdr:cNvPr>
        <xdr:cNvSpPr/>
      </xdr:nvSpPr>
      <xdr:spPr>
        <a:xfrm>
          <a:off x="4946359" y="211169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43</xdr:row>
      <xdr:rowOff>0</xdr:rowOff>
    </xdr:from>
    <xdr:ext cx="184731" cy="937629"/>
    <xdr:sp macro="" textlink="">
      <xdr:nvSpPr>
        <xdr:cNvPr id="35" name="Rectangle 34">
          <a:extLst>
            <a:ext uri="{FF2B5EF4-FFF2-40B4-BE49-F238E27FC236}">
              <a16:creationId xmlns="" xmlns:a16="http://schemas.microsoft.com/office/drawing/2014/main" id="{D5D9D859-30E6-4579-B7CF-685951D3D0A4}"/>
            </a:ext>
          </a:extLst>
        </xdr:cNvPr>
        <xdr:cNvSpPr/>
      </xdr:nvSpPr>
      <xdr:spPr>
        <a:xfrm>
          <a:off x="4946359" y="211169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43</xdr:row>
      <xdr:rowOff>0</xdr:rowOff>
    </xdr:from>
    <xdr:ext cx="184731" cy="937629"/>
    <xdr:sp macro="" textlink="">
      <xdr:nvSpPr>
        <xdr:cNvPr id="36" name="Rectangle 35">
          <a:extLst>
            <a:ext uri="{FF2B5EF4-FFF2-40B4-BE49-F238E27FC236}">
              <a16:creationId xmlns="" xmlns:a16="http://schemas.microsoft.com/office/drawing/2014/main" id="{AD58AED0-2337-4806-99C3-AB83FE2CA515}"/>
            </a:ext>
          </a:extLst>
        </xdr:cNvPr>
        <xdr:cNvSpPr/>
      </xdr:nvSpPr>
      <xdr:spPr>
        <a:xfrm>
          <a:off x="4946359" y="211169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43</xdr:row>
      <xdr:rowOff>0</xdr:rowOff>
    </xdr:from>
    <xdr:ext cx="184731" cy="937629"/>
    <xdr:sp macro="" textlink="">
      <xdr:nvSpPr>
        <xdr:cNvPr id="37" name="Rectangle 36">
          <a:extLst>
            <a:ext uri="{FF2B5EF4-FFF2-40B4-BE49-F238E27FC236}">
              <a16:creationId xmlns="" xmlns:a16="http://schemas.microsoft.com/office/drawing/2014/main" id="{7DD0C89F-9B61-4A29-8BAB-E6F45A78A1ED}"/>
            </a:ext>
          </a:extLst>
        </xdr:cNvPr>
        <xdr:cNvSpPr/>
      </xdr:nvSpPr>
      <xdr:spPr>
        <a:xfrm>
          <a:off x="4946359" y="211169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43</xdr:row>
      <xdr:rowOff>0</xdr:rowOff>
    </xdr:from>
    <xdr:ext cx="184731" cy="937629"/>
    <xdr:sp macro="" textlink="">
      <xdr:nvSpPr>
        <xdr:cNvPr id="38" name="Rectangle 37">
          <a:extLst>
            <a:ext uri="{FF2B5EF4-FFF2-40B4-BE49-F238E27FC236}">
              <a16:creationId xmlns="" xmlns:a16="http://schemas.microsoft.com/office/drawing/2014/main" id="{DA9C64C5-FFD6-4871-8BCA-F575FF50597C}"/>
            </a:ext>
          </a:extLst>
        </xdr:cNvPr>
        <xdr:cNvSpPr/>
      </xdr:nvSpPr>
      <xdr:spPr>
        <a:xfrm>
          <a:off x="4946359" y="211169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43</xdr:row>
      <xdr:rowOff>0</xdr:rowOff>
    </xdr:from>
    <xdr:ext cx="184731" cy="937629"/>
    <xdr:sp macro="" textlink="">
      <xdr:nvSpPr>
        <xdr:cNvPr id="39" name="Rectangle 38">
          <a:extLst>
            <a:ext uri="{FF2B5EF4-FFF2-40B4-BE49-F238E27FC236}">
              <a16:creationId xmlns="" xmlns:a16="http://schemas.microsoft.com/office/drawing/2014/main" id="{B49C24DC-95F4-442E-A52F-CFEC8F2C9906}"/>
            </a:ext>
          </a:extLst>
        </xdr:cNvPr>
        <xdr:cNvSpPr/>
      </xdr:nvSpPr>
      <xdr:spPr>
        <a:xfrm>
          <a:off x="4946359" y="211169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43</xdr:row>
      <xdr:rowOff>0</xdr:rowOff>
    </xdr:from>
    <xdr:ext cx="184731" cy="937629"/>
    <xdr:sp macro="" textlink="">
      <xdr:nvSpPr>
        <xdr:cNvPr id="40" name="Rectangle 39">
          <a:extLst>
            <a:ext uri="{FF2B5EF4-FFF2-40B4-BE49-F238E27FC236}">
              <a16:creationId xmlns="" xmlns:a16="http://schemas.microsoft.com/office/drawing/2014/main" id="{DFD24583-C86A-4A3D-83FE-74E4ED54C7F3}"/>
            </a:ext>
          </a:extLst>
        </xdr:cNvPr>
        <xdr:cNvSpPr/>
      </xdr:nvSpPr>
      <xdr:spPr>
        <a:xfrm>
          <a:off x="4946359" y="211169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43</xdr:row>
      <xdr:rowOff>0</xdr:rowOff>
    </xdr:from>
    <xdr:ext cx="184731" cy="937629"/>
    <xdr:sp macro="" textlink="">
      <xdr:nvSpPr>
        <xdr:cNvPr id="41" name="Rectangle 40">
          <a:extLst>
            <a:ext uri="{FF2B5EF4-FFF2-40B4-BE49-F238E27FC236}">
              <a16:creationId xmlns="" xmlns:a16="http://schemas.microsoft.com/office/drawing/2014/main" id="{B4DFE486-172B-4085-AE91-E5FCBDA3A5C0}"/>
            </a:ext>
          </a:extLst>
        </xdr:cNvPr>
        <xdr:cNvSpPr/>
      </xdr:nvSpPr>
      <xdr:spPr>
        <a:xfrm>
          <a:off x="4946359" y="211169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43</xdr:row>
      <xdr:rowOff>0</xdr:rowOff>
    </xdr:from>
    <xdr:ext cx="184731" cy="937629"/>
    <xdr:sp macro="" textlink="">
      <xdr:nvSpPr>
        <xdr:cNvPr id="42" name="Rectangle 41">
          <a:extLst>
            <a:ext uri="{FF2B5EF4-FFF2-40B4-BE49-F238E27FC236}">
              <a16:creationId xmlns="" xmlns:a16="http://schemas.microsoft.com/office/drawing/2014/main" id="{0026D15F-1BC0-4A34-BCF5-6E23DDFFA265}"/>
            </a:ext>
          </a:extLst>
        </xdr:cNvPr>
        <xdr:cNvSpPr/>
      </xdr:nvSpPr>
      <xdr:spPr>
        <a:xfrm>
          <a:off x="4946359" y="211169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43</xdr:row>
      <xdr:rowOff>0</xdr:rowOff>
    </xdr:from>
    <xdr:ext cx="184731" cy="937629"/>
    <xdr:sp macro="" textlink="">
      <xdr:nvSpPr>
        <xdr:cNvPr id="43" name="Rectangle 42">
          <a:extLst>
            <a:ext uri="{FF2B5EF4-FFF2-40B4-BE49-F238E27FC236}">
              <a16:creationId xmlns="" xmlns:a16="http://schemas.microsoft.com/office/drawing/2014/main" id="{D964E57E-DB7C-42AB-BA89-3E3168903477}"/>
            </a:ext>
          </a:extLst>
        </xdr:cNvPr>
        <xdr:cNvSpPr/>
      </xdr:nvSpPr>
      <xdr:spPr>
        <a:xfrm>
          <a:off x="4946359" y="211169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43</xdr:row>
      <xdr:rowOff>0</xdr:rowOff>
    </xdr:from>
    <xdr:ext cx="184731" cy="937629"/>
    <xdr:sp macro="" textlink="">
      <xdr:nvSpPr>
        <xdr:cNvPr id="44" name="Rectangle 43">
          <a:extLst>
            <a:ext uri="{FF2B5EF4-FFF2-40B4-BE49-F238E27FC236}">
              <a16:creationId xmlns="" xmlns:a16="http://schemas.microsoft.com/office/drawing/2014/main" id="{7DF9A288-9A8C-4DE9-92C1-B6C100CB522B}"/>
            </a:ext>
          </a:extLst>
        </xdr:cNvPr>
        <xdr:cNvSpPr/>
      </xdr:nvSpPr>
      <xdr:spPr>
        <a:xfrm>
          <a:off x="4946359" y="211169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43</xdr:row>
      <xdr:rowOff>0</xdr:rowOff>
    </xdr:from>
    <xdr:ext cx="184731" cy="937629"/>
    <xdr:sp macro="" textlink="">
      <xdr:nvSpPr>
        <xdr:cNvPr id="45" name="Rectangle 44">
          <a:extLst>
            <a:ext uri="{FF2B5EF4-FFF2-40B4-BE49-F238E27FC236}">
              <a16:creationId xmlns="" xmlns:a16="http://schemas.microsoft.com/office/drawing/2014/main" id="{88809A00-F285-47C7-817C-B2BD4971BEC3}"/>
            </a:ext>
          </a:extLst>
        </xdr:cNvPr>
        <xdr:cNvSpPr/>
      </xdr:nvSpPr>
      <xdr:spPr>
        <a:xfrm>
          <a:off x="4946359" y="211169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43</xdr:row>
      <xdr:rowOff>0</xdr:rowOff>
    </xdr:from>
    <xdr:ext cx="184731" cy="937629"/>
    <xdr:sp macro="" textlink="">
      <xdr:nvSpPr>
        <xdr:cNvPr id="46" name="Rectangle 45">
          <a:extLst>
            <a:ext uri="{FF2B5EF4-FFF2-40B4-BE49-F238E27FC236}">
              <a16:creationId xmlns="" xmlns:a16="http://schemas.microsoft.com/office/drawing/2014/main" id="{411F2423-B5D7-4304-B391-FC4159825C7E}"/>
            </a:ext>
          </a:extLst>
        </xdr:cNvPr>
        <xdr:cNvSpPr/>
      </xdr:nvSpPr>
      <xdr:spPr>
        <a:xfrm>
          <a:off x="4946359" y="211169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43</xdr:row>
      <xdr:rowOff>0</xdr:rowOff>
    </xdr:from>
    <xdr:ext cx="184731" cy="937629"/>
    <xdr:sp macro="" textlink="">
      <xdr:nvSpPr>
        <xdr:cNvPr id="47" name="Rectangle 46">
          <a:extLst>
            <a:ext uri="{FF2B5EF4-FFF2-40B4-BE49-F238E27FC236}">
              <a16:creationId xmlns="" xmlns:a16="http://schemas.microsoft.com/office/drawing/2014/main" id="{75007D08-5436-4F3F-AAF3-AE948587DE1F}"/>
            </a:ext>
          </a:extLst>
        </xdr:cNvPr>
        <xdr:cNvSpPr/>
      </xdr:nvSpPr>
      <xdr:spPr>
        <a:xfrm>
          <a:off x="4946359" y="211169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43</xdr:row>
      <xdr:rowOff>0</xdr:rowOff>
    </xdr:from>
    <xdr:ext cx="184731" cy="937629"/>
    <xdr:sp macro="" textlink="">
      <xdr:nvSpPr>
        <xdr:cNvPr id="48" name="Rectangle 47">
          <a:extLst>
            <a:ext uri="{FF2B5EF4-FFF2-40B4-BE49-F238E27FC236}">
              <a16:creationId xmlns="" xmlns:a16="http://schemas.microsoft.com/office/drawing/2014/main" id="{E386F6A0-77DC-4C6A-8129-DFC3AB89F059}"/>
            </a:ext>
          </a:extLst>
        </xdr:cNvPr>
        <xdr:cNvSpPr/>
      </xdr:nvSpPr>
      <xdr:spPr>
        <a:xfrm>
          <a:off x="4946359" y="211169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40984</xdr:colOff>
      <xdr:row>43</xdr:row>
      <xdr:rowOff>0</xdr:rowOff>
    </xdr:from>
    <xdr:ext cx="184731" cy="937629"/>
    <xdr:sp macro="" textlink="">
      <xdr:nvSpPr>
        <xdr:cNvPr id="49" name="Rectangle 48">
          <a:extLst>
            <a:ext uri="{FF2B5EF4-FFF2-40B4-BE49-F238E27FC236}">
              <a16:creationId xmlns="" xmlns:a16="http://schemas.microsoft.com/office/drawing/2014/main" id="{C137B8F8-6CE7-4FC5-BF6E-0BFFCA1B94A7}"/>
            </a:ext>
          </a:extLst>
        </xdr:cNvPr>
        <xdr:cNvSpPr/>
      </xdr:nvSpPr>
      <xdr:spPr>
        <a:xfrm>
          <a:off x="4946359" y="211169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D43"/>
  <sheetViews>
    <sheetView tabSelected="1" workbookViewId="0">
      <selection activeCell="H9" sqref="H9"/>
    </sheetView>
  </sheetViews>
  <sheetFormatPr defaultRowHeight="25.5" customHeight="1" x14ac:dyDescent="0.25"/>
  <cols>
    <col min="1" max="1" width="9.140625" style="156" customWidth="1"/>
    <col min="2" max="2" width="16.28515625" style="156" customWidth="1"/>
    <col min="3" max="3" width="34.85546875" style="156" customWidth="1"/>
    <col min="4" max="4" width="26.85546875" style="156" customWidth="1"/>
    <col min="5" max="16384" width="9.140625" style="156"/>
  </cols>
  <sheetData>
    <row r="1" spans="1:4" s="152" customFormat="1" ht="25.5" customHeight="1" x14ac:dyDescent="0.25">
      <c r="A1" s="176" t="s">
        <v>297</v>
      </c>
      <c r="B1" s="176"/>
      <c r="C1" s="176"/>
      <c r="D1" s="176"/>
    </row>
    <row r="2" spans="1:4" s="153" customFormat="1" ht="25.5" customHeight="1" x14ac:dyDescent="0.25">
      <c r="A2" s="164"/>
      <c r="B2" s="165"/>
      <c r="C2" s="166"/>
      <c r="D2" s="167" t="s">
        <v>294</v>
      </c>
    </row>
    <row r="3" spans="1:4" s="153" customFormat="1" ht="25.5" customHeight="1" x14ac:dyDescent="0.25">
      <c r="A3" s="177" t="s">
        <v>0</v>
      </c>
      <c r="B3" s="178" t="s">
        <v>249</v>
      </c>
      <c r="C3" s="177" t="s">
        <v>295</v>
      </c>
      <c r="D3" s="168" t="s">
        <v>306</v>
      </c>
    </row>
    <row r="4" spans="1:4" s="153" customFormat="1" ht="25.5" customHeight="1" x14ac:dyDescent="0.25">
      <c r="A4" s="177"/>
      <c r="B4" s="178"/>
      <c r="C4" s="177"/>
      <c r="D4" s="168" t="s">
        <v>213</v>
      </c>
    </row>
    <row r="5" spans="1:4" ht="29.25" customHeight="1" x14ac:dyDescent="0.25">
      <c r="A5" s="154">
        <v>1</v>
      </c>
      <c r="B5" s="169" t="s">
        <v>45</v>
      </c>
      <c r="C5" s="157" t="s">
        <v>46</v>
      </c>
      <c r="D5" s="155">
        <v>55402</v>
      </c>
    </row>
    <row r="6" spans="1:4" ht="29.25" customHeight="1" x14ac:dyDescent="0.25">
      <c r="A6" s="154">
        <v>2</v>
      </c>
      <c r="B6" s="169" t="s">
        <v>13</v>
      </c>
      <c r="C6" s="157" t="s">
        <v>14</v>
      </c>
      <c r="D6" s="155">
        <v>44940</v>
      </c>
    </row>
    <row r="7" spans="1:4" ht="29.25" customHeight="1" x14ac:dyDescent="0.25">
      <c r="A7" s="154">
        <v>3</v>
      </c>
      <c r="B7" s="169" t="s">
        <v>35</v>
      </c>
      <c r="C7" s="157" t="s">
        <v>36</v>
      </c>
      <c r="D7" s="155">
        <v>32736</v>
      </c>
    </row>
    <row r="8" spans="1:4" ht="29.25" customHeight="1" x14ac:dyDescent="0.25">
      <c r="A8" s="154">
        <v>4</v>
      </c>
      <c r="B8" s="169" t="s">
        <v>7</v>
      </c>
      <c r="C8" s="157" t="s">
        <v>8</v>
      </c>
      <c r="D8" s="155">
        <v>32548</v>
      </c>
    </row>
    <row r="9" spans="1:4" ht="29.25" customHeight="1" x14ac:dyDescent="0.25">
      <c r="A9" s="154">
        <v>5</v>
      </c>
      <c r="B9" s="169" t="s">
        <v>5</v>
      </c>
      <c r="C9" s="157" t="s">
        <v>6</v>
      </c>
      <c r="D9" s="155">
        <v>26884</v>
      </c>
    </row>
    <row r="10" spans="1:4" ht="29.25" customHeight="1" x14ac:dyDescent="0.25">
      <c r="A10" s="154">
        <v>6</v>
      </c>
      <c r="B10" s="169" t="s">
        <v>33</v>
      </c>
      <c r="C10" s="157" t="s">
        <v>34</v>
      </c>
      <c r="D10" s="155">
        <v>25770</v>
      </c>
    </row>
    <row r="11" spans="1:4" ht="29.25" customHeight="1" x14ac:dyDescent="0.25">
      <c r="A11" s="154">
        <v>7</v>
      </c>
      <c r="B11" s="169" t="s">
        <v>53</v>
      </c>
      <c r="C11" s="157" t="s">
        <v>54</v>
      </c>
      <c r="D11" s="155">
        <v>25742</v>
      </c>
    </row>
    <row r="12" spans="1:4" ht="29.25" customHeight="1" x14ac:dyDescent="0.25">
      <c r="A12" s="154">
        <v>8</v>
      </c>
      <c r="B12" s="169" t="s">
        <v>23</v>
      </c>
      <c r="C12" s="157" t="s">
        <v>24</v>
      </c>
      <c r="D12" s="155">
        <v>24605</v>
      </c>
    </row>
    <row r="13" spans="1:4" ht="29.25" customHeight="1" x14ac:dyDescent="0.25">
      <c r="A13" s="154">
        <v>9</v>
      </c>
      <c r="B13" s="169" t="s">
        <v>31</v>
      </c>
      <c r="C13" s="157" t="s">
        <v>32</v>
      </c>
      <c r="D13" s="155">
        <v>24493</v>
      </c>
    </row>
    <row r="14" spans="1:4" ht="29.25" customHeight="1" x14ac:dyDescent="0.25">
      <c r="A14" s="154">
        <v>10</v>
      </c>
      <c r="B14" s="169" t="s">
        <v>51</v>
      </c>
      <c r="C14" s="157" t="s">
        <v>52</v>
      </c>
      <c r="D14" s="155">
        <v>23532</v>
      </c>
    </row>
    <row r="15" spans="1:4" ht="29.25" customHeight="1" x14ac:dyDescent="0.25">
      <c r="A15" s="154">
        <v>11</v>
      </c>
      <c r="B15" s="169" t="s">
        <v>9</v>
      </c>
      <c r="C15" s="157" t="s">
        <v>10</v>
      </c>
      <c r="D15" s="155">
        <v>22205</v>
      </c>
    </row>
    <row r="16" spans="1:4" ht="29.25" customHeight="1" x14ac:dyDescent="0.25">
      <c r="A16" s="154">
        <v>12</v>
      </c>
      <c r="B16" s="169" t="s">
        <v>25</v>
      </c>
      <c r="C16" s="157" t="s">
        <v>26</v>
      </c>
      <c r="D16" s="155">
        <v>21270</v>
      </c>
    </row>
    <row r="17" spans="1:4" ht="29.25" customHeight="1" x14ac:dyDescent="0.25">
      <c r="A17" s="154">
        <v>13</v>
      </c>
      <c r="B17" s="169" t="s">
        <v>29</v>
      </c>
      <c r="C17" s="157" t="s">
        <v>30</v>
      </c>
      <c r="D17" s="155">
        <v>19842</v>
      </c>
    </row>
    <row r="18" spans="1:4" ht="29.25" customHeight="1" x14ac:dyDescent="0.25">
      <c r="A18" s="154">
        <v>14</v>
      </c>
      <c r="B18" s="169" t="s">
        <v>61</v>
      </c>
      <c r="C18" s="157" t="s">
        <v>62</v>
      </c>
      <c r="D18" s="155">
        <v>19155</v>
      </c>
    </row>
    <row r="19" spans="1:4" ht="29.25" customHeight="1" x14ac:dyDescent="0.25">
      <c r="A19" s="154">
        <v>15</v>
      </c>
      <c r="B19" s="169" t="s">
        <v>43</v>
      </c>
      <c r="C19" s="157" t="s">
        <v>44</v>
      </c>
      <c r="D19" s="155">
        <v>18040</v>
      </c>
    </row>
    <row r="20" spans="1:4" ht="29.25" customHeight="1" x14ac:dyDescent="0.25">
      <c r="A20" s="154">
        <v>16</v>
      </c>
      <c r="B20" s="169" t="s">
        <v>17</v>
      </c>
      <c r="C20" s="157" t="s">
        <v>18</v>
      </c>
      <c r="D20" s="155">
        <v>16620</v>
      </c>
    </row>
    <row r="21" spans="1:4" ht="29.25" customHeight="1" x14ac:dyDescent="0.25">
      <c r="A21" s="154">
        <v>17</v>
      </c>
      <c r="B21" s="169" t="s">
        <v>55</v>
      </c>
      <c r="C21" s="157" t="s">
        <v>56</v>
      </c>
      <c r="D21" s="155">
        <v>16450</v>
      </c>
    </row>
    <row r="22" spans="1:4" ht="29.25" customHeight="1" x14ac:dyDescent="0.25">
      <c r="A22" s="154">
        <v>18</v>
      </c>
      <c r="B22" s="169" t="s">
        <v>37</v>
      </c>
      <c r="C22" s="157" t="s">
        <v>38</v>
      </c>
      <c r="D22" s="155">
        <v>13190</v>
      </c>
    </row>
    <row r="23" spans="1:4" ht="29.25" customHeight="1" x14ac:dyDescent="0.25">
      <c r="A23" s="154">
        <v>19</v>
      </c>
      <c r="B23" s="169" t="s">
        <v>15</v>
      </c>
      <c r="C23" s="157" t="s">
        <v>16</v>
      </c>
      <c r="D23" s="155">
        <v>13065</v>
      </c>
    </row>
    <row r="24" spans="1:4" ht="29.25" customHeight="1" x14ac:dyDescent="0.25">
      <c r="A24" s="154">
        <v>20</v>
      </c>
      <c r="B24" s="169" t="s">
        <v>1</v>
      </c>
      <c r="C24" s="157" t="s">
        <v>2</v>
      </c>
      <c r="D24" s="155">
        <v>11365</v>
      </c>
    </row>
    <row r="25" spans="1:4" ht="29.25" customHeight="1" x14ac:dyDescent="0.25">
      <c r="A25" s="154">
        <v>21</v>
      </c>
      <c r="B25" s="169" t="s">
        <v>49</v>
      </c>
      <c r="C25" s="157" t="s">
        <v>50</v>
      </c>
      <c r="D25" s="155">
        <v>10777</v>
      </c>
    </row>
    <row r="26" spans="1:4" ht="29.25" customHeight="1" x14ac:dyDescent="0.25">
      <c r="A26" s="154">
        <v>22</v>
      </c>
      <c r="B26" s="169" t="s">
        <v>47</v>
      </c>
      <c r="C26" s="157" t="s">
        <v>48</v>
      </c>
      <c r="D26" s="155">
        <v>9508</v>
      </c>
    </row>
    <row r="27" spans="1:4" ht="29.25" customHeight="1" x14ac:dyDescent="0.25">
      <c r="A27" s="154">
        <v>23</v>
      </c>
      <c r="B27" s="169" t="s">
        <v>11</v>
      </c>
      <c r="C27" s="157" t="s">
        <v>12</v>
      </c>
      <c r="D27" s="155">
        <v>8980</v>
      </c>
    </row>
    <row r="28" spans="1:4" ht="29.25" customHeight="1" x14ac:dyDescent="0.25">
      <c r="A28" s="154">
        <v>24</v>
      </c>
      <c r="B28" s="169" t="s">
        <v>65</v>
      </c>
      <c r="C28" s="157" t="s">
        <v>66</v>
      </c>
      <c r="D28" s="155">
        <v>8947</v>
      </c>
    </row>
    <row r="29" spans="1:4" ht="29.25" customHeight="1" x14ac:dyDescent="0.25">
      <c r="A29" s="154">
        <v>25</v>
      </c>
      <c r="B29" s="169" t="s">
        <v>59</v>
      </c>
      <c r="C29" s="157" t="s">
        <v>60</v>
      </c>
      <c r="D29" s="155">
        <v>8015</v>
      </c>
    </row>
    <row r="30" spans="1:4" ht="29.25" customHeight="1" x14ac:dyDescent="0.25">
      <c r="A30" s="154">
        <v>26</v>
      </c>
      <c r="B30" s="169" t="s">
        <v>21</v>
      </c>
      <c r="C30" s="157" t="s">
        <v>22</v>
      </c>
      <c r="D30" s="155">
        <v>7867</v>
      </c>
    </row>
    <row r="31" spans="1:4" ht="29.25" customHeight="1" x14ac:dyDescent="0.25">
      <c r="A31" s="154">
        <v>27</v>
      </c>
      <c r="B31" s="169" t="s">
        <v>63</v>
      </c>
      <c r="C31" s="157" t="s">
        <v>64</v>
      </c>
      <c r="D31" s="155">
        <v>7022</v>
      </c>
    </row>
    <row r="32" spans="1:4" ht="29.25" customHeight="1" x14ac:dyDescent="0.25">
      <c r="A32" s="154">
        <v>28</v>
      </c>
      <c r="B32" s="169" t="s">
        <v>19</v>
      </c>
      <c r="C32" s="157" t="s">
        <v>20</v>
      </c>
      <c r="D32" s="155">
        <v>4220</v>
      </c>
    </row>
    <row r="33" spans="1:4" ht="29.25" customHeight="1" x14ac:dyDescent="0.25">
      <c r="A33" s="154">
        <v>29</v>
      </c>
      <c r="B33" s="169" t="s">
        <v>69</v>
      </c>
      <c r="C33" s="157" t="s">
        <v>70</v>
      </c>
      <c r="D33" s="155">
        <v>3985</v>
      </c>
    </row>
    <row r="34" spans="1:4" ht="29.25" customHeight="1" x14ac:dyDescent="0.25">
      <c r="A34" s="154">
        <v>30</v>
      </c>
      <c r="B34" s="169" t="s">
        <v>57</v>
      </c>
      <c r="C34" s="157" t="s">
        <v>58</v>
      </c>
      <c r="D34" s="155">
        <v>3945</v>
      </c>
    </row>
    <row r="35" spans="1:4" ht="29.25" customHeight="1" x14ac:dyDescent="0.25">
      <c r="A35" s="154">
        <v>31</v>
      </c>
      <c r="B35" s="169" t="s">
        <v>67</v>
      </c>
      <c r="C35" s="157" t="s">
        <v>68</v>
      </c>
      <c r="D35" s="155">
        <v>3075</v>
      </c>
    </row>
    <row r="36" spans="1:4" ht="29.25" customHeight="1" x14ac:dyDescent="0.25">
      <c r="A36" s="154">
        <v>32</v>
      </c>
      <c r="B36" s="169" t="s">
        <v>27</v>
      </c>
      <c r="C36" s="157" t="s">
        <v>28</v>
      </c>
      <c r="D36" s="155">
        <v>3050</v>
      </c>
    </row>
    <row r="37" spans="1:4" ht="29.25" customHeight="1" x14ac:dyDescent="0.25">
      <c r="A37" s="154">
        <v>33</v>
      </c>
      <c r="B37" s="169" t="s">
        <v>3</v>
      </c>
      <c r="C37" s="157" t="s">
        <v>4</v>
      </c>
      <c r="D37" s="155">
        <v>2595</v>
      </c>
    </row>
    <row r="38" spans="1:4" ht="29.25" customHeight="1" x14ac:dyDescent="0.25">
      <c r="A38" s="154">
        <v>34</v>
      </c>
      <c r="B38" s="169" t="s">
        <v>41</v>
      </c>
      <c r="C38" s="157" t="s">
        <v>42</v>
      </c>
      <c r="D38" s="155">
        <v>760</v>
      </c>
    </row>
    <row r="39" spans="1:4" s="143" customFormat="1" ht="29.25" customHeight="1" x14ac:dyDescent="0.25">
      <c r="A39" s="171" t="s">
        <v>289</v>
      </c>
      <c r="B39" s="171"/>
      <c r="C39" s="171"/>
      <c r="D39" s="158">
        <f>SUM(D5:D38)</f>
        <v>570600</v>
      </c>
    </row>
    <row r="40" spans="1:4" s="160" customFormat="1" ht="29.25" customHeight="1" x14ac:dyDescent="0.25">
      <c r="A40" s="172" t="s">
        <v>290</v>
      </c>
      <c r="B40" s="172"/>
      <c r="C40" s="172"/>
      <c r="D40" s="159">
        <f>MAX(D5:D38)</f>
        <v>55402</v>
      </c>
    </row>
    <row r="41" spans="1:4" s="160" customFormat="1" ht="29.25" customHeight="1" x14ac:dyDescent="0.25">
      <c r="A41" s="173" t="s">
        <v>291</v>
      </c>
      <c r="B41" s="173"/>
      <c r="C41" s="173"/>
      <c r="D41" s="161">
        <f>MIN(D5:D38)</f>
        <v>760</v>
      </c>
    </row>
    <row r="42" spans="1:4" s="160" customFormat="1" ht="29.25" customHeight="1" x14ac:dyDescent="0.25">
      <c r="A42" s="174" t="s">
        <v>292</v>
      </c>
      <c r="B42" s="174"/>
      <c r="C42" s="174"/>
      <c r="D42" s="162">
        <f>AVERAGE(D5:D38)</f>
        <v>16782.352941176472</v>
      </c>
    </row>
    <row r="43" spans="1:4" s="160" customFormat="1" ht="29.25" customHeight="1" x14ac:dyDescent="0.25">
      <c r="A43" s="175" t="s">
        <v>293</v>
      </c>
      <c r="B43" s="175"/>
      <c r="C43" s="175"/>
      <c r="D43" s="163">
        <f>COUNT(D5:D38)</f>
        <v>34</v>
      </c>
    </row>
  </sheetData>
  <sortState ref="A5:D43">
    <sortCondition descending="1" ref="D5:D43"/>
  </sortState>
  <mergeCells count="9">
    <mergeCell ref="A1:D1"/>
    <mergeCell ref="A3:A4"/>
    <mergeCell ref="B3:B4"/>
    <mergeCell ref="C3:C4"/>
    <mergeCell ref="A39:C39"/>
    <mergeCell ref="A40:C40"/>
    <mergeCell ref="A41:C41"/>
    <mergeCell ref="A42:C42"/>
    <mergeCell ref="A43:C43"/>
  </mergeCells>
  <pageMargins left="0" right="0" top="0" bottom="0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R42"/>
  <sheetViews>
    <sheetView workbookViewId="0">
      <selection activeCell="D9" sqref="D9"/>
    </sheetView>
  </sheetViews>
  <sheetFormatPr defaultColWidth="9.140625" defaultRowHeight="17.25" x14ac:dyDescent="0.45"/>
  <cols>
    <col min="1" max="1" width="5.28515625" style="19" bestFit="1" customWidth="1"/>
    <col min="2" max="2" width="9" style="19" customWidth="1"/>
    <col min="3" max="3" width="31.5703125" style="19" bestFit="1" customWidth="1"/>
    <col min="4" max="5" width="7" style="19" bestFit="1" customWidth="1"/>
    <col min="6" max="6" width="7.140625" style="19" bestFit="1" customWidth="1"/>
    <col min="7" max="7" width="7" style="19" bestFit="1" customWidth="1"/>
    <col min="8" max="8" width="7.42578125" style="19" bestFit="1" customWidth="1"/>
    <col min="9" max="10" width="7" style="19" bestFit="1" customWidth="1"/>
    <col min="11" max="11" width="7.140625" style="19" bestFit="1" customWidth="1"/>
    <col min="12" max="13" width="7" style="19" bestFit="1" customWidth="1"/>
    <col min="14" max="14" width="7.28515625" style="19" bestFit="1" customWidth="1"/>
    <col min="15" max="15" width="7" style="19" bestFit="1" customWidth="1"/>
    <col min="16" max="16" width="12.7109375" style="19" customWidth="1"/>
    <col min="17" max="17" width="7" style="19" bestFit="1" customWidth="1"/>
    <col min="18" max="16384" width="9.140625" style="19"/>
  </cols>
  <sheetData>
    <row r="1" spans="1:18" s="5" customFormat="1" ht="27.75" customHeight="1" x14ac:dyDescent="0.25">
      <c r="A1" s="182" t="s">
        <v>297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</row>
    <row r="2" spans="1:18" s="4" customFormat="1" ht="20.25" customHeight="1" x14ac:dyDescent="0.25">
      <c r="A2" s="95"/>
      <c r="B2" s="96"/>
      <c r="C2" s="96"/>
      <c r="D2" s="97"/>
      <c r="E2" s="97"/>
      <c r="F2" s="97"/>
      <c r="G2" s="97"/>
      <c r="H2" s="97"/>
      <c r="I2" s="97"/>
      <c r="J2" s="97"/>
      <c r="K2" s="97"/>
      <c r="L2" s="97"/>
      <c r="M2" s="97"/>
      <c r="N2" s="185" t="s">
        <v>294</v>
      </c>
      <c r="O2" s="185"/>
      <c r="P2" s="185"/>
    </row>
    <row r="3" spans="1:18" s="4" customFormat="1" ht="33" customHeight="1" x14ac:dyDescent="0.25">
      <c r="A3" s="183" t="s">
        <v>211</v>
      </c>
      <c r="B3" s="180" t="s">
        <v>212</v>
      </c>
      <c r="C3" s="183" t="s">
        <v>186</v>
      </c>
      <c r="D3" s="98">
        <v>43118</v>
      </c>
      <c r="E3" s="98">
        <v>43149</v>
      </c>
      <c r="F3" s="98">
        <v>43177</v>
      </c>
      <c r="G3" s="98">
        <v>43208</v>
      </c>
      <c r="H3" s="98">
        <v>43238</v>
      </c>
      <c r="I3" s="98">
        <v>43269</v>
      </c>
      <c r="J3" s="98">
        <v>43299</v>
      </c>
      <c r="K3" s="98">
        <v>43330</v>
      </c>
      <c r="L3" s="98">
        <v>43361</v>
      </c>
      <c r="M3" s="98">
        <v>43391</v>
      </c>
      <c r="N3" s="98">
        <v>43422</v>
      </c>
      <c r="O3" s="98">
        <v>43452</v>
      </c>
      <c r="P3" s="98" t="s">
        <v>306</v>
      </c>
      <c r="Q3" s="179"/>
      <c r="R3" s="179"/>
    </row>
    <row r="4" spans="1:18" s="4" customFormat="1" ht="21.75" customHeight="1" x14ac:dyDescent="0.25">
      <c r="A4" s="184"/>
      <c r="B4" s="181"/>
      <c r="C4" s="184"/>
      <c r="D4" s="98" t="s">
        <v>213</v>
      </c>
      <c r="E4" s="98" t="s">
        <v>213</v>
      </c>
      <c r="F4" s="98" t="s">
        <v>213</v>
      </c>
      <c r="G4" s="98" t="s">
        <v>213</v>
      </c>
      <c r="H4" s="98" t="s">
        <v>213</v>
      </c>
      <c r="I4" s="98" t="s">
        <v>213</v>
      </c>
      <c r="J4" s="98" t="s">
        <v>213</v>
      </c>
      <c r="K4" s="98" t="s">
        <v>213</v>
      </c>
      <c r="L4" s="98" t="s">
        <v>213</v>
      </c>
      <c r="M4" s="98" t="s">
        <v>213</v>
      </c>
      <c r="N4" s="98" t="s">
        <v>213</v>
      </c>
      <c r="O4" s="98" t="s">
        <v>213</v>
      </c>
      <c r="P4" s="98" t="s">
        <v>213</v>
      </c>
    </row>
    <row r="5" spans="1:18" s="4" customFormat="1" ht="22.5" customHeight="1" x14ac:dyDescent="0.25">
      <c r="A5" s="56">
        <v>1</v>
      </c>
      <c r="B5" s="7" t="s">
        <v>78</v>
      </c>
      <c r="C5" s="8" t="s">
        <v>79</v>
      </c>
      <c r="D5" s="113">
        <v>6274</v>
      </c>
      <c r="E5" s="56">
        <v>4311</v>
      </c>
      <c r="F5" s="56">
        <v>3670</v>
      </c>
      <c r="G5" s="56">
        <v>4490</v>
      </c>
      <c r="H5" s="56">
        <v>9373</v>
      </c>
      <c r="I5" s="56">
        <v>12152</v>
      </c>
      <c r="J5" s="56">
        <v>13780</v>
      </c>
      <c r="K5" s="56">
        <v>17435</v>
      </c>
      <c r="L5" s="56">
        <v>19475</v>
      </c>
      <c r="M5" s="56">
        <v>16385</v>
      </c>
      <c r="N5" s="56">
        <v>19520</v>
      </c>
      <c r="O5" s="56">
        <v>18025</v>
      </c>
      <c r="P5" s="111">
        <f>SUM(D5:O5)</f>
        <v>144890</v>
      </c>
    </row>
    <row r="6" spans="1:18" s="4" customFormat="1" ht="22.5" customHeight="1" x14ac:dyDescent="0.25">
      <c r="A6" s="56">
        <v>2</v>
      </c>
      <c r="B6" s="7" t="s">
        <v>80</v>
      </c>
      <c r="C6" s="8" t="s">
        <v>214</v>
      </c>
      <c r="D6" s="56"/>
      <c r="E6" s="56">
        <v>16670</v>
      </c>
      <c r="F6" s="56">
        <v>15504</v>
      </c>
      <c r="G6" s="56">
        <v>6102</v>
      </c>
      <c r="H6" s="56">
        <v>9131</v>
      </c>
      <c r="I6" s="56">
        <v>6872</v>
      </c>
      <c r="J6" s="56">
        <v>6786</v>
      </c>
      <c r="K6" s="56">
        <v>12317</v>
      </c>
      <c r="L6" s="56">
        <v>9005</v>
      </c>
      <c r="M6" s="56">
        <v>11996</v>
      </c>
      <c r="N6" s="56">
        <v>11575</v>
      </c>
      <c r="O6" s="56">
        <v>13383</v>
      </c>
      <c r="P6" s="111">
        <f>SUM(D6:O6)</f>
        <v>119341</v>
      </c>
    </row>
    <row r="7" spans="1:18" s="4" customFormat="1" ht="22.5" customHeight="1" x14ac:dyDescent="0.25">
      <c r="A7" s="56">
        <v>3</v>
      </c>
      <c r="B7" s="7" t="s">
        <v>94</v>
      </c>
      <c r="C7" s="12" t="s">
        <v>268</v>
      </c>
      <c r="D7" s="56"/>
      <c r="E7" s="56">
        <v>4870</v>
      </c>
      <c r="F7" s="56">
        <v>8640</v>
      </c>
      <c r="G7" s="56">
        <v>3485</v>
      </c>
      <c r="H7" s="56">
        <v>12300</v>
      </c>
      <c r="I7" s="56">
        <v>4295</v>
      </c>
      <c r="J7" s="56">
        <v>6250</v>
      </c>
      <c r="K7" s="56">
        <v>6170</v>
      </c>
      <c r="L7" s="56">
        <v>1095</v>
      </c>
      <c r="M7" s="56">
        <v>3745</v>
      </c>
      <c r="N7" s="56">
        <v>3755</v>
      </c>
      <c r="O7" s="56">
        <v>5935</v>
      </c>
      <c r="P7" s="111">
        <f>SUM(D7:O7)</f>
        <v>60540</v>
      </c>
    </row>
    <row r="8" spans="1:18" s="4" customFormat="1" ht="22.5" customHeight="1" x14ac:dyDescent="0.25">
      <c r="A8" s="56">
        <v>4</v>
      </c>
      <c r="B8" s="7" t="s">
        <v>82</v>
      </c>
      <c r="C8" s="12" t="s">
        <v>83</v>
      </c>
      <c r="D8" s="113">
        <v>3119</v>
      </c>
      <c r="E8" s="56">
        <v>2087</v>
      </c>
      <c r="F8" s="56">
        <v>305</v>
      </c>
      <c r="G8" s="113">
        <v>2735</v>
      </c>
      <c r="H8" s="113">
        <v>4219</v>
      </c>
      <c r="I8" s="113">
        <v>2225</v>
      </c>
      <c r="J8" s="56">
        <v>3475</v>
      </c>
      <c r="K8" s="56">
        <v>3675</v>
      </c>
      <c r="L8" s="56">
        <v>3285</v>
      </c>
      <c r="M8" s="56">
        <v>2625</v>
      </c>
      <c r="N8" s="56">
        <v>4285</v>
      </c>
      <c r="O8" s="56">
        <v>2530</v>
      </c>
      <c r="P8" s="111">
        <f>SUM(D8:O8)</f>
        <v>34565</v>
      </c>
    </row>
    <row r="9" spans="1:18" s="4" customFormat="1" ht="22.5" customHeight="1" x14ac:dyDescent="0.25">
      <c r="A9" s="56">
        <v>5</v>
      </c>
      <c r="B9" s="7" t="s">
        <v>178</v>
      </c>
      <c r="C9" s="8" t="s">
        <v>264</v>
      </c>
      <c r="D9" s="56"/>
      <c r="E9" s="56">
        <v>1500</v>
      </c>
      <c r="F9" s="56">
        <v>2374</v>
      </c>
      <c r="G9" s="56">
        <v>1596</v>
      </c>
      <c r="H9" s="56">
        <v>2245</v>
      </c>
      <c r="I9" s="56">
        <v>2205</v>
      </c>
      <c r="J9" s="56">
        <v>2255</v>
      </c>
      <c r="K9" s="56">
        <v>5442</v>
      </c>
      <c r="L9" s="56">
        <v>3193</v>
      </c>
      <c r="M9" s="56">
        <v>2625</v>
      </c>
      <c r="N9" s="56">
        <v>3720</v>
      </c>
      <c r="O9" s="56">
        <v>2980</v>
      </c>
      <c r="P9" s="111">
        <f>SUM(D9:O9)</f>
        <v>30135</v>
      </c>
    </row>
    <row r="10" spans="1:18" s="4" customFormat="1" ht="22.5" customHeight="1" x14ac:dyDescent="0.25">
      <c r="A10" s="56">
        <v>6</v>
      </c>
      <c r="B10" s="7" t="s">
        <v>102</v>
      </c>
      <c r="C10" s="13" t="s">
        <v>103</v>
      </c>
      <c r="D10" s="56"/>
      <c r="E10" s="56"/>
      <c r="F10" s="56">
        <v>2750</v>
      </c>
      <c r="G10" s="56">
        <v>1830</v>
      </c>
      <c r="H10" s="56">
        <v>1665</v>
      </c>
      <c r="I10" s="56">
        <v>4710</v>
      </c>
      <c r="J10" s="56">
        <v>745</v>
      </c>
      <c r="K10" s="56">
        <v>2170</v>
      </c>
      <c r="L10" s="56">
        <v>2010</v>
      </c>
      <c r="M10" s="56">
        <v>3494</v>
      </c>
      <c r="N10" s="56">
        <v>4665</v>
      </c>
      <c r="O10" s="56">
        <v>4000</v>
      </c>
      <c r="P10" s="111">
        <f>SUM(D10:O10)</f>
        <v>28039</v>
      </c>
    </row>
    <row r="11" spans="1:18" s="4" customFormat="1" ht="22.5" customHeight="1" x14ac:dyDescent="0.25">
      <c r="A11" s="56">
        <v>7</v>
      </c>
      <c r="B11" s="7" t="s">
        <v>86</v>
      </c>
      <c r="C11" s="12" t="s">
        <v>265</v>
      </c>
      <c r="D11" s="113">
        <v>500</v>
      </c>
      <c r="E11" s="56">
        <v>500</v>
      </c>
      <c r="F11" s="56">
        <v>810</v>
      </c>
      <c r="G11" s="113">
        <v>1225</v>
      </c>
      <c r="H11" s="56">
        <v>3530</v>
      </c>
      <c r="I11" s="113">
        <v>1315</v>
      </c>
      <c r="J11" s="114">
        <v>1245</v>
      </c>
      <c r="K11" s="114">
        <v>3100</v>
      </c>
      <c r="L11" s="114">
        <v>3105</v>
      </c>
      <c r="M11" s="114">
        <v>1250</v>
      </c>
      <c r="N11" s="114">
        <v>2470</v>
      </c>
      <c r="O11" s="114">
        <v>4065</v>
      </c>
      <c r="P11" s="111">
        <f>SUM(D11:O11)</f>
        <v>23115</v>
      </c>
    </row>
    <row r="12" spans="1:18" s="4" customFormat="1" ht="22.5" customHeight="1" x14ac:dyDescent="0.25">
      <c r="A12" s="56">
        <v>8</v>
      </c>
      <c r="B12" s="7" t="s">
        <v>92</v>
      </c>
      <c r="C12" s="12" t="s">
        <v>93</v>
      </c>
      <c r="D12" s="56"/>
      <c r="E12" s="56">
        <v>340</v>
      </c>
      <c r="F12" s="56">
        <v>2660</v>
      </c>
      <c r="G12" s="56">
        <v>1100</v>
      </c>
      <c r="H12" s="56">
        <v>2295</v>
      </c>
      <c r="I12" s="56">
        <v>1735</v>
      </c>
      <c r="J12" s="56">
        <v>1640</v>
      </c>
      <c r="K12" s="56">
        <v>3810</v>
      </c>
      <c r="L12" s="56">
        <v>3080</v>
      </c>
      <c r="M12" s="56">
        <v>2395</v>
      </c>
      <c r="N12" s="56">
        <v>470</v>
      </c>
      <c r="O12" s="56">
        <v>2160</v>
      </c>
      <c r="P12" s="111">
        <f>SUM(D12:O12)</f>
        <v>21685</v>
      </c>
    </row>
    <row r="13" spans="1:18" s="4" customFormat="1" ht="22.5" customHeight="1" x14ac:dyDescent="0.25">
      <c r="A13" s="56">
        <v>9</v>
      </c>
      <c r="B13" s="7" t="s">
        <v>88</v>
      </c>
      <c r="C13" s="12" t="s">
        <v>267</v>
      </c>
      <c r="D13" s="56"/>
      <c r="E13" s="56">
        <v>550</v>
      </c>
      <c r="F13" s="56">
        <v>1630</v>
      </c>
      <c r="G13" s="56">
        <v>1620</v>
      </c>
      <c r="H13" s="56">
        <v>1340</v>
      </c>
      <c r="I13" s="56">
        <v>1655</v>
      </c>
      <c r="J13" s="56">
        <v>1260</v>
      </c>
      <c r="K13" s="56">
        <v>2260</v>
      </c>
      <c r="L13" s="56">
        <v>1830</v>
      </c>
      <c r="M13" s="56">
        <v>1535</v>
      </c>
      <c r="N13" s="56">
        <v>2195</v>
      </c>
      <c r="O13" s="56">
        <v>2155</v>
      </c>
      <c r="P13" s="111">
        <f>SUM(D13:O13)</f>
        <v>18030</v>
      </c>
    </row>
    <row r="14" spans="1:18" s="4" customFormat="1" ht="22.5" customHeight="1" x14ac:dyDescent="0.25">
      <c r="A14" s="56">
        <v>10</v>
      </c>
      <c r="B14" s="7" t="s">
        <v>90</v>
      </c>
      <c r="C14" s="12" t="s">
        <v>91</v>
      </c>
      <c r="D14" s="113">
        <v>100</v>
      </c>
      <c r="E14" s="56">
        <v>300</v>
      </c>
      <c r="F14" s="56">
        <v>1000</v>
      </c>
      <c r="G14" s="56">
        <v>1160</v>
      </c>
      <c r="H14" s="56">
        <v>1090</v>
      </c>
      <c r="I14" s="56">
        <v>1350</v>
      </c>
      <c r="J14" s="56">
        <v>910</v>
      </c>
      <c r="K14" s="56">
        <v>960</v>
      </c>
      <c r="L14" s="56">
        <v>1275</v>
      </c>
      <c r="M14" s="56">
        <v>2060</v>
      </c>
      <c r="N14" s="56">
        <v>2061</v>
      </c>
      <c r="O14" s="56">
        <v>2589</v>
      </c>
      <c r="P14" s="111">
        <f>SUM(D14:O14)</f>
        <v>14855</v>
      </c>
    </row>
    <row r="15" spans="1:18" s="4" customFormat="1" ht="22.5" customHeight="1" x14ac:dyDescent="0.25">
      <c r="A15" s="56">
        <v>11</v>
      </c>
      <c r="B15" s="7" t="s">
        <v>104</v>
      </c>
      <c r="C15" s="12" t="s">
        <v>222</v>
      </c>
      <c r="D15" s="56"/>
      <c r="E15" s="56">
        <v>900</v>
      </c>
      <c r="F15" s="56"/>
      <c r="G15" s="56">
        <v>370</v>
      </c>
      <c r="H15" s="56">
        <v>785</v>
      </c>
      <c r="I15" s="56">
        <v>105</v>
      </c>
      <c r="J15" s="56"/>
      <c r="K15" s="56">
        <v>430</v>
      </c>
      <c r="L15" s="56">
        <v>3285</v>
      </c>
      <c r="M15" s="56">
        <v>1310</v>
      </c>
      <c r="N15" s="56">
        <v>975</v>
      </c>
      <c r="O15" s="56">
        <v>1220</v>
      </c>
      <c r="P15" s="111">
        <f>SUM(D15:O15)</f>
        <v>9380</v>
      </c>
    </row>
    <row r="16" spans="1:18" s="4" customFormat="1" ht="22.5" customHeight="1" x14ac:dyDescent="0.25">
      <c r="A16" s="56">
        <v>12</v>
      </c>
      <c r="B16" s="7" t="s">
        <v>126</v>
      </c>
      <c r="C16" s="13" t="s">
        <v>270</v>
      </c>
      <c r="D16" s="56"/>
      <c r="E16" s="56"/>
      <c r="F16" s="56"/>
      <c r="G16" s="56"/>
      <c r="H16" s="56"/>
      <c r="I16" s="56">
        <v>440</v>
      </c>
      <c r="J16" s="56">
        <v>900</v>
      </c>
      <c r="K16" s="56">
        <v>1480</v>
      </c>
      <c r="L16" s="56">
        <v>900</v>
      </c>
      <c r="M16" s="56">
        <v>1720</v>
      </c>
      <c r="N16" s="56">
        <v>1100</v>
      </c>
      <c r="O16" s="56">
        <v>1460</v>
      </c>
      <c r="P16" s="111">
        <f>SUM(D16:O16)</f>
        <v>8000</v>
      </c>
    </row>
    <row r="17" spans="1:16" s="4" customFormat="1" ht="22.5" customHeight="1" x14ac:dyDescent="0.25">
      <c r="A17" s="56">
        <v>13</v>
      </c>
      <c r="B17" s="7" t="s">
        <v>199</v>
      </c>
      <c r="C17" s="12" t="s">
        <v>266</v>
      </c>
      <c r="D17" s="56"/>
      <c r="E17" s="56">
        <v>500</v>
      </c>
      <c r="F17" s="56"/>
      <c r="G17" s="56"/>
      <c r="H17" s="56">
        <v>320</v>
      </c>
      <c r="I17" s="56">
        <v>163</v>
      </c>
      <c r="J17" s="56">
        <v>1411</v>
      </c>
      <c r="K17" s="56">
        <v>616</v>
      </c>
      <c r="L17" s="56">
        <v>2027</v>
      </c>
      <c r="M17" s="56">
        <v>803</v>
      </c>
      <c r="N17" s="56">
        <v>310</v>
      </c>
      <c r="O17" s="56">
        <v>1240</v>
      </c>
      <c r="P17" s="111">
        <f>SUM(D17:O17)</f>
        <v>7390</v>
      </c>
    </row>
    <row r="18" spans="1:16" s="4" customFormat="1" ht="22.5" customHeight="1" x14ac:dyDescent="0.25">
      <c r="A18" s="56">
        <v>14</v>
      </c>
      <c r="B18" s="7" t="s">
        <v>98</v>
      </c>
      <c r="C18" s="13" t="s">
        <v>219</v>
      </c>
      <c r="D18" s="56"/>
      <c r="E18" s="56"/>
      <c r="F18" s="56"/>
      <c r="G18" s="56"/>
      <c r="H18" s="56">
        <v>390</v>
      </c>
      <c r="I18" s="56">
        <v>330</v>
      </c>
      <c r="J18" s="56">
        <v>660</v>
      </c>
      <c r="K18" s="56">
        <v>205</v>
      </c>
      <c r="L18" s="56">
        <v>880</v>
      </c>
      <c r="M18" s="56">
        <v>1885</v>
      </c>
      <c r="N18" s="56">
        <v>775</v>
      </c>
      <c r="O18" s="56">
        <v>1075</v>
      </c>
      <c r="P18" s="111">
        <f>SUM(D18:O18)</f>
        <v>6200</v>
      </c>
    </row>
    <row r="19" spans="1:16" s="4" customFormat="1" ht="22.5" customHeight="1" x14ac:dyDescent="0.25">
      <c r="A19" s="56">
        <v>15</v>
      </c>
      <c r="B19" s="7" t="s">
        <v>128</v>
      </c>
      <c r="C19" s="13" t="s">
        <v>273</v>
      </c>
      <c r="D19" s="56"/>
      <c r="E19" s="56"/>
      <c r="F19" s="56"/>
      <c r="G19" s="56"/>
      <c r="H19" s="56"/>
      <c r="I19" s="56"/>
      <c r="J19" s="56">
        <v>200</v>
      </c>
      <c r="K19" s="56">
        <v>700</v>
      </c>
      <c r="L19" s="56">
        <v>1500</v>
      </c>
      <c r="M19" s="56">
        <v>900</v>
      </c>
      <c r="N19" s="56">
        <v>885</v>
      </c>
      <c r="O19" s="56">
        <v>1955</v>
      </c>
      <c r="P19" s="111">
        <f>SUM(D19:O19)</f>
        <v>6140</v>
      </c>
    </row>
    <row r="20" spans="1:16" s="4" customFormat="1" ht="22.5" customHeight="1" x14ac:dyDescent="0.25">
      <c r="A20" s="56">
        <v>16</v>
      </c>
      <c r="B20" s="7" t="s">
        <v>106</v>
      </c>
      <c r="C20" s="12" t="s">
        <v>221</v>
      </c>
      <c r="D20" s="56"/>
      <c r="E20" s="56">
        <v>2190</v>
      </c>
      <c r="F20" s="56">
        <v>380</v>
      </c>
      <c r="G20" s="56">
        <v>340</v>
      </c>
      <c r="H20" s="56"/>
      <c r="I20" s="56"/>
      <c r="J20" s="56">
        <v>200</v>
      </c>
      <c r="K20" s="56"/>
      <c r="L20" s="56">
        <v>500</v>
      </c>
      <c r="M20" s="56"/>
      <c r="N20" s="56">
        <v>978</v>
      </c>
      <c r="O20" s="56">
        <v>862</v>
      </c>
      <c r="P20" s="111">
        <f>SUM(D20:O20)</f>
        <v>5450</v>
      </c>
    </row>
    <row r="21" spans="1:16" s="4" customFormat="1" ht="22.5" customHeight="1" x14ac:dyDescent="0.25">
      <c r="A21" s="56">
        <v>17</v>
      </c>
      <c r="B21" s="7" t="s">
        <v>108</v>
      </c>
      <c r="C21" s="13" t="s">
        <v>225</v>
      </c>
      <c r="D21" s="56"/>
      <c r="E21" s="56"/>
      <c r="F21" s="56">
        <v>500</v>
      </c>
      <c r="G21" s="56">
        <v>500</v>
      </c>
      <c r="H21" s="56">
        <v>650</v>
      </c>
      <c r="I21" s="56">
        <v>1115</v>
      </c>
      <c r="J21" s="56">
        <v>105</v>
      </c>
      <c r="K21" s="56">
        <v>430</v>
      </c>
      <c r="L21" s="56">
        <v>785</v>
      </c>
      <c r="M21" s="56">
        <v>365</v>
      </c>
      <c r="N21" s="56">
        <v>285</v>
      </c>
      <c r="O21" s="56">
        <v>170</v>
      </c>
      <c r="P21" s="111">
        <f>SUM(D21:O21)</f>
        <v>4905</v>
      </c>
    </row>
    <row r="22" spans="1:16" s="4" customFormat="1" ht="22.5" customHeight="1" x14ac:dyDescent="0.25">
      <c r="A22" s="56">
        <v>18</v>
      </c>
      <c r="B22" s="7" t="s">
        <v>112</v>
      </c>
      <c r="C22" s="8" t="s">
        <v>113</v>
      </c>
      <c r="D22" s="113">
        <v>580</v>
      </c>
      <c r="E22" s="114">
        <v>20</v>
      </c>
      <c r="F22" s="113">
        <v>300</v>
      </c>
      <c r="G22" s="113"/>
      <c r="H22" s="113">
        <v>730</v>
      </c>
      <c r="I22" s="113">
        <v>440</v>
      </c>
      <c r="J22" s="114">
        <v>515</v>
      </c>
      <c r="K22" s="114">
        <v>195</v>
      </c>
      <c r="L22" s="114">
        <v>625</v>
      </c>
      <c r="M22" s="114">
        <v>565</v>
      </c>
      <c r="N22" s="114">
        <v>400</v>
      </c>
      <c r="O22" s="114">
        <v>200</v>
      </c>
      <c r="P22" s="111">
        <f>SUM(D22:O22)</f>
        <v>4570</v>
      </c>
    </row>
    <row r="23" spans="1:16" s="4" customFormat="1" ht="22.5" customHeight="1" x14ac:dyDescent="0.25">
      <c r="A23" s="56">
        <v>19</v>
      </c>
      <c r="B23" s="7" t="s">
        <v>279</v>
      </c>
      <c r="C23" s="12" t="s">
        <v>220</v>
      </c>
      <c r="D23" s="56"/>
      <c r="E23" s="56">
        <v>370</v>
      </c>
      <c r="F23" s="56">
        <v>150</v>
      </c>
      <c r="G23" s="56">
        <v>80</v>
      </c>
      <c r="H23" s="56">
        <v>460</v>
      </c>
      <c r="I23" s="56">
        <v>395</v>
      </c>
      <c r="J23" s="56">
        <v>345</v>
      </c>
      <c r="K23" s="56">
        <v>730</v>
      </c>
      <c r="L23" s="56">
        <v>495</v>
      </c>
      <c r="M23" s="56">
        <v>245</v>
      </c>
      <c r="N23" s="56">
        <v>190</v>
      </c>
      <c r="O23" s="56">
        <v>570</v>
      </c>
      <c r="P23" s="111">
        <f>SUM(D23:O23)</f>
        <v>4030</v>
      </c>
    </row>
    <row r="24" spans="1:16" s="4" customFormat="1" ht="22.5" customHeight="1" x14ac:dyDescent="0.25">
      <c r="A24" s="56">
        <v>20</v>
      </c>
      <c r="B24" s="7" t="s">
        <v>110</v>
      </c>
      <c r="C24" s="13" t="s">
        <v>111</v>
      </c>
      <c r="D24" s="56"/>
      <c r="E24" s="56"/>
      <c r="F24" s="56"/>
      <c r="G24" s="56"/>
      <c r="H24" s="56"/>
      <c r="I24" s="56">
        <v>200</v>
      </c>
      <c r="J24" s="56">
        <v>670</v>
      </c>
      <c r="K24" s="56"/>
      <c r="L24" s="56">
        <v>880</v>
      </c>
      <c r="M24" s="56">
        <v>840</v>
      </c>
      <c r="N24" s="56">
        <v>300</v>
      </c>
      <c r="O24" s="56">
        <v>730</v>
      </c>
      <c r="P24" s="111">
        <f>SUM(D24:O24)</f>
        <v>3620</v>
      </c>
    </row>
    <row r="25" spans="1:16" s="4" customFormat="1" ht="22.5" customHeight="1" x14ac:dyDescent="0.25">
      <c r="A25" s="56">
        <v>21</v>
      </c>
      <c r="B25" s="7" t="s">
        <v>130</v>
      </c>
      <c r="C25" s="13" t="s">
        <v>230</v>
      </c>
      <c r="D25" s="113"/>
      <c r="E25" s="56"/>
      <c r="F25" s="56"/>
      <c r="G25" s="56"/>
      <c r="H25" s="56"/>
      <c r="I25" s="56">
        <v>200</v>
      </c>
      <c r="J25" s="56"/>
      <c r="K25" s="56"/>
      <c r="L25" s="56">
        <v>200</v>
      </c>
      <c r="M25" s="56">
        <v>400</v>
      </c>
      <c r="N25" s="56">
        <v>600</v>
      </c>
      <c r="O25" s="56">
        <v>1000</v>
      </c>
      <c r="P25" s="111">
        <f>SUM(D25:O25)</f>
        <v>2400</v>
      </c>
    </row>
    <row r="26" spans="1:16" s="4" customFormat="1" ht="22.5" customHeight="1" x14ac:dyDescent="0.25">
      <c r="A26" s="56">
        <v>22</v>
      </c>
      <c r="B26" s="7" t="s">
        <v>132</v>
      </c>
      <c r="C26" s="13" t="s">
        <v>231</v>
      </c>
      <c r="D26" s="56"/>
      <c r="E26" s="56"/>
      <c r="F26" s="56"/>
      <c r="G26" s="56"/>
      <c r="H26" s="56"/>
      <c r="I26" s="56"/>
      <c r="J26" s="56">
        <v>300</v>
      </c>
      <c r="K26" s="56">
        <v>500</v>
      </c>
      <c r="L26" s="56">
        <v>340</v>
      </c>
      <c r="M26" s="56">
        <v>200</v>
      </c>
      <c r="N26" s="56">
        <v>300</v>
      </c>
      <c r="O26" s="56">
        <v>320</v>
      </c>
      <c r="P26" s="111">
        <f>SUM(D26:O26)</f>
        <v>1960</v>
      </c>
    </row>
    <row r="27" spans="1:16" s="4" customFormat="1" ht="22.5" customHeight="1" x14ac:dyDescent="0.25">
      <c r="A27" s="56">
        <v>23</v>
      </c>
      <c r="B27" s="7" t="s">
        <v>114</v>
      </c>
      <c r="C27" s="12" t="s">
        <v>115</v>
      </c>
      <c r="D27" s="56"/>
      <c r="E27" s="56"/>
      <c r="F27" s="56"/>
      <c r="G27" s="56"/>
      <c r="H27" s="56"/>
      <c r="I27" s="56"/>
      <c r="J27" s="56"/>
      <c r="K27" s="56">
        <v>410</v>
      </c>
      <c r="L27" s="56">
        <v>1295</v>
      </c>
      <c r="M27" s="56"/>
      <c r="N27" s="56"/>
      <c r="O27" s="56">
        <v>195</v>
      </c>
      <c r="P27" s="111">
        <f>SUM(D27:O27)</f>
        <v>1900</v>
      </c>
    </row>
    <row r="28" spans="1:16" s="4" customFormat="1" ht="22.5" customHeight="1" x14ac:dyDescent="0.25">
      <c r="A28" s="56">
        <v>24</v>
      </c>
      <c r="B28" s="7" t="s">
        <v>160</v>
      </c>
      <c r="C28" s="13" t="s">
        <v>269</v>
      </c>
      <c r="D28" s="56"/>
      <c r="E28" s="56"/>
      <c r="F28" s="56"/>
      <c r="G28" s="56"/>
      <c r="H28" s="56"/>
      <c r="I28" s="56">
        <v>220</v>
      </c>
      <c r="J28" s="56">
        <v>220</v>
      </c>
      <c r="K28" s="56">
        <v>220</v>
      </c>
      <c r="L28" s="56">
        <v>760</v>
      </c>
      <c r="M28" s="56"/>
      <c r="N28" s="56">
        <v>340</v>
      </c>
      <c r="O28" s="56"/>
      <c r="P28" s="111">
        <f>SUM(D28:O28)</f>
        <v>1760</v>
      </c>
    </row>
    <row r="29" spans="1:16" s="4" customFormat="1" ht="22.5" customHeight="1" x14ac:dyDescent="0.25">
      <c r="A29" s="56">
        <v>25</v>
      </c>
      <c r="B29" s="7" t="s">
        <v>152</v>
      </c>
      <c r="C29" s="13" t="s">
        <v>271</v>
      </c>
      <c r="D29" s="56"/>
      <c r="E29" s="56"/>
      <c r="F29" s="56"/>
      <c r="G29" s="56"/>
      <c r="H29" s="56"/>
      <c r="I29" s="56">
        <v>200</v>
      </c>
      <c r="J29" s="56">
        <v>220</v>
      </c>
      <c r="K29" s="56">
        <v>200</v>
      </c>
      <c r="L29" s="56"/>
      <c r="M29" s="56">
        <v>500</v>
      </c>
      <c r="N29" s="56">
        <v>420</v>
      </c>
      <c r="O29" s="56"/>
      <c r="P29" s="111">
        <f>SUM(D29:O29)</f>
        <v>1540</v>
      </c>
    </row>
    <row r="30" spans="1:16" s="4" customFormat="1" ht="22.5" customHeight="1" x14ac:dyDescent="0.25">
      <c r="A30" s="56">
        <v>26</v>
      </c>
      <c r="B30" s="7" t="s">
        <v>100</v>
      </c>
      <c r="C30" s="12" t="s">
        <v>101</v>
      </c>
      <c r="D30" s="56"/>
      <c r="E30" s="56">
        <v>200</v>
      </c>
      <c r="F30" s="56">
        <v>240</v>
      </c>
      <c r="G30" s="56">
        <v>60</v>
      </c>
      <c r="H30" s="56"/>
      <c r="I30" s="56"/>
      <c r="J30" s="56"/>
      <c r="K30" s="56">
        <v>500</v>
      </c>
      <c r="L30" s="56"/>
      <c r="M30" s="56"/>
      <c r="N30" s="56">
        <v>195</v>
      </c>
      <c r="O30" s="56">
        <v>305</v>
      </c>
      <c r="P30" s="111">
        <f>SUM(D30:O30)</f>
        <v>1500</v>
      </c>
    </row>
    <row r="31" spans="1:16" s="4" customFormat="1" ht="22.5" customHeight="1" x14ac:dyDescent="0.25">
      <c r="A31" s="56">
        <v>27</v>
      </c>
      <c r="B31" s="7" t="s">
        <v>154</v>
      </c>
      <c r="C31" s="36" t="s">
        <v>274</v>
      </c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>
        <v>1040</v>
      </c>
      <c r="O31" s="56"/>
      <c r="P31" s="111">
        <f>SUM(D31:O31)</f>
        <v>1040</v>
      </c>
    </row>
    <row r="32" spans="1:16" s="4" customFormat="1" ht="22.5" customHeight="1" x14ac:dyDescent="0.25">
      <c r="A32" s="56">
        <v>28</v>
      </c>
      <c r="B32" s="7" t="s">
        <v>193</v>
      </c>
      <c r="C32" s="36" t="s">
        <v>247</v>
      </c>
      <c r="D32" s="56"/>
      <c r="E32" s="56"/>
      <c r="F32" s="56"/>
      <c r="G32" s="56"/>
      <c r="H32" s="56"/>
      <c r="I32" s="56"/>
      <c r="J32" s="56"/>
      <c r="K32" s="56"/>
      <c r="L32" s="56">
        <v>400</v>
      </c>
      <c r="M32" s="56"/>
      <c r="N32" s="56">
        <v>280</v>
      </c>
      <c r="O32" s="56">
        <v>200</v>
      </c>
      <c r="P32" s="111">
        <f>SUM(D32:O32)</f>
        <v>880</v>
      </c>
    </row>
    <row r="33" spans="1:16" s="4" customFormat="1" ht="22.5" customHeight="1" x14ac:dyDescent="0.25">
      <c r="A33" s="56">
        <v>29</v>
      </c>
      <c r="B33" s="7" t="s">
        <v>192</v>
      </c>
      <c r="C33" s="13" t="s">
        <v>272</v>
      </c>
      <c r="D33" s="56"/>
      <c r="E33" s="56"/>
      <c r="F33" s="56"/>
      <c r="G33" s="56"/>
      <c r="H33" s="56"/>
      <c r="I33" s="56"/>
      <c r="J33" s="56">
        <v>200</v>
      </c>
      <c r="K33" s="56">
        <v>200</v>
      </c>
      <c r="L33" s="56">
        <v>200</v>
      </c>
      <c r="M33" s="56"/>
      <c r="N33" s="56">
        <v>200</v>
      </c>
      <c r="O33" s="56"/>
      <c r="P33" s="111">
        <f>SUM(D33:O33)</f>
        <v>800</v>
      </c>
    </row>
    <row r="34" spans="1:16" s="4" customFormat="1" ht="22.5" customHeight="1" x14ac:dyDescent="0.25">
      <c r="A34" s="56">
        <v>30</v>
      </c>
      <c r="B34" s="7" t="s">
        <v>124</v>
      </c>
      <c r="C34" s="13" t="s">
        <v>226</v>
      </c>
      <c r="D34" s="56"/>
      <c r="E34" s="56"/>
      <c r="F34" s="56">
        <v>400</v>
      </c>
      <c r="G34" s="56">
        <v>100</v>
      </c>
      <c r="H34" s="56"/>
      <c r="I34" s="56"/>
      <c r="J34" s="56"/>
      <c r="K34" s="56"/>
      <c r="L34" s="56">
        <v>240</v>
      </c>
      <c r="M34" s="56"/>
      <c r="N34" s="56"/>
      <c r="O34" s="56"/>
      <c r="P34" s="111">
        <f>SUM(D34:O34)</f>
        <v>740</v>
      </c>
    </row>
    <row r="35" spans="1:16" s="4" customFormat="1" ht="22.5" customHeight="1" x14ac:dyDescent="0.25">
      <c r="A35" s="56">
        <v>31</v>
      </c>
      <c r="B35" s="7" t="s">
        <v>134</v>
      </c>
      <c r="C35" s="13" t="s">
        <v>275</v>
      </c>
      <c r="D35" s="56"/>
      <c r="E35" s="56"/>
      <c r="F35" s="56"/>
      <c r="G35" s="56"/>
      <c r="H35" s="56"/>
      <c r="I35" s="56"/>
      <c r="J35" s="56">
        <v>200</v>
      </c>
      <c r="K35" s="56">
        <v>200</v>
      </c>
      <c r="L35" s="56"/>
      <c r="M35" s="56"/>
      <c r="N35" s="56">
        <v>200</v>
      </c>
      <c r="O35" s="56"/>
      <c r="P35" s="111">
        <f>SUM(D35:O35)</f>
        <v>600</v>
      </c>
    </row>
    <row r="36" spans="1:16" s="4" customFormat="1" ht="22.5" customHeight="1" x14ac:dyDescent="0.25">
      <c r="A36" s="56">
        <v>32</v>
      </c>
      <c r="B36" s="7" t="s">
        <v>182</v>
      </c>
      <c r="C36" s="13" t="s">
        <v>242</v>
      </c>
      <c r="D36" s="56"/>
      <c r="E36" s="56"/>
      <c r="F36" s="56"/>
      <c r="G36" s="56"/>
      <c r="H36" s="56"/>
      <c r="I36" s="56"/>
      <c r="J36" s="56">
        <v>200</v>
      </c>
      <c r="K36" s="56"/>
      <c r="L36" s="56"/>
      <c r="M36" s="56"/>
      <c r="N36" s="56">
        <v>200</v>
      </c>
      <c r="O36" s="56"/>
      <c r="P36" s="111">
        <f>SUM(D36:O36)</f>
        <v>400</v>
      </c>
    </row>
    <row r="37" spans="1:16" s="4" customFormat="1" ht="22.5" customHeight="1" x14ac:dyDescent="0.25">
      <c r="A37" s="56">
        <v>33</v>
      </c>
      <c r="B37" s="7" t="s">
        <v>287</v>
      </c>
      <c r="C37" s="36" t="s">
        <v>286</v>
      </c>
      <c r="D37" s="56"/>
      <c r="E37" s="56"/>
      <c r="F37" s="56"/>
      <c r="G37" s="56"/>
      <c r="H37" s="56"/>
      <c r="I37" s="56">
        <v>200</v>
      </c>
      <c r="J37" s="56"/>
      <c r="K37" s="56"/>
      <c r="L37" s="56"/>
      <c r="M37" s="56"/>
      <c r="N37" s="56"/>
      <c r="O37" s="56"/>
      <c r="P37" s="111">
        <f>SUM(D37:O37)</f>
        <v>200</v>
      </c>
    </row>
    <row r="38" spans="1:16" s="2" customFormat="1" ht="22.5" customHeight="1" x14ac:dyDescent="0.25">
      <c r="A38" s="186" t="s">
        <v>289</v>
      </c>
      <c r="B38" s="186"/>
      <c r="C38" s="186"/>
      <c r="D38" s="86">
        <f t="shared" ref="D38:P38" si="0">SUM(D5:D37)</f>
        <v>10573</v>
      </c>
      <c r="E38" s="86">
        <f t="shared" si="0"/>
        <v>35308</v>
      </c>
      <c r="F38" s="86">
        <f t="shared" si="0"/>
        <v>41313</v>
      </c>
      <c r="G38" s="86">
        <f t="shared" si="0"/>
        <v>26793</v>
      </c>
      <c r="H38" s="86">
        <f t="shared" si="0"/>
        <v>50523</v>
      </c>
      <c r="I38" s="86">
        <f t="shared" si="0"/>
        <v>42522</v>
      </c>
      <c r="J38" s="86">
        <f t="shared" si="0"/>
        <v>44692</v>
      </c>
      <c r="K38" s="86">
        <f t="shared" si="0"/>
        <v>64355</v>
      </c>
      <c r="L38" s="86">
        <f t="shared" si="0"/>
        <v>62665</v>
      </c>
      <c r="M38" s="86">
        <f t="shared" si="0"/>
        <v>57843</v>
      </c>
      <c r="N38" s="86">
        <f t="shared" si="0"/>
        <v>64689</v>
      </c>
      <c r="O38" s="86">
        <f t="shared" si="0"/>
        <v>69324</v>
      </c>
      <c r="P38" s="86">
        <f t="shared" si="0"/>
        <v>570600</v>
      </c>
    </row>
    <row r="39" spans="1:16" s="75" customFormat="1" ht="22.5" customHeight="1" x14ac:dyDescent="0.25">
      <c r="A39" s="187" t="s">
        <v>290</v>
      </c>
      <c r="B39" s="187"/>
      <c r="C39" s="187"/>
      <c r="D39" s="148">
        <f t="shared" ref="D39:P39" si="1">MAX(D5:D37)</f>
        <v>6274</v>
      </c>
      <c r="E39" s="148">
        <f t="shared" si="1"/>
        <v>16670</v>
      </c>
      <c r="F39" s="148">
        <f t="shared" si="1"/>
        <v>15504</v>
      </c>
      <c r="G39" s="148">
        <f t="shared" si="1"/>
        <v>6102</v>
      </c>
      <c r="H39" s="148">
        <f t="shared" si="1"/>
        <v>12300</v>
      </c>
      <c r="I39" s="148">
        <f t="shared" si="1"/>
        <v>12152</v>
      </c>
      <c r="J39" s="148">
        <f t="shared" si="1"/>
        <v>13780</v>
      </c>
      <c r="K39" s="148">
        <f t="shared" si="1"/>
        <v>17435</v>
      </c>
      <c r="L39" s="148">
        <f t="shared" si="1"/>
        <v>19475</v>
      </c>
      <c r="M39" s="148">
        <f t="shared" si="1"/>
        <v>16385</v>
      </c>
      <c r="N39" s="148">
        <f t="shared" si="1"/>
        <v>19520</v>
      </c>
      <c r="O39" s="148">
        <f t="shared" si="1"/>
        <v>18025</v>
      </c>
      <c r="P39" s="148">
        <f t="shared" si="1"/>
        <v>144890</v>
      </c>
    </row>
    <row r="40" spans="1:16" s="75" customFormat="1" ht="22.5" customHeight="1" x14ac:dyDescent="0.25">
      <c r="A40" s="188" t="s">
        <v>291</v>
      </c>
      <c r="B40" s="188"/>
      <c r="C40" s="188"/>
      <c r="D40" s="149">
        <f t="shared" ref="D40:P40" si="2">MIN(D5:D37)</f>
        <v>100</v>
      </c>
      <c r="E40" s="149">
        <f t="shared" si="2"/>
        <v>20</v>
      </c>
      <c r="F40" s="149">
        <f t="shared" si="2"/>
        <v>150</v>
      </c>
      <c r="G40" s="149">
        <f t="shared" si="2"/>
        <v>60</v>
      </c>
      <c r="H40" s="149">
        <f t="shared" si="2"/>
        <v>320</v>
      </c>
      <c r="I40" s="149">
        <f t="shared" si="2"/>
        <v>105</v>
      </c>
      <c r="J40" s="149">
        <f t="shared" si="2"/>
        <v>105</v>
      </c>
      <c r="K40" s="149">
        <f t="shared" si="2"/>
        <v>195</v>
      </c>
      <c r="L40" s="149">
        <f t="shared" si="2"/>
        <v>200</v>
      </c>
      <c r="M40" s="149">
        <f t="shared" si="2"/>
        <v>200</v>
      </c>
      <c r="N40" s="149">
        <f t="shared" si="2"/>
        <v>190</v>
      </c>
      <c r="O40" s="149">
        <f t="shared" si="2"/>
        <v>170</v>
      </c>
      <c r="P40" s="149">
        <f t="shared" si="2"/>
        <v>200</v>
      </c>
    </row>
    <row r="41" spans="1:16" s="75" customFormat="1" ht="22.5" customHeight="1" x14ac:dyDescent="0.25">
      <c r="A41" s="189" t="s">
        <v>292</v>
      </c>
      <c r="B41" s="189"/>
      <c r="C41" s="189"/>
      <c r="D41" s="89">
        <f t="shared" ref="D41:P41" si="3">AVERAGE(D5:D37)</f>
        <v>2114.6</v>
      </c>
      <c r="E41" s="89">
        <f t="shared" si="3"/>
        <v>2353.8666666666668</v>
      </c>
      <c r="F41" s="89">
        <f t="shared" si="3"/>
        <v>2582.0625</v>
      </c>
      <c r="G41" s="89">
        <f t="shared" si="3"/>
        <v>1674.5625</v>
      </c>
      <c r="H41" s="89">
        <f t="shared" si="3"/>
        <v>3157.6875</v>
      </c>
      <c r="I41" s="89">
        <f t="shared" si="3"/>
        <v>1932.8181818181818</v>
      </c>
      <c r="J41" s="89">
        <f t="shared" si="3"/>
        <v>1787.68</v>
      </c>
      <c r="K41" s="89">
        <f t="shared" si="3"/>
        <v>2574.1999999999998</v>
      </c>
      <c r="L41" s="89">
        <f t="shared" si="3"/>
        <v>2320.9259259259261</v>
      </c>
      <c r="M41" s="89">
        <f t="shared" si="3"/>
        <v>2629.2272727272725</v>
      </c>
      <c r="N41" s="89">
        <f t="shared" si="3"/>
        <v>2156.3000000000002</v>
      </c>
      <c r="O41" s="89">
        <f t="shared" si="3"/>
        <v>2772.96</v>
      </c>
      <c r="P41" s="89">
        <f t="shared" si="3"/>
        <v>17290.909090909092</v>
      </c>
    </row>
    <row r="42" spans="1:16" s="75" customFormat="1" ht="22.5" customHeight="1" x14ac:dyDescent="0.25">
      <c r="A42" s="190" t="s">
        <v>293</v>
      </c>
      <c r="B42" s="190"/>
      <c r="C42" s="190"/>
      <c r="D42" s="150">
        <f t="shared" ref="D42:P42" si="4">COUNT(D5:D37)</f>
        <v>5</v>
      </c>
      <c r="E42" s="150">
        <f t="shared" si="4"/>
        <v>15</v>
      </c>
      <c r="F42" s="150">
        <f t="shared" si="4"/>
        <v>16</v>
      </c>
      <c r="G42" s="150">
        <f t="shared" si="4"/>
        <v>16</v>
      </c>
      <c r="H42" s="150">
        <f t="shared" si="4"/>
        <v>16</v>
      </c>
      <c r="I42" s="150">
        <f t="shared" si="4"/>
        <v>22</v>
      </c>
      <c r="J42" s="150">
        <f t="shared" si="4"/>
        <v>25</v>
      </c>
      <c r="K42" s="150">
        <f t="shared" si="4"/>
        <v>25</v>
      </c>
      <c r="L42" s="150">
        <f t="shared" si="4"/>
        <v>27</v>
      </c>
      <c r="M42" s="150">
        <f t="shared" si="4"/>
        <v>22</v>
      </c>
      <c r="N42" s="150">
        <f t="shared" si="4"/>
        <v>30</v>
      </c>
      <c r="O42" s="150">
        <f t="shared" si="4"/>
        <v>25</v>
      </c>
      <c r="P42" s="150">
        <f t="shared" si="4"/>
        <v>33</v>
      </c>
    </row>
  </sheetData>
  <sortState ref="A5:P37">
    <sortCondition descending="1" ref="P5:P37"/>
  </sortState>
  <mergeCells count="11">
    <mergeCell ref="A38:C38"/>
    <mergeCell ref="A39:C39"/>
    <mergeCell ref="A40:C40"/>
    <mergeCell ref="A41:C41"/>
    <mergeCell ref="A42:C42"/>
    <mergeCell ref="Q3:R3"/>
    <mergeCell ref="B3:B4"/>
    <mergeCell ref="A1:P1"/>
    <mergeCell ref="A3:A4"/>
    <mergeCell ref="C3:C4"/>
    <mergeCell ref="N2:P2"/>
  </mergeCells>
  <pageMargins left="0" right="0" top="0" bottom="0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Q374"/>
  <sheetViews>
    <sheetView zoomScaleNormal="100" workbookViewId="0">
      <selection activeCell="D9" sqref="D9"/>
    </sheetView>
  </sheetViews>
  <sheetFormatPr defaultRowHeight="12.75" x14ac:dyDescent="0.25"/>
  <cols>
    <col min="1" max="1" width="5.28515625" style="106" bestFit="1" customWidth="1"/>
    <col min="2" max="2" width="8.28515625" style="106" customWidth="1"/>
    <col min="3" max="3" width="25.28515625" style="106" customWidth="1"/>
    <col min="4" max="15" width="7.7109375" style="106" customWidth="1"/>
    <col min="16" max="16" width="13.140625" style="105" customWidth="1"/>
    <col min="17" max="16384" width="9.140625" style="106"/>
  </cols>
  <sheetData>
    <row r="1" spans="1:17" s="49" customFormat="1" ht="36" customHeight="1" x14ac:dyDescent="0.25">
      <c r="A1" s="191" t="s">
        <v>298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</row>
    <row r="2" spans="1:17" s="11" customFormat="1" ht="27" customHeight="1" x14ac:dyDescent="0.25">
      <c r="A2" s="99"/>
      <c r="B2" s="65"/>
      <c r="C2" s="65"/>
      <c r="D2" s="64"/>
      <c r="E2" s="64"/>
      <c r="F2" s="64"/>
      <c r="G2" s="64"/>
      <c r="H2" s="64"/>
      <c r="I2" s="64"/>
      <c r="J2" s="64"/>
      <c r="K2" s="64"/>
      <c r="L2" s="64"/>
      <c r="M2" s="64"/>
      <c r="N2" s="192" t="s">
        <v>294</v>
      </c>
      <c r="O2" s="192"/>
      <c r="P2" s="192"/>
    </row>
    <row r="3" spans="1:17" s="105" customFormat="1" ht="27" customHeight="1" x14ac:dyDescent="0.25">
      <c r="A3" s="193" t="s">
        <v>211</v>
      </c>
      <c r="B3" s="195" t="s">
        <v>249</v>
      </c>
      <c r="C3" s="197" t="s">
        <v>295</v>
      </c>
      <c r="D3" s="107">
        <v>43466</v>
      </c>
      <c r="E3" s="107">
        <v>43497</v>
      </c>
      <c r="F3" s="107">
        <v>43525</v>
      </c>
      <c r="G3" s="107">
        <v>43556</v>
      </c>
      <c r="H3" s="107">
        <v>43586</v>
      </c>
      <c r="I3" s="107">
        <v>43617</v>
      </c>
      <c r="J3" s="107">
        <v>43647</v>
      </c>
      <c r="K3" s="107">
        <v>43678</v>
      </c>
      <c r="L3" s="107">
        <v>43709</v>
      </c>
      <c r="M3" s="107">
        <v>43739</v>
      </c>
      <c r="N3" s="107">
        <v>43770</v>
      </c>
      <c r="O3" s="107">
        <v>43800</v>
      </c>
      <c r="P3" s="78" t="s">
        <v>296</v>
      </c>
      <c r="Q3" s="103"/>
    </row>
    <row r="4" spans="1:17" s="105" customFormat="1" ht="27" customHeight="1" x14ac:dyDescent="0.25">
      <c r="A4" s="194"/>
      <c r="B4" s="196"/>
      <c r="C4" s="198"/>
      <c r="D4" s="78" t="s">
        <v>213</v>
      </c>
      <c r="E4" s="78" t="s">
        <v>213</v>
      </c>
      <c r="F4" s="78" t="s">
        <v>213</v>
      </c>
      <c r="G4" s="78" t="s">
        <v>213</v>
      </c>
      <c r="H4" s="78" t="s">
        <v>213</v>
      </c>
      <c r="I4" s="78" t="s">
        <v>213</v>
      </c>
      <c r="J4" s="78" t="s">
        <v>213</v>
      </c>
      <c r="K4" s="78" t="s">
        <v>213</v>
      </c>
      <c r="L4" s="78" t="s">
        <v>213</v>
      </c>
      <c r="M4" s="78" t="s">
        <v>213</v>
      </c>
      <c r="N4" s="78" t="s">
        <v>213</v>
      </c>
      <c r="O4" s="78" t="s">
        <v>213</v>
      </c>
      <c r="P4" s="78" t="s">
        <v>213</v>
      </c>
      <c r="Q4" s="103"/>
    </row>
    <row r="5" spans="1:17" ht="30" customHeight="1" x14ac:dyDescent="0.25">
      <c r="A5" s="22">
        <v>1</v>
      </c>
      <c r="B5" s="20" t="s">
        <v>45</v>
      </c>
      <c r="C5" s="101" t="s">
        <v>46</v>
      </c>
      <c r="D5" s="37">
        <v>8500</v>
      </c>
      <c r="E5" s="37">
        <v>5360</v>
      </c>
      <c r="F5" s="37">
        <v>9190</v>
      </c>
      <c r="G5" s="37">
        <v>7550</v>
      </c>
      <c r="H5" s="37">
        <v>5870</v>
      </c>
      <c r="I5" s="37">
        <v>8376</v>
      </c>
      <c r="J5" s="37">
        <v>11658</v>
      </c>
      <c r="K5" s="37">
        <v>7711</v>
      </c>
      <c r="L5" s="37">
        <v>2385</v>
      </c>
      <c r="M5" s="37">
        <v>8260</v>
      </c>
      <c r="N5" s="37">
        <v>6950</v>
      </c>
      <c r="O5" s="37">
        <v>4405</v>
      </c>
      <c r="P5" s="102">
        <f>SUM(D5:O5)</f>
        <v>86215</v>
      </c>
      <c r="Q5" s="100"/>
    </row>
    <row r="6" spans="1:17" ht="30" customHeight="1" x14ac:dyDescent="0.25">
      <c r="A6" s="22">
        <v>2</v>
      </c>
      <c r="B6" s="20" t="s">
        <v>13</v>
      </c>
      <c r="C6" s="101" t="s">
        <v>14</v>
      </c>
      <c r="D6" s="37">
        <v>4415</v>
      </c>
      <c r="E6" s="37">
        <v>6765</v>
      </c>
      <c r="F6" s="37">
        <v>7755</v>
      </c>
      <c r="G6" s="37">
        <v>6045</v>
      </c>
      <c r="H6" s="37">
        <v>5285</v>
      </c>
      <c r="I6" s="37">
        <v>7968</v>
      </c>
      <c r="J6" s="37">
        <v>8759</v>
      </c>
      <c r="K6" s="37">
        <v>6343</v>
      </c>
      <c r="L6" s="37">
        <v>4560</v>
      </c>
      <c r="M6" s="37">
        <v>4615</v>
      </c>
      <c r="N6" s="37">
        <v>6345</v>
      </c>
      <c r="O6" s="37">
        <v>4890</v>
      </c>
      <c r="P6" s="102">
        <f>SUM(D6:O6)</f>
        <v>73745</v>
      </c>
      <c r="Q6" s="100"/>
    </row>
    <row r="7" spans="1:17" ht="30" customHeight="1" x14ac:dyDescent="0.25">
      <c r="A7" s="22">
        <v>3</v>
      </c>
      <c r="B7" s="20" t="s">
        <v>7</v>
      </c>
      <c r="C7" s="101" t="s">
        <v>8</v>
      </c>
      <c r="D7" s="37">
        <v>5091</v>
      </c>
      <c r="E7" s="37">
        <v>6497</v>
      </c>
      <c r="F7" s="37">
        <v>6554</v>
      </c>
      <c r="G7" s="37">
        <v>3855</v>
      </c>
      <c r="H7" s="37">
        <v>5356</v>
      </c>
      <c r="I7" s="37">
        <v>3443</v>
      </c>
      <c r="J7" s="37">
        <v>4750</v>
      </c>
      <c r="K7" s="37">
        <v>4892</v>
      </c>
      <c r="L7" s="37">
        <v>5215</v>
      </c>
      <c r="M7" s="37">
        <v>3439</v>
      </c>
      <c r="N7" s="37">
        <v>4260</v>
      </c>
      <c r="O7" s="37">
        <v>4020</v>
      </c>
      <c r="P7" s="102">
        <f>SUM(D7:O7)</f>
        <v>57372</v>
      </c>
      <c r="Q7" s="100"/>
    </row>
    <row r="8" spans="1:17" ht="30" customHeight="1" x14ac:dyDescent="0.25">
      <c r="A8" s="22">
        <v>4</v>
      </c>
      <c r="B8" s="20" t="s">
        <v>23</v>
      </c>
      <c r="C8" s="101" t="s">
        <v>24</v>
      </c>
      <c r="D8" s="37">
        <v>4510</v>
      </c>
      <c r="E8" s="37">
        <v>3850</v>
      </c>
      <c r="F8" s="37">
        <v>3865</v>
      </c>
      <c r="G8" s="37">
        <v>3245</v>
      </c>
      <c r="H8" s="37">
        <v>2732</v>
      </c>
      <c r="I8" s="37">
        <v>6558</v>
      </c>
      <c r="J8" s="37">
        <v>8445</v>
      </c>
      <c r="K8" s="37">
        <v>1760</v>
      </c>
      <c r="L8" s="37">
        <v>1130</v>
      </c>
      <c r="M8" s="37">
        <v>4230</v>
      </c>
      <c r="N8" s="37">
        <v>4665</v>
      </c>
      <c r="O8" s="37">
        <v>3480</v>
      </c>
      <c r="P8" s="102">
        <f>SUM(D8:O8)</f>
        <v>48470</v>
      </c>
      <c r="Q8" s="100"/>
    </row>
    <row r="9" spans="1:17" ht="30" customHeight="1" x14ac:dyDescent="0.25">
      <c r="A9" s="22">
        <v>5</v>
      </c>
      <c r="B9" s="20" t="s">
        <v>35</v>
      </c>
      <c r="C9" s="101" t="s">
        <v>36</v>
      </c>
      <c r="D9" s="37">
        <v>4866</v>
      </c>
      <c r="E9" s="37">
        <v>6166</v>
      </c>
      <c r="F9" s="37">
        <v>4895</v>
      </c>
      <c r="G9" s="37">
        <v>3055</v>
      </c>
      <c r="H9" s="37">
        <v>3205</v>
      </c>
      <c r="I9" s="37">
        <v>4480</v>
      </c>
      <c r="J9" s="37">
        <v>1785</v>
      </c>
      <c r="K9" s="37">
        <v>3570</v>
      </c>
      <c r="L9" s="37">
        <v>2635</v>
      </c>
      <c r="M9" s="37">
        <v>3550</v>
      </c>
      <c r="N9" s="37">
        <v>3270</v>
      </c>
      <c r="O9" s="37">
        <v>4410</v>
      </c>
      <c r="P9" s="102">
        <f>SUM(D9:O9)</f>
        <v>45887</v>
      </c>
      <c r="Q9" s="100"/>
    </row>
    <row r="10" spans="1:17" ht="30" customHeight="1" x14ac:dyDescent="0.25">
      <c r="A10" s="22">
        <v>6</v>
      </c>
      <c r="B10" s="20" t="s">
        <v>33</v>
      </c>
      <c r="C10" s="101" t="s">
        <v>34</v>
      </c>
      <c r="D10" s="37">
        <v>4378</v>
      </c>
      <c r="E10" s="37">
        <v>4182</v>
      </c>
      <c r="F10" s="37">
        <v>4225</v>
      </c>
      <c r="G10" s="37">
        <v>2700</v>
      </c>
      <c r="H10" s="37">
        <v>3104</v>
      </c>
      <c r="I10" s="37">
        <v>6178</v>
      </c>
      <c r="J10" s="37">
        <v>2929</v>
      </c>
      <c r="K10" s="37">
        <v>3198</v>
      </c>
      <c r="L10" s="37">
        <v>3081</v>
      </c>
      <c r="M10" s="37">
        <v>4205</v>
      </c>
      <c r="N10" s="37">
        <v>3650</v>
      </c>
      <c r="O10" s="37">
        <v>3930</v>
      </c>
      <c r="P10" s="102">
        <f>SUM(D10:O10)</f>
        <v>45760</v>
      </c>
      <c r="Q10" s="100"/>
    </row>
    <row r="11" spans="1:17" ht="30" customHeight="1" x14ac:dyDescent="0.25">
      <c r="A11" s="22">
        <v>7</v>
      </c>
      <c r="B11" s="20" t="s">
        <v>43</v>
      </c>
      <c r="C11" s="101" t="s">
        <v>44</v>
      </c>
      <c r="D11" s="37">
        <v>3295</v>
      </c>
      <c r="E11" s="37">
        <v>3215</v>
      </c>
      <c r="F11" s="37">
        <v>4000</v>
      </c>
      <c r="G11" s="37">
        <v>2908</v>
      </c>
      <c r="H11" s="37">
        <v>2507</v>
      </c>
      <c r="I11" s="37">
        <v>3495</v>
      </c>
      <c r="J11" s="37">
        <v>4217</v>
      </c>
      <c r="K11" s="37">
        <v>2533</v>
      </c>
      <c r="L11" s="37">
        <v>2555</v>
      </c>
      <c r="M11" s="37">
        <v>3415</v>
      </c>
      <c r="N11" s="37">
        <v>2446</v>
      </c>
      <c r="O11" s="37">
        <v>2850</v>
      </c>
      <c r="P11" s="102">
        <f>SUM(D11:O11)</f>
        <v>37436</v>
      </c>
      <c r="Q11" s="100"/>
    </row>
    <row r="12" spans="1:17" ht="30" customHeight="1" x14ac:dyDescent="0.25">
      <c r="A12" s="22">
        <v>8</v>
      </c>
      <c r="B12" s="20" t="s">
        <v>51</v>
      </c>
      <c r="C12" s="101" t="s">
        <v>52</v>
      </c>
      <c r="D12" s="37">
        <v>1930</v>
      </c>
      <c r="E12" s="37">
        <v>1055</v>
      </c>
      <c r="F12" s="37">
        <v>4295</v>
      </c>
      <c r="G12" s="37">
        <v>2885</v>
      </c>
      <c r="H12" s="37">
        <v>2460</v>
      </c>
      <c r="I12" s="37">
        <v>3645</v>
      </c>
      <c r="J12" s="37">
        <v>4115</v>
      </c>
      <c r="K12" s="37">
        <v>4925</v>
      </c>
      <c r="L12" s="37">
        <v>2720</v>
      </c>
      <c r="M12" s="37">
        <v>3670</v>
      </c>
      <c r="N12" s="37">
        <v>840</v>
      </c>
      <c r="O12" s="37">
        <v>3690</v>
      </c>
      <c r="P12" s="102">
        <f>SUM(D12:O12)</f>
        <v>36230</v>
      </c>
      <c r="Q12" s="100"/>
    </row>
    <row r="13" spans="1:17" ht="30" customHeight="1" x14ac:dyDescent="0.25">
      <c r="A13" s="22">
        <v>9</v>
      </c>
      <c r="B13" s="20" t="s">
        <v>57</v>
      </c>
      <c r="C13" s="101" t="s">
        <v>58</v>
      </c>
      <c r="D13" s="37">
        <v>2030</v>
      </c>
      <c r="E13" s="37">
        <v>3060</v>
      </c>
      <c r="F13" s="37">
        <v>3635</v>
      </c>
      <c r="G13" s="37">
        <v>2105</v>
      </c>
      <c r="H13" s="37">
        <v>1980</v>
      </c>
      <c r="I13" s="37">
        <v>3713</v>
      </c>
      <c r="J13" s="37">
        <v>4105</v>
      </c>
      <c r="K13" s="37">
        <v>1447</v>
      </c>
      <c r="L13" s="37">
        <v>3025</v>
      </c>
      <c r="M13" s="37">
        <v>3845</v>
      </c>
      <c r="N13" s="37">
        <v>3495</v>
      </c>
      <c r="O13" s="37">
        <v>1785</v>
      </c>
      <c r="P13" s="102">
        <f>SUM(D13:O13)</f>
        <v>34225</v>
      </c>
      <c r="Q13" s="100"/>
    </row>
    <row r="14" spans="1:17" ht="30" customHeight="1" x14ac:dyDescent="0.25">
      <c r="A14" s="22">
        <v>10</v>
      </c>
      <c r="B14" s="20" t="s">
        <v>29</v>
      </c>
      <c r="C14" s="101" t="s">
        <v>30</v>
      </c>
      <c r="D14" s="37">
        <v>3022</v>
      </c>
      <c r="E14" s="37">
        <v>3027</v>
      </c>
      <c r="F14" s="37">
        <v>4011</v>
      </c>
      <c r="G14" s="37">
        <v>1780</v>
      </c>
      <c r="H14" s="37">
        <v>2105</v>
      </c>
      <c r="I14" s="37">
        <v>2485</v>
      </c>
      <c r="J14" s="37">
        <v>4035</v>
      </c>
      <c r="K14" s="37">
        <v>1530</v>
      </c>
      <c r="L14" s="37">
        <v>1925</v>
      </c>
      <c r="M14" s="37">
        <v>1755</v>
      </c>
      <c r="N14" s="37">
        <v>1960</v>
      </c>
      <c r="O14" s="37">
        <v>3230</v>
      </c>
      <c r="P14" s="102">
        <f>SUM(D14:O14)</f>
        <v>30865</v>
      </c>
      <c r="Q14" s="100"/>
    </row>
    <row r="15" spans="1:17" ht="30" customHeight="1" x14ac:dyDescent="0.25">
      <c r="A15" s="22">
        <v>11</v>
      </c>
      <c r="B15" s="20" t="s">
        <v>5</v>
      </c>
      <c r="C15" s="101" t="s">
        <v>6</v>
      </c>
      <c r="D15" s="37">
        <v>4081</v>
      </c>
      <c r="E15" s="37">
        <v>2249</v>
      </c>
      <c r="F15" s="37">
        <v>3110</v>
      </c>
      <c r="G15" s="37">
        <v>1720</v>
      </c>
      <c r="H15" s="37">
        <v>2513</v>
      </c>
      <c r="I15" s="37">
        <v>3542</v>
      </c>
      <c r="J15" s="37">
        <v>1003</v>
      </c>
      <c r="K15" s="37">
        <v>3747</v>
      </c>
      <c r="L15" s="37">
        <v>1450</v>
      </c>
      <c r="M15" s="37">
        <v>1655</v>
      </c>
      <c r="N15" s="37">
        <v>1935</v>
      </c>
      <c r="O15" s="37">
        <v>2700</v>
      </c>
      <c r="P15" s="102">
        <f>SUM(D15:O15)</f>
        <v>29705</v>
      </c>
      <c r="Q15" s="100"/>
    </row>
    <row r="16" spans="1:17" ht="30" customHeight="1" x14ac:dyDescent="0.25">
      <c r="A16" s="22">
        <v>12</v>
      </c>
      <c r="B16" s="20" t="s">
        <v>17</v>
      </c>
      <c r="C16" s="101" t="s">
        <v>18</v>
      </c>
      <c r="D16" s="37">
        <v>2340</v>
      </c>
      <c r="E16" s="37">
        <v>2275</v>
      </c>
      <c r="F16" s="37">
        <v>3745</v>
      </c>
      <c r="G16" s="37">
        <v>2615</v>
      </c>
      <c r="H16" s="37">
        <v>1929</v>
      </c>
      <c r="I16" s="37">
        <v>2581</v>
      </c>
      <c r="J16" s="37">
        <v>2290</v>
      </c>
      <c r="K16" s="37">
        <v>2175</v>
      </c>
      <c r="L16" s="37">
        <v>2405</v>
      </c>
      <c r="M16" s="37">
        <v>2245</v>
      </c>
      <c r="N16" s="37">
        <v>1995</v>
      </c>
      <c r="O16" s="37">
        <v>1610</v>
      </c>
      <c r="P16" s="102">
        <f>SUM(D16:O16)</f>
        <v>28205</v>
      </c>
      <c r="Q16" s="100"/>
    </row>
    <row r="17" spans="1:17" ht="30" customHeight="1" x14ac:dyDescent="0.25">
      <c r="A17" s="22">
        <v>13</v>
      </c>
      <c r="B17" s="20" t="s">
        <v>55</v>
      </c>
      <c r="C17" s="101" t="s">
        <v>56</v>
      </c>
      <c r="D17" s="37">
        <v>2160</v>
      </c>
      <c r="E17" s="37">
        <v>1625</v>
      </c>
      <c r="F17" s="37">
        <v>2570</v>
      </c>
      <c r="G17" s="37">
        <v>1475</v>
      </c>
      <c r="H17" s="37">
        <v>2025</v>
      </c>
      <c r="I17" s="37">
        <v>1920</v>
      </c>
      <c r="J17" s="37">
        <v>4263</v>
      </c>
      <c r="K17" s="37">
        <v>2277</v>
      </c>
      <c r="L17" s="37">
        <v>1390</v>
      </c>
      <c r="M17" s="37">
        <v>2720</v>
      </c>
      <c r="N17" s="37">
        <v>2450</v>
      </c>
      <c r="O17" s="37">
        <v>825</v>
      </c>
      <c r="P17" s="102">
        <f>SUM(D17:O17)</f>
        <v>25700</v>
      </c>
      <c r="Q17" s="100"/>
    </row>
    <row r="18" spans="1:17" ht="30" customHeight="1" x14ac:dyDescent="0.25">
      <c r="A18" s="22">
        <v>14</v>
      </c>
      <c r="B18" s="20" t="s">
        <v>31</v>
      </c>
      <c r="C18" s="101" t="s">
        <v>32</v>
      </c>
      <c r="D18" s="37">
        <v>3979</v>
      </c>
      <c r="E18" s="37">
        <v>3010</v>
      </c>
      <c r="F18" s="37">
        <v>3700</v>
      </c>
      <c r="G18" s="37">
        <v>1860</v>
      </c>
      <c r="H18" s="37">
        <v>1754</v>
      </c>
      <c r="I18" s="37">
        <v>1041</v>
      </c>
      <c r="J18" s="37">
        <v>2758</v>
      </c>
      <c r="K18" s="37">
        <v>1503</v>
      </c>
      <c r="L18" s="37">
        <v>1113</v>
      </c>
      <c r="M18" s="37">
        <v>1250</v>
      </c>
      <c r="N18" s="37">
        <v>1720</v>
      </c>
      <c r="O18" s="37">
        <v>1700</v>
      </c>
      <c r="P18" s="102">
        <f>SUM(D18:O18)</f>
        <v>25388</v>
      </c>
      <c r="Q18" s="100"/>
    </row>
    <row r="19" spans="1:17" ht="30" customHeight="1" x14ac:dyDescent="0.25">
      <c r="A19" s="22">
        <v>15</v>
      </c>
      <c r="B19" s="20" t="s">
        <v>61</v>
      </c>
      <c r="C19" s="101" t="s">
        <v>62</v>
      </c>
      <c r="D19" s="37">
        <v>3335</v>
      </c>
      <c r="E19" s="37">
        <v>3235</v>
      </c>
      <c r="F19" s="37">
        <v>3900</v>
      </c>
      <c r="G19" s="37">
        <v>1846</v>
      </c>
      <c r="H19" s="37">
        <v>1369</v>
      </c>
      <c r="I19" s="37">
        <v>1470</v>
      </c>
      <c r="J19" s="37">
        <v>595</v>
      </c>
      <c r="K19" s="37">
        <v>2210</v>
      </c>
      <c r="L19" s="37">
        <v>1555</v>
      </c>
      <c r="M19" s="37">
        <v>1305</v>
      </c>
      <c r="N19" s="37">
        <v>1410</v>
      </c>
      <c r="O19" s="37">
        <v>2430</v>
      </c>
      <c r="P19" s="102">
        <f>SUM(D19:O19)</f>
        <v>24660</v>
      </c>
      <c r="Q19" s="100"/>
    </row>
    <row r="20" spans="1:17" ht="30" customHeight="1" x14ac:dyDescent="0.25">
      <c r="A20" s="22">
        <v>16</v>
      </c>
      <c r="B20" s="20" t="s">
        <v>25</v>
      </c>
      <c r="C20" s="101" t="s">
        <v>26</v>
      </c>
      <c r="D20" s="37">
        <v>1660</v>
      </c>
      <c r="E20" s="37">
        <v>1830</v>
      </c>
      <c r="F20" s="37">
        <v>2080</v>
      </c>
      <c r="G20" s="37">
        <v>1920</v>
      </c>
      <c r="H20" s="37">
        <v>1765</v>
      </c>
      <c r="I20" s="37">
        <v>2110</v>
      </c>
      <c r="J20" s="37">
        <v>1205</v>
      </c>
      <c r="K20" s="37">
        <v>2410</v>
      </c>
      <c r="L20" s="37">
        <v>2770</v>
      </c>
      <c r="M20" s="37">
        <v>1325</v>
      </c>
      <c r="N20" s="37">
        <v>1865</v>
      </c>
      <c r="O20" s="37">
        <v>1940</v>
      </c>
      <c r="P20" s="102">
        <f>SUM(D20:O20)</f>
        <v>22880</v>
      </c>
      <c r="Q20" s="100"/>
    </row>
    <row r="21" spans="1:17" ht="30" customHeight="1" x14ac:dyDescent="0.25">
      <c r="A21" s="22">
        <v>17</v>
      </c>
      <c r="B21" s="20" t="s">
        <v>27</v>
      </c>
      <c r="C21" s="101" t="s">
        <v>28</v>
      </c>
      <c r="D21" s="37">
        <v>1575</v>
      </c>
      <c r="E21" s="37">
        <v>1815</v>
      </c>
      <c r="F21" s="37">
        <v>2290</v>
      </c>
      <c r="G21" s="37">
        <v>1129</v>
      </c>
      <c r="H21" s="37">
        <v>2686</v>
      </c>
      <c r="I21" s="37">
        <v>2645</v>
      </c>
      <c r="J21" s="37">
        <v>1825</v>
      </c>
      <c r="K21" s="37">
        <v>1565</v>
      </c>
      <c r="L21" s="37">
        <v>1880</v>
      </c>
      <c r="M21" s="37">
        <v>1470</v>
      </c>
      <c r="N21" s="37">
        <v>2860</v>
      </c>
      <c r="O21" s="37">
        <v>1040</v>
      </c>
      <c r="P21" s="102">
        <f>SUM(D21:O21)</f>
        <v>22780</v>
      </c>
      <c r="Q21" s="100"/>
    </row>
    <row r="22" spans="1:17" ht="30" customHeight="1" x14ac:dyDescent="0.25">
      <c r="A22" s="22">
        <v>18</v>
      </c>
      <c r="B22" s="20" t="s">
        <v>9</v>
      </c>
      <c r="C22" s="101" t="s">
        <v>10</v>
      </c>
      <c r="D22" s="37">
        <v>1840</v>
      </c>
      <c r="E22" s="37">
        <v>2170</v>
      </c>
      <c r="F22" s="37">
        <v>2435</v>
      </c>
      <c r="G22" s="37">
        <v>2035</v>
      </c>
      <c r="H22" s="37">
        <v>2135</v>
      </c>
      <c r="I22" s="37">
        <v>1785</v>
      </c>
      <c r="J22" s="37">
        <v>1912</v>
      </c>
      <c r="K22" s="37">
        <v>2308</v>
      </c>
      <c r="L22" s="37">
        <v>740</v>
      </c>
      <c r="M22" s="37">
        <v>2335</v>
      </c>
      <c r="N22" s="37">
        <v>1425</v>
      </c>
      <c r="O22" s="37">
        <v>1210</v>
      </c>
      <c r="P22" s="102">
        <f>SUM(D22:O22)</f>
        <v>22330</v>
      </c>
      <c r="Q22" s="100"/>
    </row>
    <row r="23" spans="1:17" ht="30" customHeight="1" x14ac:dyDescent="0.25">
      <c r="A23" s="22">
        <v>19</v>
      </c>
      <c r="B23" s="20" t="s">
        <v>49</v>
      </c>
      <c r="C23" s="101" t="s">
        <v>50</v>
      </c>
      <c r="D23" s="37">
        <v>1860</v>
      </c>
      <c r="E23" s="37">
        <v>1450</v>
      </c>
      <c r="F23" s="37">
        <v>2220</v>
      </c>
      <c r="G23" s="37">
        <v>1095</v>
      </c>
      <c r="H23" s="37">
        <v>1160</v>
      </c>
      <c r="I23" s="37">
        <v>1767</v>
      </c>
      <c r="J23" s="37">
        <v>2723</v>
      </c>
      <c r="K23" s="37">
        <v>455</v>
      </c>
      <c r="L23" s="37">
        <v>1255</v>
      </c>
      <c r="M23" s="37">
        <v>1585</v>
      </c>
      <c r="N23" s="37">
        <v>1450</v>
      </c>
      <c r="O23" s="37">
        <v>1640</v>
      </c>
      <c r="P23" s="102">
        <f>SUM(D23:O23)</f>
        <v>18660</v>
      </c>
      <c r="Q23" s="100"/>
    </row>
    <row r="24" spans="1:17" ht="30" customHeight="1" x14ac:dyDescent="0.25">
      <c r="A24" s="22">
        <v>20</v>
      </c>
      <c r="B24" s="20" t="s">
        <v>15</v>
      </c>
      <c r="C24" s="101" t="s">
        <v>16</v>
      </c>
      <c r="D24" s="37">
        <v>2020</v>
      </c>
      <c r="E24" s="37">
        <v>1313</v>
      </c>
      <c r="F24" s="37">
        <v>1982</v>
      </c>
      <c r="G24" s="37">
        <v>1905</v>
      </c>
      <c r="H24" s="37">
        <v>985</v>
      </c>
      <c r="I24" s="37">
        <v>1430</v>
      </c>
      <c r="J24" s="37">
        <v>1900</v>
      </c>
      <c r="K24" s="37">
        <v>1085</v>
      </c>
      <c r="L24" s="37">
        <v>960</v>
      </c>
      <c r="M24" s="37">
        <v>2485</v>
      </c>
      <c r="N24" s="37">
        <v>1390</v>
      </c>
      <c r="O24" s="37">
        <v>1130</v>
      </c>
      <c r="P24" s="102">
        <f>SUM(D24:O24)</f>
        <v>18585</v>
      </c>
      <c r="Q24" s="100"/>
    </row>
    <row r="25" spans="1:17" ht="30" customHeight="1" x14ac:dyDescent="0.25">
      <c r="A25" s="22">
        <v>21</v>
      </c>
      <c r="B25" s="20" t="s">
        <v>47</v>
      </c>
      <c r="C25" s="101" t="s">
        <v>48</v>
      </c>
      <c r="D25" s="37">
        <v>1225</v>
      </c>
      <c r="E25" s="37">
        <v>1910</v>
      </c>
      <c r="F25" s="37">
        <v>1770</v>
      </c>
      <c r="G25" s="37">
        <v>1195</v>
      </c>
      <c r="H25" s="37">
        <v>1640</v>
      </c>
      <c r="I25" s="37">
        <v>577</v>
      </c>
      <c r="J25" s="37">
        <v>2177</v>
      </c>
      <c r="K25" s="37">
        <v>1331</v>
      </c>
      <c r="L25" s="37">
        <v>1390</v>
      </c>
      <c r="M25" s="37">
        <v>1655</v>
      </c>
      <c r="N25" s="37">
        <v>1610</v>
      </c>
      <c r="O25" s="37">
        <v>730</v>
      </c>
      <c r="P25" s="102">
        <f>SUM(D25:O25)</f>
        <v>17210</v>
      </c>
      <c r="Q25" s="100"/>
    </row>
    <row r="26" spans="1:17" ht="30" customHeight="1" x14ac:dyDescent="0.25">
      <c r="A26" s="22">
        <v>22</v>
      </c>
      <c r="B26" s="20" t="s">
        <v>21</v>
      </c>
      <c r="C26" s="101" t="s">
        <v>22</v>
      </c>
      <c r="D26" s="37">
        <v>760</v>
      </c>
      <c r="E26" s="37">
        <v>410</v>
      </c>
      <c r="F26" s="37">
        <v>350</v>
      </c>
      <c r="G26" s="37">
        <v>1150</v>
      </c>
      <c r="H26" s="37">
        <v>2050</v>
      </c>
      <c r="I26" s="37">
        <v>3463</v>
      </c>
      <c r="J26" s="37">
        <v>2676</v>
      </c>
      <c r="K26" s="37">
        <v>2908</v>
      </c>
      <c r="L26" s="37">
        <v>125</v>
      </c>
      <c r="M26" s="37">
        <v>730</v>
      </c>
      <c r="N26" s="37">
        <v>590</v>
      </c>
      <c r="O26" s="37">
        <v>640</v>
      </c>
      <c r="P26" s="102">
        <f>SUM(D26:O26)</f>
        <v>15852</v>
      </c>
      <c r="Q26" s="100"/>
    </row>
    <row r="27" spans="1:17" ht="30" customHeight="1" x14ac:dyDescent="0.25">
      <c r="A27" s="22">
        <v>23</v>
      </c>
      <c r="B27" s="20" t="s">
        <v>1</v>
      </c>
      <c r="C27" s="101" t="s">
        <v>2</v>
      </c>
      <c r="D27" s="37">
        <v>865</v>
      </c>
      <c r="E27" s="37">
        <v>1000</v>
      </c>
      <c r="F27" s="37">
        <v>1990</v>
      </c>
      <c r="G27" s="37">
        <v>960</v>
      </c>
      <c r="H27" s="37">
        <v>1090</v>
      </c>
      <c r="I27" s="37">
        <v>1262</v>
      </c>
      <c r="J27" s="37">
        <v>685</v>
      </c>
      <c r="K27" s="37">
        <v>1843</v>
      </c>
      <c r="L27" s="37">
        <v>1350</v>
      </c>
      <c r="M27" s="37">
        <v>995</v>
      </c>
      <c r="N27" s="37">
        <v>1155</v>
      </c>
      <c r="O27" s="37">
        <v>1240</v>
      </c>
      <c r="P27" s="102">
        <f>SUM(D27:O27)</f>
        <v>14435</v>
      </c>
      <c r="Q27" s="100"/>
    </row>
    <row r="28" spans="1:17" ht="30" customHeight="1" x14ac:dyDescent="0.25">
      <c r="A28" s="22">
        <v>24</v>
      </c>
      <c r="B28" s="20" t="s">
        <v>53</v>
      </c>
      <c r="C28" s="101" t="s">
        <v>54</v>
      </c>
      <c r="D28" s="37">
        <v>540</v>
      </c>
      <c r="E28" s="37">
        <v>700</v>
      </c>
      <c r="F28" s="37">
        <v>960</v>
      </c>
      <c r="G28" s="37">
        <v>250</v>
      </c>
      <c r="H28" s="37">
        <v>1105</v>
      </c>
      <c r="I28" s="37">
        <v>1935</v>
      </c>
      <c r="J28" s="37">
        <v>3035</v>
      </c>
      <c r="K28" s="37">
        <v>1405</v>
      </c>
      <c r="L28" s="37">
        <v>320</v>
      </c>
      <c r="M28" s="37">
        <v>825</v>
      </c>
      <c r="N28" s="37">
        <v>630</v>
      </c>
      <c r="O28" s="37">
        <v>650</v>
      </c>
      <c r="P28" s="102">
        <f>SUM(D28:O28)</f>
        <v>12355</v>
      </c>
      <c r="Q28" s="100"/>
    </row>
    <row r="29" spans="1:17" ht="30" customHeight="1" x14ac:dyDescent="0.25">
      <c r="A29" s="22">
        <v>25</v>
      </c>
      <c r="B29" s="20" t="s">
        <v>11</v>
      </c>
      <c r="C29" s="101" t="s">
        <v>12</v>
      </c>
      <c r="D29" s="37">
        <v>1690</v>
      </c>
      <c r="E29" s="37">
        <v>740</v>
      </c>
      <c r="F29" s="37">
        <v>1360</v>
      </c>
      <c r="G29" s="37">
        <v>1165</v>
      </c>
      <c r="H29" s="37">
        <v>550</v>
      </c>
      <c r="I29" s="37">
        <v>575</v>
      </c>
      <c r="J29" s="37">
        <v>925</v>
      </c>
      <c r="K29" s="37">
        <v>120</v>
      </c>
      <c r="L29" s="37">
        <v>640</v>
      </c>
      <c r="M29" s="37">
        <v>1145</v>
      </c>
      <c r="N29" s="37">
        <v>535</v>
      </c>
      <c r="O29" s="37">
        <v>1500</v>
      </c>
      <c r="P29" s="102">
        <f>SUM(D29:O29)</f>
        <v>10945</v>
      </c>
      <c r="Q29" s="100"/>
    </row>
    <row r="30" spans="1:17" ht="30" customHeight="1" x14ac:dyDescent="0.25">
      <c r="A30" s="22">
        <v>26</v>
      </c>
      <c r="B30" s="20" t="s">
        <v>65</v>
      </c>
      <c r="C30" s="101" t="s">
        <v>66</v>
      </c>
      <c r="D30" s="37">
        <v>795</v>
      </c>
      <c r="E30" s="37">
        <v>830</v>
      </c>
      <c r="F30" s="37">
        <v>1095</v>
      </c>
      <c r="G30" s="37">
        <v>577</v>
      </c>
      <c r="H30" s="37">
        <v>1053</v>
      </c>
      <c r="I30" s="37">
        <v>570</v>
      </c>
      <c r="J30" s="37">
        <v>90</v>
      </c>
      <c r="K30" s="37">
        <v>1435</v>
      </c>
      <c r="L30" s="37">
        <v>700</v>
      </c>
      <c r="M30" s="37">
        <v>565</v>
      </c>
      <c r="N30" s="37">
        <v>855</v>
      </c>
      <c r="O30" s="37">
        <v>585</v>
      </c>
      <c r="P30" s="102">
        <f>SUM(D30:O30)</f>
        <v>9150</v>
      </c>
      <c r="Q30" s="100"/>
    </row>
    <row r="31" spans="1:17" ht="30" customHeight="1" x14ac:dyDescent="0.25">
      <c r="A31" s="22">
        <v>27</v>
      </c>
      <c r="B31" s="20" t="s">
        <v>59</v>
      </c>
      <c r="C31" s="101" t="s">
        <v>60</v>
      </c>
      <c r="D31" s="37">
        <v>725</v>
      </c>
      <c r="E31" s="37">
        <v>540</v>
      </c>
      <c r="F31" s="37">
        <v>1280</v>
      </c>
      <c r="G31" s="37">
        <v>1145</v>
      </c>
      <c r="H31" s="37">
        <v>420</v>
      </c>
      <c r="I31" s="37">
        <v>240</v>
      </c>
      <c r="J31" s="37">
        <v>45</v>
      </c>
      <c r="K31" s="37">
        <v>910</v>
      </c>
      <c r="L31" s="37">
        <v>795</v>
      </c>
      <c r="M31" s="37">
        <v>385</v>
      </c>
      <c r="N31" s="37">
        <v>310</v>
      </c>
      <c r="O31" s="37">
        <v>760</v>
      </c>
      <c r="P31" s="102">
        <f>SUM(D31:O31)</f>
        <v>7555</v>
      </c>
      <c r="Q31" s="100"/>
    </row>
    <row r="32" spans="1:17" ht="30" customHeight="1" x14ac:dyDescent="0.25">
      <c r="A32" s="22">
        <v>28</v>
      </c>
      <c r="B32" s="20" t="s">
        <v>63</v>
      </c>
      <c r="C32" s="101" t="s">
        <v>64</v>
      </c>
      <c r="D32" s="37">
        <v>740</v>
      </c>
      <c r="E32" s="37">
        <v>590</v>
      </c>
      <c r="F32" s="37">
        <v>950</v>
      </c>
      <c r="G32" s="37">
        <v>500</v>
      </c>
      <c r="H32" s="37">
        <v>540</v>
      </c>
      <c r="I32" s="37">
        <v>550</v>
      </c>
      <c r="J32" s="37">
        <v>650</v>
      </c>
      <c r="K32" s="37">
        <v>310</v>
      </c>
      <c r="L32" s="37">
        <v>425</v>
      </c>
      <c r="M32" s="37">
        <v>310</v>
      </c>
      <c r="N32" s="37">
        <v>700</v>
      </c>
      <c r="O32" s="37">
        <v>480</v>
      </c>
      <c r="P32" s="102">
        <f>SUM(D32:O32)</f>
        <v>6745</v>
      </c>
      <c r="Q32" s="100"/>
    </row>
    <row r="33" spans="1:17" ht="30" customHeight="1" x14ac:dyDescent="0.25">
      <c r="A33" s="22">
        <v>29</v>
      </c>
      <c r="B33" s="20" t="s">
        <v>69</v>
      </c>
      <c r="C33" s="101" t="s">
        <v>70</v>
      </c>
      <c r="D33" s="37">
        <v>845</v>
      </c>
      <c r="E33" s="37">
        <v>835</v>
      </c>
      <c r="F33" s="37">
        <v>1040</v>
      </c>
      <c r="G33" s="37">
        <v>165</v>
      </c>
      <c r="H33" s="37">
        <v>365</v>
      </c>
      <c r="I33" s="37">
        <v>440</v>
      </c>
      <c r="J33" s="37">
        <v>145</v>
      </c>
      <c r="K33" s="37">
        <v>475</v>
      </c>
      <c r="L33" s="37">
        <v>370</v>
      </c>
      <c r="M33" s="37">
        <v>745</v>
      </c>
      <c r="N33" s="37">
        <v>195</v>
      </c>
      <c r="O33" s="37">
        <v>290</v>
      </c>
      <c r="P33" s="102">
        <f>SUM(D33:O33)</f>
        <v>5910</v>
      </c>
      <c r="Q33" s="100"/>
    </row>
    <row r="34" spans="1:17" ht="30" customHeight="1" x14ac:dyDescent="0.25">
      <c r="A34" s="22">
        <v>30</v>
      </c>
      <c r="B34" s="20" t="s">
        <v>19</v>
      </c>
      <c r="C34" s="101" t="s">
        <v>20</v>
      </c>
      <c r="D34" s="37">
        <v>550</v>
      </c>
      <c r="E34" s="37">
        <v>650</v>
      </c>
      <c r="F34" s="37">
        <v>50</v>
      </c>
      <c r="G34" s="37">
        <v>560</v>
      </c>
      <c r="H34" s="37">
        <v>700</v>
      </c>
      <c r="I34" s="37">
        <v>460</v>
      </c>
      <c r="J34" s="37">
        <v>20</v>
      </c>
      <c r="K34" s="37">
        <v>520</v>
      </c>
      <c r="L34" s="37">
        <v>50</v>
      </c>
      <c r="M34" s="37">
        <v>295</v>
      </c>
      <c r="N34" s="37">
        <v>260</v>
      </c>
      <c r="O34" s="37"/>
      <c r="P34" s="102">
        <f>SUM(D34:O34)</f>
        <v>4115</v>
      </c>
      <c r="Q34" s="100"/>
    </row>
    <row r="35" spans="1:17" ht="30" customHeight="1" x14ac:dyDescent="0.25">
      <c r="A35" s="22">
        <v>31</v>
      </c>
      <c r="B35" s="20" t="s">
        <v>67</v>
      </c>
      <c r="C35" s="101" t="s">
        <v>68</v>
      </c>
      <c r="D35" s="37">
        <v>670</v>
      </c>
      <c r="E35" s="37">
        <v>735</v>
      </c>
      <c r="F35" s="37">
        <v>804</v>
      </c>
      <c r="G35" s="37">
        <v>116</v>
      </c>
      <c r="H35" s="37">
        <v>160</v>
      </c>
      <c r="I35" s="37">
        <v>170</v>
      </c>
      <c r="J35" s="37">
        <v>190</v>
      </c>
      <c r="K35" s="37">
        <v>240</v>
      </c>
      <c r="L35" s="37">
        <v>120</v>
      </c>
      <c r="M35" s="37">
        <v>470</v>
      </c>
      <c r="N35" s="37">
        <v>250</v>
      </c>
      <c r="O35" s="37">
        <v>65</v>
      </c>
      <c r="P35" s="102">
        <f>SUM(D35:O35)</f>
        <v>3990</v>
      </c>
      <c r="Q35" s="100"/>
    </row>
    <row r="36" spans="1:17" ht="30" customHeight="1" x14ac:dyDescent="0.25">
      <c r="A36" s="22">
        <v>32</v>
      </c>
      <c r="B36" s="20" t="s">
        <v>3</v>
      </c>
      <c r="C36" s="101" t="s">
        <v>4</v>
      </c>
      <c r="D36" s="37">
        <v>350</v>
      </c>
      <c r="E36" s="37">
        <v>20</v>
      </c>
      <c r="F36" s="37">
        <v>330</v>
      </c>
      <c r="G36" s="37">
        <v>125</v>
      </c>
      <c r="H36" s="37">
        <v>310</v>
      </c>
      <c r="I36" s="37">
        <v>120</v>
      </c>
      <c r="J36" s="37">
        <v>165</v>
      </c>
      <c r="K36" s="37">
        <v>570</v>
      </c>
      <c r="L36" s="37">
        <v>100</v>
      </c>
      <c r="M36" s="37">
        <v>485</v>
      </c>
      <c r="N36" s="37">
        <v>339</v>
      </c>
      <c r="O36" s="37">
        <v>90</v>
      </c>
      <c r="P36" s="102">
        <f>SUM(D36:O36)</f>
        <v>3004</v>
      </c>
      <c r="Q36" s="100"/>
    </row>
    <row r="37" spans="1:17" ht="30" customHeight="1" x14ac:dyDescent="0.25">
      <c r="A37" s="22">
        <v>33</v>
      </c>
      <c r="B37" s="20" t="s">
        <v>37</v>
      </c>
      <c r="C37" s="101" t="s">
        <v>38</v>
      </c>
      <c r="D37" s="37"/>
      <c r="E37" s="37">
        <v>120</v>
      </c>
      <c r="F37" s="37">
        <v>320</v>
      </c>
      <c r="G37" s="37">
        <v>5</v>
      </c>
      <c r="H37" s="37">
        <v>260</v>
      </c>
      <c r="I37" s="37"/>
      <c r="J37" s="37">
        <v>20</v>
      </c>
      <c r="K37" s="37">
        <v>50</v>
      </c>
      <c r="L37" s="37"/>
      <c r="M37" s="37">
        <v>205</v>
      </c>
      <c r="N37" s="37">
        <v>25</v>
      </c>
      <c r="O37" s="37">
        <v>30</v>
      </c>
      <c r="P37" s="102">
        <f>SUM(D37:O37)</f>
        <v>1035</v>
      </c>
      <c r="Q37" s="100"/>
    </row>
    <row r="38" spans="1:17" ht="30" customHeight="1" x14ac:dyDescent="0.25">
      <c r="A38" s="22">
        <v>34</v>
      </c>
      <c r="B38" s="20" t="s">
        <v>77</v>
      </c>
      <c r="C38" s="101" t="s">
        <v>250</v>
      </c>
      <c r="D38" s="37">
        <v>370</v>
      </c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102">
        <f>SUM(D38:O38)</f>
        <v>370</v>
      </c>
      <c r="Q38" s="100"/>
    </row>
    <row r="39" spans="1:17" ht="30" customHeight="1" x14ac:dyDescent="0.25">
      <c r="A39" s="22">
        <v>35</v>
      </c>
      <c r="B39" s="20" t="s">
        <v>71</v>
      </c>
      <c r="C39" s="101" t="s">
        <v>72</v>
      </c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>
        <v>250</v>
      </c>
      <c r="P39" s="102">
        <f>SUM(D39:O39)</f>
        <v>250</v>
      </c>
      <c r="Q39" s="100"/>
    </row>
    <row r="40" spans="1:17" ht="30" customHeight="1" x14ac:dyDescent="0.25">
      <c r="A40" s="22">
        <v>36</v>
      </c>
      <c r="B40" s="20" t="s">
        <v>41</v>
      </c>
      <c r="C40" s="101" t="s">
        <v>42</v>
      </c>
      <c r="D40" s="37"/>
      <c r="E40" s="37">
        <v>30</v>
      </c>
      <c r="F40" s="37">
        <v>30</v>
      </c>
      <c r="G40" s="37"/>
      <c r="H40" s="37">
        <v>60</v>
      </c>
      <c r="I40" s="37">
        <v>30</v>
      </c>
      <c r="J40" s="37"/>
      <c r="K40" s="37"/>
      <c r="L40" s="37">
        <v>30</v>
      </c>
      <c r="M40" s="37">
        <v>30</v>
      </c>
      <c r="N40" s="37"/>
      <c r="O40" s="37"/>
      <c r="P40" s="102">
        <f>SUM(D40:O40)</f>
        <v>210</v>
      </c>
      <c r="Q40" s="100"/>
    </row>
    <row r="41" spans="1:17" s="2" customFormat="1" ht="30" customHeight="1" x14ac:dyDescent="0.25">
      <c r="A41" s="186" t="s">
        <v>289</v>
      </c>
      <c r="B41" s="186"/>
      <c r="C41" s="186"/>
      <c r="D41" s="86">
        <f>SUM(D5:D40)</f>
        <v>77012</v>
      </c>
      <c r="E41" s="86">
        <f>SUM(E5:E40)</f>
        <v>73259</v>
      </c>
      <c r="F41" s="86">
        <f>SUM(F5:F40)</f>
        <v>92786</v>
      </c>
      <c r="G41" s="86">
        <f>SUM(G5:G40)</f>
        <v>61641</v>
      </c>
      <c r="H41" s="86">
        <f>SUM(H5:H40)</f>
        <v>63228</v>
      </c>
      <c r="I41" s="86">
        <f>SUM(I5:I40)</f>
        <v>81024</v>
      </c>
      <c r="J41" s="86">
        <f>SUM(J5:J40)</f>
        <v>86095</v>
      </c>
      <c r="K41" s="86">
        <f>SUM(K5:K40)</f>
        <v>69761</v>
      </c>
      <c r="L41" s="86">
        <f>SUM(L5:L40)</f>
        <v>51164</v>
      </c>
      <c r="M41" s="86">
        <f>SUM(M5:M40)</f>
        <v>68199</v>
      </c>
      <c r="N41" s="86">
        <f>SUM(N5:N40)</f>
        <v>63835</v>
      </c>
      <c r="O41" s="86">
        <f>SUM(O5:O40)</f>
        <v>60225</v>
      </c>
      <c r="P41" s="86">
        <f>SUM(P5:P40)</f>
        <v>848229</v>
      </c>
    </row>
    <row r="42" spans="1:17" s="75" customFormat="1" ht="30" customHeight="1" x14ac:dyDescent="0.25">
      <c r="A42" s="187" t="s">
        <v>290</v>
      </c>
      <c r="B42" s="187"/>
      <c r="C42" s="187"/>
      <c r="D42" s="87">
        <f>MAX(D5:D40)</f>
        <v>8500</v>
      </c>
      <c r="E42" s="87">
        <f>MAX(E5:E40)</f>
        <v>6765</v>
      </c>
      <c r="F42" s="87">
        <f>MAX(F5:F40)</f>
        <v>9190</v>
      </c>
      <c r="G42" s="87">
        <f>MAX(G5:G40)</f>
        <v>7550</v>
      </c>
      <c r="H42" s="87">
        <f>MAX(H5:H40)</f>
        <v>5870</v>
      </c>
      <c r="I42" s="87">
        <f>MAX(I5:I40)</f>
        <v>8376</v>
      </c>
      <c r="J42" s="87">
        <f>MAX(J5:J40)</f>
        <v>11658</v>
      </c>
      <c r="K42" s="87">
        <f>MAX(K5:K40)</f>
        <v>7711</v>
      </c>
      <c r="L42" s="87">
        <f>MAX(L5:L40)</f>
        <v>5215</v>
      </c>
      <c r="M42" s="87">
        <f>MAX(M5:M40)</f>
        <v>8260</v>
      </c>
      <c r="N42" s="87">
        <f>MAX(N5:N40)</f>
        <v>6950</v>
      </c>
      <c r="O42" s="87">
        <f>MAX(O5:O40)</f>
        <v>4890</v>
      </c>
      <c r="P42" s="87">
        <f>MAX(P5:P40)</f>
        <v>86215</v>
      </c>
    </row>
    <row r="43" spans="1:17" s="75" customFormat="1" ht="30" customHeight="1" x14ac:dyDescent="0.25">
      <c r="A43" s="188" t="s">
        <v>291</v>
      </c>
      <c r="B43" s="188"/>
      <c r="C43" s="188"/>
      <c r="D43" s="88">
        <f>MIN(D5:D40)</f>
        <v>350</v>
      </c>
      <c r="E43" s="88">
        <f>MIN(E5:E40)</f>
        <v>20</v>
      </c>
      <c r="F43" s="88">
        <f>MIN(F5:F40)</f>
        <v>30</v>
      </c>
      <c r="G43" s="88">
        <f>MIN(G5:G40)</f>
        <v>5</v>
      </c>
      <c r="H43" s="88">
        <f>MIN(H5:H40)</f>
        <v>60</v>
      </c>
      <c r="I43" s="88">
        <f>MIN(I5:I40)</f>
        <v>30</v>
      </c>
      <c r="J43" s="88">
        <f>MIN(J5:J40)</f>
        <v>20</v>
      </c>
      <c r="K43" s="88">
        <f>MIN(K5:K40)</f>
        <v>50</v>
      </c>
      <c r="L43" s="88">
        <f>MIN(L5:L40)</f>
        <v>30</v>
      </c>
      <c r="M43" s="88">
        <f>MIN(M5:M40)</f>
        <v>30</v>
      </c>
      <c r="N43" s="88">
        <f>MIN(N5:N40)</f>
        <v>25</v>
      </c>
      <c r="O43" s="88">
        <f>MIN(O5:O40)</f>
        <v>30</v>
      </c>
      <c r="P43" s="88">
        <f>MIN(P5:P40)</f>
        <v>210</v>
      </c>
    </row>
    <row r="44" spans="1:17" s="75" customFormat="1" ht="30" customHeight="1" x14ac:dyDescent="0.25">
      <c r="A44" s="189" t="s">
        <v>292</v>
      </c>
      <c r="B44" s="189"/>
      <c r="C44" s="189"/>
      <c r="D44" s="89">
        <f>AVERAGE(D5:D40)</f>
        <v>2333.6969696969695</v>
      </c>
      <c r="E44" s="89">
        <f>AVERAGE(E5:E40)</f>
        <v>2154.6764705882351</v>
      </c>
      <c r="F44" s="89">
        <f>AVERAGE(F5:F40)</f>
        <v>2729</v>
      </c>
      <c r="G44" s="89">
        <f>AVERAGE(G5:G40)</f>
        <v>1867.909090909091</v>
      </c>
      <c r="H44" s="89">
        <f>AVERAGE(H5:H40)</f>
        <v>1859.6470588235295</v>
      </c>
      <c r="I44" s="89">
        <f>AVERAGE(I5:I40)</f>
        <v>2455.2727272727275</v>
      </c>
      <c r="J44" s="89">
        <f>AVERAGE(J5:J40)</f>
        <v>2608.939393939394</v>
      </c>
      <c r="K44" s="89">
        <f>AVERAGE(K5:K40)</f>
        <v>2113.969696969697</v>
      </c>
      <c r="L44" s="89">
        <f>AVERAGE(L5:L40)</f>
        <v>1550.4242424242425</v>
      </c>
      <c r="M44" s="89">
        <f>AVERAGE(M5:M40)</f>
        <v>2005.8529411764705</v>
      </c>
      <c r="N44" s="89">
        <f>AVERAGE(N5:N40)</f>
        <v>1934.3939393939395</v>
      </c>
      <c r="O44" s="89">
        <f>AVERAGE(O5:O40)</f>
        <v>1825</v>
      </c>
      <c r="P44" s="89">
        <f>AVERAGE(P5:P40)</f>
        <v>23561.916666666668</v>
      </c>
    </row>
    <row r="45" spans="1:17" s="75" customFormat="1" ht="30" customHeight="1" x14ac:dyDescent="0.25">
      <c r="A45" s="190" t="s">
        <v>293</v>
      </c>
      <c r="B45" s="190"/>
      <c r="C45" s="190"/>
      <c r="D45" s="90">
        <f>COUNT(D5:D40)</f>
        <v>33</v>
      </c>
      <c r="E45" s="90">
        <f>COUNT(E5:E40)</f>
        <v>34</v>
      </c>
      <c r="F45" s="90">
        <f>COUNT(F5:F40)</f>
        <v>34</v>
      </c>
      <c r="G45" s="90">
        <f>COUNT(G5:G40)</f>
        <v>33</v>
      </c>
      <c r="H45" s="90">
        <f>COUNT(H5:H40)</f>
        <v>34</v>
      </c>
      <c r="I45" s="90">
        <f>COUNT(I5:I40)</f>
        <v>33</v>
      </c>
      <c r="J45" s="90">
        <f>COUNT(J5:J40)</f>
        <v>33</v>
      </c>
      <c r="K45" s="90">
        <f>COUNT(K5:K40)</f>
        <v>33</v>
      </c>
      <c r="L45" s="90">
        <f>COUNT(L5:L40)</f>
        <v>33</v>
      </c>
      <c r="M45" s="90">
        <f>COUNT(M5:M40)</f>
        <v>34</v>
      </c>
      <c r="N45" s="90">
        <f>COUNT(N5:N40)</f>
        <v>33</v>
      </c>
      <c r="O45" s="90">
        <f>COUNT(O5:O40)</f>
        <v>33</v>
      </c>
      <c r="P45" s="90">
        <f>COUNT(P5:P40)</f>
        <v>36</v>
      </c>
    </row>
    <row r="46" spans="1:17" ht="27" customHeight="1" x14ac:dyDescent="0.25"/>
    <row r="47" spans="1:17" ht="27" customHeight="1" x14ac:dyDescent="0.25"/>
    <row r="48" spans="1:17" ht="27" customHeight="1" x14ac:dyDescent="0.25"/>
    <row r="49" ht="27" customHeight="1" x14ac:dyDescent="0.25"/>
    <row r="50" ht="27" customHeight="1" x14ac:dyDescent="0.25"/>
    <row r="51" ht="27" customHeight="1" x14ac:dyDescent="0.25"/>
    <row r="52" ht="27" customHeight="1" x14ac:dyDescent="0.25"/>
    <row r="53" ht="27" customHeight="1" x14ac:dyDescent="0.25"/>
    <row r="54" ht="27" customHeight="1" x14ac:dyDescent="0.25"/>
    <row r="55" ht="27" customHeight="1" x14ac:dyDescent="0.25"/>
    <row r="56" ht="27" customHeight="1" x14ac:dyDescent="0.25"/>
    <row r="57" ht="27" customHeight="1" x14ac:dyDescent="0.25"/>
    <row r="58" ht="27" customHeight="1" x14ac:dyDescent="0.25"/>
    <row r="59" ht="27" customHeight="1" x14ac:dyDescent="0.25"/>
    <row r="60" ht="27" customHeight="1" x14ac:dyDescent="0.25"/>
    <row r="61" ht="27" customHeight="1" x14ac:dyDescent="0.25"/>
    <row r="62" ht="27" customHeight="1" x14ac:dyDescent="0.25"/>
    <row r="63" ht="27" customHeight="1" x14ac:dyDescent="0.25"/>
    <row r="64" ht="27" customHeight="1" x14ac:dyDescent="0.25"/>
    <row r="65" ht="27" customHeight="1" x14ac:dyDescent="0.25"/>
    <row r="66" ht="27" customHeight="1" x14ac:dyDescent="0.25"/>
    <row r="67" ht="27" customHeight="1" x14ac:dyDescent="0.25"/>
    <row r="68" ht="27" customHeight="1" x14ac:dyDescent="0.25"/>
    <row r="69" ht="27" customHeight="1" x14ac:dyDescent="0.25"/>
    <row r="70" ht="27" customHeight="1" x14ac:dyDescent="0.25"/>
    <row r="71" ht="27" customHeight="1" x14ac:dyDescent="0.25"/>
    <row r="72" ht="27" customHeight="1" x14ac:dyDescent="0.25"/>
    <row r="73" ht="27" customHeight="1" x14ac:dyDescent="0.25"/>
    <row r="74" ht="27" customHeight="1" x14ac:dyDescent="0.25"/>
    <row r="75" ht="27" customHeight="1" x14ac:dyDescent="0.25"/>
    <row r="76" ht="27" customHeight="1" x14ac:dyDescent="0.25"/>
    <row r="77" ht="27" customHeight="1" x14ac:dyDescent="0.25"/>
    <row r="78" ht="27" customHeight="1" x14ac:dyDescent="0.25"/>
    <row r="79" ht="27" customHeight="1" x14ac:dyDescent="0.25"/>
    <row r="80" ht="27" customHeight="1" x14ac:dyDescent="0.25"/>
    <row r="81" ht="27" customHeight="1" x14ac:dyDescent="0.25"/>
    <row r="82" ht="27" customHeight="1" x14ac:dyDescent="0.25"/>
    <row r="83" ht="27" customHeight="1" x14ac:dyDescent="0.25"/>
    <row r="84" ht="27" customHeight="1" x14ac:dyDescent="0.25"/>
    <row r="85" ht="27" customHeight="1" x14ac:dyDescent="0.25"/>
    <row r="86" ht="27" customHeight="1" x14ac:dyDescent="0.25"/>
    <row r="87" ht="27" customHeight="1" x14ac:dyDescent="0.25"/>
    <row r="88" ht="27" customHeight="1" x14ac:dyDescent="0.25"/>
    <row r="89" ht="27" customHeight="1" x14ac:dyDescent="0.25"/>
    <row r="90" ht="27" customHeight="1" x14ac:dyDescent="0.25"/>
    <row r="91" ht="27" customHeight="1" x14ac:dyDescent="0.25"/>
    <row r="92" ht="27" customHeight="1" x14ac:dyDescent="0.25"/>
    <row r="93" ht="27" customHeight="1" x14ac:dyDescent="0.25"/>
    <row r="94" ht="27" customHeight="1" x14ac:dyDescent="0.25"/>
    <row r="95" ht="27" customHeight="1" x14ac:dyDescent="0.25"/>
    <row r="96" ht="27" customHeight="1" x14ac:dyDescent="0.25"/>
    <row r="97" ht="27" customHeight="1" x14ac:dyDescent="0.25"/>
    <row r="98" ht="27" customHeight="1" x14ac:dyDescent="0.25"/>
    <row r="99" ht="27" customHeight="1" x14ac:dyDescent="0.25"/>
    <row r="100" ht="27" customHeight="1" x14ac:dyDescent="0.25"/>
    <row r="101" ht="27" customHeight="1" x14ac:dyDescent="0.25"/>
    <row r="102" ht="27" customHeight="1" x14ac:dyDescent="0.25"/>
    <row r="103" ht="27" customHeight="1" x14ac:dyDescent="0.25"/>
    <row r="104" ht="27" customHeight="1" x14ac:dyDescent="0.25"/>
    <row r="105" ht="27" customHeight="1" x14ac:dyDescent="0.25"/>
    <row r="106" ht="27" customHeight="1" x14ac:dyDescent="0.25"/>
    <row r="107" ht="27" customHeight="1" x14ac:dyDescent="0.25"/>
    <row r="108" ht="27" customHeight="1" x14ac:dyDescent="0.25"/>
    <row r="109" ht="27" customHeight="1" x14ac:dyDescent="0.25"/>
    <row r="110" ht="27" customHeight="1" x14ac:dyDescent="0.25"/>
    <row r="111" ht="27" customHeight="1" x14ac:dyDescent="0.25"/>
    <row r="112" ht="27" customHeight="1" x14ac:dyDescent="0.25"/>
    <row r="113" ht="27" customHeight="1" x14ac:dyDescent="0.25"/>
    <row r="114" ht="27" customHeight="1" x14ac:dyDescent="0.25"/>
    <row r="115" ht="27" customHeight="1" x14ac:dyDescent="0.25"/>
    <row r="116" ht="27" customHeight="1" x14ac:dyDescent="0.25"/>
    <row r="117" ht="27" customHeight="1" x14ac:dyDescent="0.25"/>
    <row r="118" ht="27" customHeight="1" x14ac:dyDescent="0.25"/>
    <row r="119" ht="27" customHeight="1" x14ac:dyDescent="0.25"/>
    <row r="120" ht="27" customHeight="1" x14ac:dyDescent="0.25"/>
    <row r="121" ht="27" customHeight="1" x14ac:dyDescent="0.25"/>
    <row r="122" ht="27" customHeight="1" x14ac:dyDescent="0.25"/>
    <row r="123" ht="27" customHeight="1" x14ac:dyDescent="0.25"/>
    <row r="124" ht="27" customHeight="1" x14ac:dyDescent="0.25"/>
    <row r="125" ht="27" customHeight="1" x14ac:dyDescent="0.25"/>
    <row r="126" ht="27" customHeight="1" x14ac:dyDescent="0.25"/>
    <row r="127" ht="27" customHeight="1" x14ac:dyDescent="0.25"/>
    <row r="128" ht="27" customHeight="1" x14ac:dyDescent="0.25"/>
    <row r="129" ht="27" customHeight="1" x14ac:dyDescent="0.25"/>
    <row r="130" ht="27" customHeight="1" x14ac:dyDescent="0.25"/>
    <row r="131" ht="27" customHeight="1" x14ac:dyDescent="0.25"/>
    <row r="132" ht="27" customHeight="1" x14ac:dyDescent="0.25"/>
    <row r="133" ht="27" customHeight="1" x14ac:dyDescent="0.25"/>
    <row r="134" ht="27" customHeight="1" x14ac:dyDescent="0.25"/>
    <row r="135" ht="27" customHeight="1" x14ac:dyDescent="0.25"/>
    <row r="136" ht="27" customHeight="1" x14ac:dyDescent="0.25"/>
    <row r="137" ht="27" customHeight="1" x14ac:dyDescent="0.25"/>
    <row r="138" ht="27" customHeight="1" x14ac:dyDescent="0.25"/>
    <row r="139" ht="27" customHeight="1" x14ac:dyDescent="0.25"/>
    <row r="140" ht="27" customHeight="1" x14ac:dyDescent="0.25"/>
    <row r="141" ht="27" customHeight="1" x14ac:dyDescent="0.25"/>
    <row r="142" ht="27" customHeight="1" x14ac:dyDescent="0.25"/>
    <row r="143" ht="27" customHeight="1" x14ac:dyDescent="0.25"/>
    <row r="144" ht="27" customHeight="1" x14ac:dyDescent="0.25"/>
    <row r="145" ht="27" customHeight="1" x14ac:dyDescent="0.25"/>
    <row r="146" ht="27" customHeight="1" x14ac:dyDescent="0.25"/>
    <row r="147" ht="27" customHeight="1" x14ac:dyDescent="0.25"/>
    <row r="148" ht="27" customHeight="1" x14ac:dyDescent="0.25"/>
    <row r="149" ht="27" customHeight="1" x14ac:dyDescent="0.25"/>
    <row r="150" ht="27" customHeight="1" x14ac:dyDescent="0.25"/>
    <row r="151" ht="27" customHeight="1" x14ac:dyDescent="0.25"/>
    <row r="152" ht="27" customHeight="1" x14ac:dyDescent="0.25"/>
    <row r="153" ht="27" customHeight="1" x14ac:dyDescent="0.25"/>
    <row r="154" ht="27" customHeight="1" x14ac:dyDescent="0.25"/>
    <row r="155" ht="27" customHeight="1" x14ac:dyDescent="0.25"/>
    <row r="156" ht="27" customHeight="1" x14ac:dyDescent="0.25"/>
    <row r="157" ht="27" customHeight="1" x14ac:dyDescent="0.25"/>
    <row r="158" ht="27" customHeight="1" x14ac:dyDescent="0.25"/>
    <row r="159" ht="27" customHeight="1" x14ac:dyDescent="0.25"/>
    <row r="160" ht="27" customHeight="1" x14ac:dyDescent="0.25"/>
    <row r="161" ht="27" customHeight="1" x14ac:dyDescent="0.25"/>
    <row r="162" ht="27" customHeight="1" x14ac:dyDescent="0.25"/>
    <row r="163" ht="27" customHeight="1" x14ac:dyDescent="0.25"/>
    <row r="164" ht="27" customHeight="1" x14ac:dyDescent="0.25"/>
    <row r="165" ht="27" customHeight="1" x14ac:dyDescent="0.25"/>
    <row r="166" ht="27" customHeight="1" x14ac:dyDescent="0.25"/>
    <row r="167" ht="27" customHeight="1" x14ac:dyDescent="0.25"/>
    <row r="168" ht="27" customHeight="1" x14ac:dyDescent="0.25"/>
    <row r="169" ht="27" customHeight="1" x14ac:dyDescent="0.25"/>
    <row r="170" ht="27" customHeight="1" x14ac:dyDescent="0.25"/>
    <row r="171" ht="27" customHeight="1" x14ac:dyDescent="0.25"/>
    <row r="172" ht="27" customHeight="1" x14ac:dyDescent="0.25"/>
    <row r="173" ht="27" customHeight="1" x14ac:dyDescent="0.25"/>
    <row r="174" ht="27" customHeight="1" x14ac:dyDescent="0.25"/>
    <row r="175" ht="27" customHeight="1" x14ac:dyDescent="0.25"/>
    <row r="176" ht="27" customHeight="1" x14ac:dyDescent="0.25"/>
    <row r="177" ht="27" customHeight="1" x14ac:dyDescent="0.25"/>
    <row r="178" ht="27" customHeight="1" x14ac:dyDescent="0.25"/>
    <row r="179" ht="27" customHeight="1" x14ac:dyDescent="0.25"/>
    <row r="180" ht="27" customHeight="1" x14ac:dyDescent="0.25"/>
    <row r="181" ht="27" customHeight="1" x14ac:dyDescent="0.25"/>
    <row r="182" ht="27" customHeight="1" x14ac:dyDescent="0.25"/>
    <row r="183" ht="27" customHeight="1" x14ac:dyDescent="0.25"/>
    <row r="184" ht="27" customHeight="1" x14ac:dyDescent="0.25"/>
    <row r="185" ht="27" customHeight="1" x14ac:dyDescent="0.25"/>
    <row r="186" ht="27" customHeight="1" x14ac:dyDescent="0.25"/>
    <row r="187" ht="27" customHeight="1" x14ac:dyDescent="0.25"/>
    <row r="188" ht="27" customHeight="1" x14ac:dyDescent="0.25"/>
    <row r="189" ht="27" customHeight="1" x14ac:dyDescent="0.25"/>
    <row r="190" ht="27" customHeight="1" x14ac:dyDescent="0.25"/>
    <row r="191" ht="27" customHeight="1" x14ac:dyDescent="0.25"/>
    <row r="192" ht="27" customHeight="1" x14ac:dyDescent="0.25"/>
    <row r="193" ht="27" customHeight="1" x14ac:dyDescent="0.25"/>
    <row r="194" ht="27" customHeight="1" x14ac:dyDescent="0.25"/>
    <row r="195" ht="27" customHeight="1" x14ac:dyDescent="0.25"/>
    <row r="196" ht="27" customHeight="1" x14ac:dyDescent="0.25"/>
    <row r="197" ht="27" customHeight="1" x14ac:dyDescent="0.25"/>
    <row r="198" ht="27" customHeight="1" x14ac:dyDescent="0.25"/>
    <row r="199" ht="27" customHeight="1" x14ac:dyDescent="0.25"/>
    <row r="200" ht="27" customHeight="1" x14ac:dyDescent="0.25"/>
    <row r="201" ht="27" customHeight="1" x14ac:dyDescent="0.25"/>
    <row r="202" ht="27" customHeight="1" x14ac:dyDescent="0.25"/>
    <row r="203" ht="27" customHeight="1" x14ac:dyDescent="0.25"/>
    <row r="204" ht="27" customHeight="1" x14ac:dyDescent="0.25"/>
    <row r="205" ht="27" customHeight="1" x14ac:dyDescent="0.25"/>
    <row r="206" ht="27" customHeight="1" x14ac:dyDescent="0.25"/>
    <row r="207" ht="27" customHeight="1" x14ac:dyDescent="0.25"/>
    <row r="208" ht="27" customHeight="1" x14ac:dyDescent="0.25"/>
    <row r="209" ht="27" customHeight="1" x14ac:dyDescent="0.25"/>
    <row r="210" ht="27" customHeight="1" x14ac:dyDescent="0.25"/>
    <row r="211" ht="27" customHeight="1" x14ac:dyDescent="0.25"/>
    <row r="212" ht="27" customHeight="1" x14ac:dyDescent="0.25"/>
    <row r="213" ht="27" customHeight="1" x14ac:dyDescent="0.25"/>
    <row r="214" ht="27" customHeight="1" x14ac:dyDescent="0.25"/>
    <row r="215" ht="27" customHeight="1" x14ac:dyDescent="0.25"/>
    <row r="216" ht="27" customHeight="1" x14ac:dyDescent="0.25"/>
    <row r="217" ht="27" customHeight="1" x14ac:dyDescent="0.25"/>
    <row r="218" ht="27" customHeight="1" x14ac:dyDescent="0.25"/>
    <row r="219" ht="27" customHeight="1" x14ac:dyDescent="0.25"/>
    <row r="220" ht="27" customHeight="1" x14ac:dyDescent="0.25"/>
    <row r="221" ht="27" customHeight="1" x14ac:dyDescent="0.25"/>
    <row r="222" ht="27" customHeight="1" x14ac:dyDescent="0.25"/>
    <row r="223" ht="27" customHeight="1" x14ac:dyDescent="0.25"/>
    <row r="224" ht="27" customHeight="1" x14ac:dyDescent="0.25"/>
    <row r="225" ht="27" customHeight="1" x14ac:dyDescent="0.25"/>
    <row r="226" ht="27" customHeight="1" x14ac:dyDescent="0.25"/>
    <row r="227" ht="27" customHeight="1" x14ac:dyDescent="0.25"/>
    <row r="228" ht="27" customHeight="1" x14ac:dyDescent="0.25"/>
    <row r="229" ht="27" customHeight="1" x14ac:dyDescent="0.25"/>
    <row r="230" ht="27" customHeight="1" x14ac:dyDescent="0.25"/>
    <row r="231" ht="27" customHeight="1" x14ac:dyDescent="0.25"/>
    <row r="232" ht="27" customHeight="1" x14ac:dyDescent="0.25"/>
    <row r="233" ht="27" customHeight="1" x14ac:dyDescent="0.25"/>
    <row r="234" ht="27" customHeight="1" x14ac:dyDescent="0.25"/>
    <row r="235" ht="27" customHeight="1" x14ac:dyDescent="0.25"/>
    <row r="236" ht="27" customHeight="1" x14ac:dyDescent="0.25"/>
    <row r="237" ht="27" customHeight="1" x14ac:dyDescent="0.25"/>
    <row r="238" ht="27" customHeight="1" x14ac:dyDescent="0.25"/>
    <row r="239" ht="27" customHeight="1" x14ac:dyDescent="0.25"/>
    <row r="240" ht="27" customHeight="1" x14ac:dyDescent="0.25"/>
    <row r="241" ht="27" customHeight="1" x14ac:dyDescent="0.25"/>
    <row r="242" ht="27" customHeight="1" x14ac:dyDescent="0.25"/>
    <row r="243" ht="27" customHeight="1" x14ac:dyDescent="0.25"/>
    <row r="244" ht="27" customHeight="1" x14ac:dyDescent="0.25"/>
    <row r="245" ht="27" customHeight="1" x14ac:dyDescent="0.25"/>
    <row r="246" ht="27" customHeight="1" x14ac:dyDescent="0.25"/>
    <row r="247" ht="27" customHeight="1" x14ac:dyDescent="0.25"/>
    <row r="248" ht="27" customHeight="1" x14ac:dyDescent="0.25"/>
    <row r="249" ht="27" customHeight="1" x14ac:dyDescent="0.25"/>
    <row r="250" ht="27" customHeight="1" x14ac:dyDescent="0.25"/>
    <row r="251" ht="27" customHeight="1" x14ac:dyDescent="0.25"/>
    <row r="252" ht="27" customHeight="1" x14ac:dyDescent="0.25"/>
    <row r="253" ht="27" customHeight="1" x14ac:dyDescent="0.25"/>
    <row r="254" ht="27" customHeight="1" x14ac:dyDescent="0.25"/>
    <row r="255" ht="27" customHeight="1" x14ac:dyDescent="0.25"/>
    <row r="256" ht="27" customHeight="1" x14ac:dyDescent="0.25"/>
    <row r="257" ht="27" customHeight="1" x14ac:dyDescent="0.25"/>
    <row r="258" ht="27" customHeight="1" x14ac:dyDescent="0.25"/>
    <row r="259" ht="27" customHeight="1" x14ac:dyDescent="0.25"/>
    <row r="260" ht="27" customHeight="1" x14ac:dyDescent="0.25"/>
    <row r="261" ht="27" customHeight="1" x14ac:dyDescent="0.25"/>
    <row r="262" ht="27" customHeight="1" x14ac:dyDescent="0.25"/>
    <row r="263" ht="27" customHeight="1" x14ac:dyDescent="0.25"/>
    <row r="264" ht="27" customHeight="1" x14ac:dyDescent="0.25"/>
    <row r="265" ht="27" customHeight="1" x14ac:dyDescent="0.25"/>
    <row r="266" ht="27" customHeight="1" x14ac:dyDescent="0.25"/>
    <row r="267" ht="27" customHeight="1" x14ac:dyDescent="0.25"/>
    <row r="268" ht="27" customHeight="1" x14ac:dyDescent="0.25"/>
    <row r="269" ht="27" customHeight="1" x14ac:dyDescent="0.25"/>
    <row r="270" ht="27" customHeight="1" x14ac:dyDescent="0.25"/>
    <row r="271" ht="27" customHeight="1" x14ac:dyDescent="0.25"/>
    <row r="272" ht="27" customHeight="1" x14ac:dyDescent="0.25"/>
    <row r="273" ht="27" customHeight="1" x14ac:dyDescent="0.25"/>
    <row r="274" ht="27" customHeight="1" x14ac:dyDescent="0.25"/>
    <row r="275" ht="27" customHeight="1" x14ac:dyDescent="0.25"/>
    <row r="276" ht="27" customHeight="1" x14ac:dyDescent="0.25"/>
    <row r="277" ht="27" customHeight="1" x14ac:dyDescent="0.25"/>
    <row r="278" ht="27" customHeight="1" x14ac:dyDescent="0.25"/>
    <row r="279" ht="27" customHeight="1" x14ac:dyDescent="0.25"/>
    <row r="280" ht="27" customHeight="1" x14ac:dyDescent="0.25"/>
    <row r="281" ht="27" customHeight="1" x14ac:dyDescent="0.25"/>
    <row r="282" ht="27" customHeight="1" x14ac:dyDescent="0.25"/>
    <row r="283" ht="27" customHeight="1" x14ac:dyDescent="0.25"/>
    <row r="284" ht="27" customHeight="1" x14ac:dyDescent="0.25"/>
    <row r="285" ht="27" customHeight="1" x14ac:dyDescent="0.25"/>
    <row r="286" ht="27" customHeight="1" x14ac:dyDescent="0.25"/>
    <row r="287" ht="27" customHeight="1" x14ac:dyDescent="0.25"/>
    <row r="288" ht="27" customHeight="1" x14ac:dyDescent="0.25"/>
    <row r="289" ht="27" customHeight="1" x14ac:dyDescent="0.25"/>
    <row r="290" ht="27" customHeight="1" x14ac:dyDescent="0.25"/>
    <row r="291" ht="27" customHeight="1" x14ac:dyDescent="0.25"/>
    <row r="292" ht="27" customHeight="1" x14ac:dyDescent="0.25"/>
    <row r="293" ht="27" customHeight="1" x14ac:dyDescent="0.25"/>
    <row r="294" ht="27" customHeight="1" x14ac:dyDescent="0.25"/>
    <row r="295" ht="27" customHeight="1" x14ac:dyDescent="0.25"/>
    <row r="296" ht="27" customHeight="1" x14ac:dyDescent="0.25"/>
    <row r="297" ht="27" customHeight="1" x14ac:dyDescent="0.25"/>
    <row r="298" ht="27" customHeight="1" x14ac:dyDescent="0.25"/>
    <row r="299" ht="27" customHeight="1" x14ac:dyDescent="0.25"/>
    <row r="300" ht="27" customHeight="1" x14ac:dyDescent="0.25"/>
    <row r="301" ht="27" customHeight="1" x14ac:dyDescent="0.25"/>
    <row r="302" ht="27" customHeight="1" x14ac:dyDescent="0.25"/>
    <row r="303" ht="27" customHeight="1" x14ac:dyDescent="0.25"/>
    <row r="304" ht="27" customHeight="1" x14ac:dyDescent="0.25"/>
    <row r="305" ht="27" customHeight="1" x14ac:dyDescent="0.25"/>
    <row r="306" ht="27" customHeight="1" x14ac:dyDescent="0.25"/>
    <row r="307" ht="27" customHeight="1" x14ac:dyDescent="0.25"/>
    <row r="308" ht="27" customHeight="1" x14ac:dyDescent="0.25"/>
    <row r="309" ht="27" customHeight="1" x14ac:dyDescent="0.25"/>
    <row r="310" ht="27" customHeight="1" x14ac:dyDescent="0.25"/>
    <row r="311" ht="27" customHeight="1" x14ac:dyDescent="0.25"/>
    <row r="312" ht="27" customHeight="1" x14ac:dyDescent="0.25"/>
    <row r="313" ht="27" customHeight="1" x14ac:dyDescent="0.25"/>
    <row r="314" ht="27" customHeight="1" x14ac:dyDescent="0.25"/>
    <row r="315" ht="27" customHeight="1" x14ac:dyDescent="0.25"/>
    <row r="316" ht="27" customHeight="1" x14ac:dyDescent="0.25"/>
    <row r="317" ht="27" customHeight="1" x14ac:dyDescent="0.25"/>
    <row r="318" ht="27" customHeight="1" x14ac:dyDescent="0.25"/>
    <row r="319" ht="27" customHeight="1" x14ac:dyDescent="0.25"/>
    <row r="320" ht="27" customHeight="1" x14ac:dyDescent="0.25"/>
    <row r="321" ht="27" customHeight="1" x14ac:dyDescent="0.25"/>
    <row r="322" ht="27" customHeight="1" x14ac:dyDescent="0.25"/>
    <row r="323" ht="27" customHeight="1" x14ac:dyDescent="0.25"/>
    <row r="324" ht="27" customHeight="1" x14ac:dyDescent="0.25"/>
    <row r="325" ht="27" customHeight="1" x14ac:dyDescent="0.25"/>
    <row r="326" ht="27" customHeight="1" x14ac:dyDescent="0.25"/>
    <row r="327" ht="27" customHeight="1" x14ac:dyDescent="0.25"/>
    <row r="328" ht="27" customHeight="1" x14ac:dyDescent="0.25"/>
    <row r="329" ht="27" customHeight="1" x14ac:dyDescent="0.25"/>
    <row r="330" ht="27" customHeight="1" x14ac:dyDescent="0.25"/>
    <row r="331" ht="27" customHeight="1" x14ac:dyDescent="0.25"/>
    <row r="332" ht="27" customHeight="1" x14ac:dyDescent="0.25"/>
    <row r="333" ht="27" customHeight="1" x14ac:dyDescent="0.25"/>
    <row r="334" ht="27" customHeight="1" x14ac:dyDescent="0.25"/>
    <row r="335" ht="27" customHeight="1" x14ac:dyDescent="0.25"/>
    <row r="336" ht="27" customHeight="1" x14ac:dyDescent="0.25"/>
    <row r="337" ht="27" customHeight="1" x14ac:dyDescent="0.25"/>
    <row r="338" ht="27" customHeight="1" x14ac:dyDescent="0.25"/>
    <row r="339" ht="27" customHeight="1" x14ac:dyDescent="0.25"/>
    <row r="340" ht="27" customHeight="1" x14ac:dyDescent="0.25"/>
    <row r="341" ht="27" customHeight="1" x14ac:dyDescent="0.25"/>
    <row r="342" ht="27" customHeight="1" x14ac:dyDescent="0.25"/>
    <row r="343" ht="27" customHeight="1" x14ac:dyDescent="0.25"/>
    <row r="344" ht="27" customHeight="1" x14ac:dyDescent="0.25"/>
    <row r="345" ht="27" customHeight="1" x14ac:dyDescent="0.25"/>
    <row r="346" ht="27" customHeight="1" x14ac:dyDescent="0.25"/>
    <row r="347" ht="27" customHeight="1" x14ac:dyDescent="0.25"/>
    <row r="348" ht="27" customHeight="1" x14ac:dyDescent="0.25"/>
    <row r="349" ht="27" customHeight="1" x14ac:dyDescent="0.25"/>
    <row r="350" ht="27" customHeight="1" x14ac:dyDescent="0.25"/>
    <row r="351" ht="27" customHeight="1" x14ac:dyDescent="0.25"/>
    <row r="352" ht="27" customHeight="1" x14ac:dyDescent="0.25"/>
    <row r="353" ht="27" customHeight="1" x14ac:dyDescent="0.25"/>
    <row r="354" ht="27" customHeight="1" x14ac:dyDescent="0.25"/>
    <row r="355" ht="27" customHeight="1" x14ac:dyDescent="0.25"/>
    <row r="356" ht="27" customHeight="1" x14ac:dyDescent="0.25"/>
    <row r="357" ht="27" customHeight="1" x14ac:dyDescent="0.25"/>
    <row r="358" ht="27" customHeight="1" x14ac:dyDescent="0.25"/>
    <row r="359" ht="27" customHeight="1" x14ac:dyDescent="0.25"/>
    <row r="360" ht="27" customHeight="1" x14ac:dyDescent="0.25"/>
    <row r="361" ht="27" customHeight="1" x14ac:dyDescent="0.25"/>
    <row r="362" ht="27" customHeight="1" x14ac:dyDescent="0.25"/>
    <row r="363" ht="27" customHeight="1" x14ac:dyDescent="0.25"/>
    <row r="364" ht="27" customHeight="1" x14ac:dyDescent="0.25"/>
    <row r="365" ht="27" customHeight="1" x14ac:dyDescent="0.25"/>
    <row r="366" ht="27" customHeight="1" x14ac:dyDescent="0.25"/>
    <row r="367" ht="27" customHeight="1" x14ac:dyDescent="0.25"/>
    <row r="368" ht="27" customHeight="1" x14ac:dyDescent="0.25"/>
    <row r="369" ht="27" customHeight="1" x14ac:dyDescent="0.25"/>
    <row r="370" ht="27" customHeight="1" x14ac:dyDescent="0.25"/>
    <row r="371" ht="27" customHeight="1" x14ac:dyDescent="0.25"/>
    <row r="372" ht="27" customHeight="1" x14ac:dyDescent="0.25"/>
    <row r="373" ht="27" customHeight="1" x14ac:dyDescent="0.25"/>
    <row r="374" ht="27" customHeight="1" x14ac:dyDescent="0.25"/>
  </sheetData>
  <sortState ref="A5:P43">
    <sortCondition descending="1" ref="P5:P43"/>
  </sortState>
  <mergeCells count="10">
    <mergeCell ref="A42:C42"/>
    <mergeCell ref="A43:C43"/>
    <mergeCell ref="A44:C44"/>
    <mergeCell ref="A45:C45"/>
    <mergeCell ref="A1:P1"/>
    <mergeCell ref="N2:P2"/>
    <mergeCell ref="A3:A4"/>
    <mergeCell ref="B3:B4"/>
    <mergeCell ref="C3:C4"/>
    <mergeCell ref="A41:C41"/>
  </mergeCells>
  <pageMargins left="0" right="0" top="0" bottom="0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W52"/>
  <sheetViews>
    <sheetView zoomScaleNormal="100" workbookViewId="0">
      <selection activeCell="D9" sqref="D9"/>
    </sheetView>
  </sheetViews>
  <sheetFormatPr defaultColWidth="9.140625" defaultRowHeight="17.25" x14ac:dyDescent="0.25"/>
  <cols>
    <col min="1" max="1" width="4.7109375" style="32" bestFit="1" customWidth="1"/>
    <col min="2" max="2" width="8.5703125" style="32" customWidth="1"/>
    <col min="3" max="3" width="31.5703125" style="32" bestFit="1" customWidth="1"/>
    <col min="4" max="4" width="7" style="21" bestFit="1" customWidth="1"/>
    <col min="5" max="5" width="6.85546875" style="21" bestFit="1" customWidth="1"/>
    <col min="6" max="6" width="7.140625" style="21" bestFit="1" customWidth="1"/>
    <col min="7" max="7" width="6.7109375" style="21" bestFit="1" customWidth="1"/>
    <col min="8" max="8" width="7.42578125" style="21" bestFit="1" customWidth="1"/>
    <col min="9" max="9" width="7" style="21" bestFit="1" customWidth="1"/>
    <col min="10" max="10" width="6.42578125" style="21" bestFit="1" customWidth="1"/>
    <col min="11" max="11" width="7.140625" style="21" bestFit="1" customWidth="1"/>
    <col min="12" max="12" width="7" style="119" bestFit="1" customWidth="1"/>
    <col min="13" max="13" width="6.85546875" style="21" bestFit="1" customWidth="1"/>
    <col min="14" max="14" width="7.28515625" style="119" bestFit="1" customWidth="1"/>
    <col min="15" max="15" width="7" style="119" bestFit="1" customWidth="1"/>
    <col min="16" max="16" width="14" style="21" customWidth="1"/>
    <col min="17" max="17" width="9" style="32" bestFit="1" customWidth="1"/>
    <col min="18" max="16384" width="9.140625" style="32"/>
  </cols>
  <sheetData>
    <row r="1" spans="1:21" s="5" customFormat="1" ht="37.5" customHeight="1" x14ac:dyDescent="0.25">
      <c r="A1" s="199" t="s">
        <v>298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57"/>
      <c r="R1" s="57"/>
      <c r="S1" s="57"/>
      <c r="T1" s="57"/>
    </row>
    <row r="2" spans="1:21" s="4" customFormat="1" ht="27.75" customHeight="1" x14ac:dyDescent="0.25">
      <c r="A2" s="53"/>
      <c r="B2" s="54"/>
      <c r="C2" s="117"/>
      <c r="D2" s="118"/>
      <c r="E2" s="118"/>
      <c r="F2" s="118"/>
      <c r="G2" s="118"/>
      <c r="H2" s="118"/>
      <c r="I2" s="118"/>
      <c r="J2" s="118"/>
      <c r="K2" s="118"/>
      <c r="L2" s="55"/>
      <c r="M2" s="55"/>
      <c r="N2" s="192" t="s">
        <v>294</v>
      </c>
      <c r="O2" s="192"/>
      <c r="P2" s="192"/>
      <c r="Q2" s="57"/>
      <c r="R2" s="57"/>
      <c r="S2" s="57"/>
      <c r="T2" s="57"/>
      <c r="U2" s="5"/>
    </row>
    <row r="3" spans="1:21" s="110" customFormat="1" ht="26.25" customHeight="1" x14ac:dyDescent="0.25">
      <c r="A3" s="200" t="s">
        <v>211</v>
      </c>
      <c r="B3" s="202" t="s">
        <v>212</v>
      </c>
      <c r="C3" s="200" t="s">
        <v>186</v>
      </c>
      <c r="D3" s="107">
        <v>43466</v>
      </c>
      <c r="E3" s="107">
        <v>43497</v>
      </c>
      <c r="F3" s="107">
        <v>43525</v>
      </c>
      <c r="G3" s="107">
        <v>43556</v>
      </c>
      <c r="H3" s="107">
        <v>43586</v>
      </c>
      <c r="I3" s="107">
        <v>43617</v>
      </c>
      <c r="J3" s="107">
        <v>43647</v>
      </c>
      <c r="K3" s="107">
        <v>43678</v>
      </c>
      <c r="L3" s="107">
        <v>43709</v>
      </c>
      <c r="M3" s="107">
        <v>43739</v>
      </c>
      <c r="N3" s="107">
        <v>43770</v>
      </c>
      <c r="O3" s="107">
        <v>43800</v>
      </c>
      <c r="P3" s="94" t="s">
        <v>296</v>
      </c>
      <c r="Q3" s="108"/>
      <c r="R3" s="109"/>
    </row>
    <row r="4" spans="1:21" s="110" customFormat="1" ht="25.5" customHeight="1" x14ac:dyDescent="0.25">
      <c r="A4" s="201"/>
      <c r="B4" s="203"/>
      <c r="C4" s="201"/>
      <c r="D4" s="94" t="s">
        <v>213</v>
      </c>
      <c r="E4" s="94" t="s">
        <v>213</v>
      </c>
      <c r="F4" s="94" t="s">
        <v>213</v>
      </c>
      <c r="G4" s="94" t="s">
        <v>213</v>
      </c>
      <c r="H4" s="94" t="s">
        <v>213</v>
      </c>
      <c r="I4" s="94" t="s">
        <v>213</v>
      </c>
      <c r="J4" s="94" t="s">
        <v>213</v>
      </c>
      <c r="K4" s="94" t="s">
        <v>213</v>
      </c>
      <c r="L4" s="104" t="s">
        <v>213</v>
      </c>
      <c r="M4" s="94" t="s">
        <v>213</v>
      </c>
      <c r="N4" s="104" t="s">
        <v>213</v>
      </c>
      <c r="O4" s="104" t="s">
        <v>213</v>
      </c>
      <c r="P4" s="94" t="s">
        <v>213</v>
      </c>
    </row>
    <row r="5" spans="1:21" s="4" customFormat="1" ht="20.100000000000001" customHeight="1" x14ac:dyDescent="0.25">
      <c r="A5" s="6">
        <v>1</v>
      </c>
      <c r="B5" s="7" t="s">
        <v>78</v>
      </c>
      <c r="C5" s="8" t="s">
        <v>79</v>
      </c>
      <c r="D5" s="56">
        <v>23440</v>
      </c>
      <c r="E5" s="56">
        <v>19110</v>
      </c>
      <c r="F5" s="56">
        <v>27710</v>
      </c>
      <c r="G5" s="56">
        <v>12910</v>
      </c>
      <c r="H5" s="56">
        <v>19135</v>
      </c>
      <c r="I5" s="56">
        <v>26267</v>
      </c>
      <c r="J5" s="56">
        <v>28854</v>
      </c>
      <c r="K5" s="56">
        <v>23404</v>
      </c>
      <c r="L5" s="22">
        <v>11505</v>
      </c>
      <c r="M5" s="56">
        <v>19880</v>
      </c>
      <c r="N5" s="22">
        <v>21045</v>
      </c>
      <c r="O5" s="22">
        <v>18160</v>
      </c>
      <c r="P5" s="111">
        <f>I5+H5+G5+F5+E5+D5+J5+K5+L5+M5+N5+O5</f>
        <v>251420</v>
      </c>
    </row>
    <row r="6" spans="1:21" s="4" customFormat="1" ht="20.100000000000001" customHeight="1" x14ac:dyDescent="0.25">
      <c r="A6" s="6">
        <v>2</v>
      </c>
      <c r="B6" s="7" t="s">
        <v>80</v>
      </c>
      <c r="C6" s="8" t="s">
        <v>214</v>
      </c>
      <c r="D6" s="56">
        <v>14627</v>
      </c>
      <c r="E6" s="56">
        <v>16206</v>
      </c>
      <c r="F6" s="56">
        <v>14835</v>
      </c>
      <c r="G6" s="56">
        <v>7671</v>
      </c>
      <c r="H6" s="56">
        <v>7089</v>
      </c>
      <c r="I6" s="56">
        <v>12193</v>
      </c>
      <c r="J6" s="56">
        <v>10728</v>
      </c>
      <c r="K6" s="56">
        <v>10877</v>
      </c>
      <c r="L6" s="22">
        <v>8311</v>
      </c>
      <c r="M6" s="56">
        <v>7804</v>
      </c>
      <c r="N6" s="22">
        <v>8550</v>
      </c>
      <c r="O6" s="22">
        <v>14420</v>
      </c>
      <c r="P6" s="111">
        <f>I6+H6+G6+F6+E6+D6+J6+K6+L6+M6+N6+O6</f>
        <v>133311</v>
      </c>
    </row>
    <row r="7" spans="1:21" s="4" customFormat="1" ht="20.100000000000001" customHeight="1" x14ac:dyDescent="0.25">
      <c r="A7" s="6">
        <v>3</v>
      </c>
      <c r="B7" s="7" t="s">
        <v>94</v>
      </c>
      <c r="C7" s="12" t="s">
        <v>95</v>
      </c>
      <c r="D7" s="56">
        <v>3505</v>
      </c>
      <c r="E7" s="56">
        <v>3240</v>
      </c>
      <c r="F7" s="56">
        <v>3405</v>
      </c>
      <c r="G7" s="56">
        <v>4970</v>
      </c>
      <c r="H7" s="56">
        <v>3530</v>
      </c>
      <c r="I7" s="56">
        <v>5805</v>
      </c>
      <c r="J7" s="56">
        <v>3945</v>
      </c>
      <c r="K7" s="56">
        <v>4060</v>
      </c>
      <c r="L7" s="22">
        <v>6700</v>
      </c>
      <c r="M7" s="22">
        <v>2120</v>
      </c>
      <c r="N7" s="22">
        <v>3000</v>
      </c>
      <c r="O7" s="22">
        <v>2500</v>
      </c>
      <c r="P7" s="111">
        <f>I7+H7+G7+F7+E7+D7+J7+K7+L7+M7+N7+O7</f>
        <v>46780</v>
      </c>
    </row>
    <row r="8" spans="1:21" s="4" customFormat="1" ht="20.100000000000001" customHeight="1" x14ac:dyDescent="0.25">
      <c r="A8" s="6">
        <v>4</v>
      </c>
      <c r="B8" s="7" t="s">
        <v>82</v>
      </c>
      <c r="C8" s="36" t="s">
        <v>217</v>
      </c>
      <c r="D8" s="22">
        <v>4280</v>
      </c>
      <c r="E8" s="22">
        <v>2670</v>
      </c>
      <c r="F8" s="22">
        <v>4095</v>
      </c>
      <c r="G8" s="22">
        <v>3195</v>
      </c>
      <c r="H8" s="22">
        <v>2645</v>
      </c>
      <c r="I8" s="112">
        <v>5400</v>
      </c>
      <c r="J8" s="22">
        <v>5760</v>
      </c>
      <c r="K8" s="22">
        <v>1820</v>
      </c>
      <c r="L8" s="22">
        <v>3145</v>
      </c>
      <c r="M8" s="22">
        <v>3655</v>
      </c>
      <c r="N8" s="22">
        <v>5120</v>
      </c>
      <c r="O8" s="22">
        <v>2200</v>
      </c>
      <c r="P8" s="41">
        <f>I8+H8+G8+F8+E8+D8+J8+K8+L8+M8+N8+O8</f>
        <v>43985</v>
      </c>
    </row>
    <row r="9" spans="1:21" s="4" customFormat="1" ht="20.100000000000001" customHeight="1" x14ac:dyDescent="0.25">
      <c r="A9" s="6">
        <v>5</v>
      </c>
      <c r="B9" s="7" t="s">
        <v>178</v>
      </c>
      <c r="C9" s="8" t="s">
        <v>215</v>
      </c>
      <c r="D9" s="56">
        <v>4150</v>
      </c>
      <c r="E9" s="56">
        <v>3950</v>
      </c>
      <c r="F9" s="56">
        <v>3635</v>
      </c>
      <c r="G9" s="56">
        <v>5450</v>
      </c>
      <c r="H9" s="56">
        <v>2635</v>
      </c>
      <c r="I9" s="56">
        <v>3570</v>
      </c>
      <c r="J9" s="56">
        <v>5970</v>
      </c>
      <c r="K9" s="56">
        <v>3080</v>
      </c>
      <c r="L9" s="22">
        <v>2060</v>
      </c>
      <c r="M9" s="56">
        <f>5940-1280</f>
        <v>4660</v>
      </c>
      <c r="N9" s="22">
        <v>2080</v>
      </c>
      <c r="O9" s="22">
        <v>2100</v>
      </c>
      <c r="P9" s="111">
        <f>I9+H9+G9+F9+E9+D9+J9+K9+L9+M9+N9+O9</f>
        <v>43340</v>
      </c>
    </row>
    <row r="10" spans="1:21" s="11" customFormat="1" ht="20.100000000000001" customHeight="1" x14ac:dyDescent="0.25">
      <c r="A10" s="6">
        <v>6</v>
      </c>
      <c r="B10" s="7" t="s">
        <v>86</v>
      </c>
      <c r="C10" s="12" t="s">
        <v>218</v>
      </c>
      <c r="D10" s="56">
        <v>3435</v>
      </c>
      <c r="E10" s="56">
        <v>4835</v>
      </c>
      <c r="F10" s="56">
        <v>2465</v>
      </c>
      <c r="G10" s="56">
        <v>5095</v>
      </c>
      <c r="H10" s="56">
        <v>2270</v>
      </c>
      <c r="I10" s="113">
        <v>2590</v>
      </c>
      <c r="J10" s="114">
        <v>3270</v>
      </c>
      <c r="K10" s="114">
        <v>3130</v>
      </c>
      <c r="L10" s="22">
        <v>1500</v>
      </c>
      <c r="M10" s="114">
        <v>3300</v>
      </c>
      <c r="N10" s="22">
        <v>2200</v>
      </c>
      <c r="O10" s="22"/>
      <c r="P10" s="111">
        <f>I10+H10+G10+F10+E10+D10+J10+K10+L10+M10+N10+O10</f>
        <v>34090</v>
      </c>
      <c r="S10" s="4"/>
      <c r="T10" s="4"/>
    </row>
    <row r="11" spans="1:21" s="4" customFormat="1" ht="20.100000000000001" customHeight="1" x14ac:dyDescent="0.25">
      <c r="A11" s="6">
        <v>7</v>
      </c>
      <c r="B11" s="7" t="s">
        <v>102</v>
      </c>
      <c r="C11" s="13" t="s">
        <v>103</v>
      </c>
      <c r="D11" s="56">
        <v>5280</v>
      </c>
      <c r="E11" s="56">
        <v>1535</v>
      </c>
      <c r="F11" s="56">
        <v>5580</v>
      </c>
      <c r="G11" s="56">
        <v>3205</v>
      </c>
      <c r="H11" s="56">
        <v>2640</v>
      </c>
      <c r="I11" s="56">
        <v>1805</v>
      </c>
      <c r="J11" s="56">
        <v>3070</v>
      </c>
      <c r="K11" s="56">
        <v>1980</v>
      </c>
      <c r="L11" s="22">
        <v>1100</v>
      </c>
      <c r="M11" s="56">
        <v>1900</v>
      </c>
      <c r="N11" s="22">
        <v>2400</v>
      </c>
      <c r="O11" s="22">
        <v>2000</v>
      </c>
      <c r="P11" s="111">
        <f>I11+H11+G11+F11+E11+D11+J11+K11+L11+M11+N11+O11</f>
        <v>32495</v>
      </c>
      <c r="S11" s="11"/>
      <c r="T11" s="11"/>
    </row>
    <row r="12" spans="1:21" s="4" customFormat="1" ht="20.100000000000001" customHeight="1" x14ac:dyDescent="0.25">
      <c r="A12" s="6">
        <v>8</v>
      </c>
      <c r="B12" s="7" t="s">
        <v>88</v>
      </c>
      <c r="C12" s="12" t="s">
        <v>223</v>
      </c>
      <c r="D12" s="56">
        <v>2250</v>
      </c>
      <c r="E12" s="56">
        <v>2130</v>
      </c>
      <c r="F12" s="56">
        <v>3440</v>
      </c>
      <c r="G12" s="56">
        <v>1900</v>
      </c>
      <c r="H12" s="56">
        <v>5255</v>
      </c>
      <c r="I12" s="56">
        <v>3410</v>
      </c>
      <c r="J12" s="56">
        <v>4385</v>
      </c>
      <c r="K12" s="56">
        <v>3080</v>
      </c>
      <c r="L12" s="22">
        <v>3170</v>
      </c>
      <c r="M12" s="56">
        <v>500</v>
      </c>
      <c r="N12" s="22">
        <v>660</v>
      </c>
      <c r="O12" s="22">
        <v>1500</v>
      </c>
      <c r="P12" s="111">
        <f>I12+H12+G12+F12+E12+D12+J12+K12+L12+M12+N12+O12</f>
        <v>31680</v>
      </c>
    </row>
    <row r="13" spans="1:21" s="4" customFormat="1" ht="20.100000000000001" customHeight="1" x14ac:dyDescent="0.25">
      <c r="A13" s="6">
        <v>9</v>
      </c>
      <c r="B13" s="7" t="s">
        <v>104</v>
      </c>
      <c r="C13" s="12" t="s">
        <v>222</v>
      </c>
      <c r="D13" s="56">
        <v>1100</v>
      </c>
      <c r="E13" s="56">
        <v>1360</v>
      </c>
      <c r="F13" s="56">
        <v>3575</v>
      </c>
      <c r="G13" s="56">
        <v>1875</v>
      </c>
      <c r="H13" s="56">
        <v>2380</v>
      </c>
      <c r="I13" s="56">
        <v>3150</v>
      </c>
      <c r="J13" s="56">
        <v>2295</v>
      </c>
      <c r="K13" s="56">
        <v>4325</v>
      </c>
      <c r="L13" s="22">
        <v>1715</v>
      </c>
      <c r="M13" s="56">
        <v>4360</v>
      </c>
      <c r="N13" s="22">
        <v>800</v>
      </c>
      <c r="O13" s="22">
        <v>3120</v>
      </c>
      <c r="P13" s="111">
        <f>I13+H13+G13+F13+E13+D13+J13+K13+L13+M13+N13+O13</f>
        <v>30055</v>
      </c>
    </row>
    <row r="14" spans="1:21" s="4" customFormat="1" ht="20.100000000000001" customHeight="1" x14ac:dyDescent="0.25">
      <c r="A14" s="6">
        <v>10</v>
      </c>
      <c r="B14" s="7" t="s">
        <v>92</v>
      </c>
      <c r="C14" s="12" t="s">
        <v>93</v>
      </c>
      <c r="D14" s="56">
        <v>2125</v>
      </c>
      <c r="E14" s="56">
        <v>2010</v>
      </c>
      <c r="F14" s="56">
        <v>5989</v>
      </c>
      <c r="G14" s="56">
        <v>11</v>
      </c>
      <c r="H14" s="56">
        <v>1680</v>
      </c>
      <c r="I14" s="56">
        <v>2325</v>
      </c>
      <c r="J14" s="56">
        <v>2839</v>
      </c>
      <c r="K14" s="56">
        <v>2106</v>
      </c>
      <c r="L14" s="22">
        <v>3060</v>
      </c>
      <c r="M14" s="56">
        <v>3000</v>
      </c>
      <c r="N14" s="22">
        <v>2000</v>
      </c>
      <c r="O14" s="22">
        <v>2000</v>
      </c>
      <c r="P14" s="111">
        <f>I14+H14+G14+F14+E14+D14+J14+K14+L14+M14+N14+O14</f>
        <v>29145</v>
      </c>
    </row>
    <row r="15" spans="1:21" s="4" customFormat="1" ht="20.100000000000001" customHeight="1" x14ac:dyDescent="0.25">
      <c r="A15" s="6">
        <v>11</v>
      </c>
      <c r="B15" s="7" t="s">
        <v>128</v>
      </c>
      <c r="C15" s="36" t="s">
        <v>276</v>
      </c>
      <c r="D15" s="56">
        <v>2040</v>
      </c>
      <c r="E15" s="56">
        <v>2740</v>
      </c>
      <c r="F15" s="56">
        <v>3435</v>
      </c>
      <c r="G15" s="56">
        <v>3325</v>
      </c>
      <c r="H15" s="56">
        <v>1575</v>
      </c>
      <c r="I15" s="56">
        <v>3020</v>
      </c>
      <c r="J15" s="56">
        <v>2945</v>
      </c>
      <c r="K15" s="56">
        <v>720</v>
      </c>
      <c r="L15" s="22">
        <v>2000</v>
      </c>
      <c r="M15" s="56">
        <v>2000</v>
      </c>
      <c r="N15" s="22">
        <v>2120</v>
      </c>
      <c r="O15" s="22">
        <v>2000</v>
      </c>
      <c r="P15" s="111">
        <f>I15+H15+G15+F15+E15+D15+J15+K15+L15+M15+N15+O15</f>
        <v>27920</v>
      </c>
    </row>
    <row r="16" spans="1:21" s="4" customFormat="1" ht="20.100000000000001" customHeight="1" x14ac:dyDescent="0.25">
      <c r="A16" s="6">
        <v>12</v>
      </c>
      <c r="B16" s="7" t="s">
        <v>90</v>
      </c>
      <c r="C16" s="12" t="s">
        <v>91</v>
      </c>
      <c r="D16" s="56">
        <v>2640</v>
      </c>
      <c r="E16" s="56">
        <v>2375</v>
      </c>
      <c r="F16" s="56">
        <v>2835</v>
      </c>
      <c r="G16" s="56">
        <v>1932</v>
      </c>
      <c r="H16" s="56">
        <v>2543</v>
      </c>
      <c r="I16" s="56">
        <v>1410</v>
      </c>
      <c r="J16" s="56">
        <v>390</v>
      </c>
      <c r="K16" s="56">
        <v>1440</v>
      </c>
      <c r="L16" s="22">
        <v>1500</v>
      </c>
      <c r="M16" s="56">
        <v>1530</v>
      </c>
      <c r="N16" s="22">
        <v>2030</v>
      </c>
      <c r="O16" s="22">
        <v>1010</v>
      </c>
      <c r="P16" s="111">
        <f>I16+H16+G16+F16+E16+D16+J16+K16+L16+M16+N16+O16</f>
        <v>21635</v>
      </c>
    </row>
    <row r="17" spans="1:16" s="4" customFormat="1" ht="20.100000000000001" customHeight="1" x14ac:dyDescent="0.25">
      <c r="A17" s="6">
        <v>13</v>
      </c>
      <c r="B17" s="7" t="s">
        <v>126</v>
      </c>
      <c r="C17" s="13" t="s">
        <v>227</v>
      </c>
      <c r="D17" s="56">
        <v>1080</v>
      </c>
      <c r="E17" s="56">
        <v>1560</v>
      </c>
      <c r="F17" s="56">
        <v>1460</v>
      </c>
      <c r="G17" s="56">
        <v>1532</v>
      </c>
      <c r="H17" s="56">
        <v>1228</v>
      </c>
      <c r="I17" s="56">
        <v>1917</v>
      </c>
      <c r="J17" s="56">
        <v>1443</v>
      </c>
      <c r="K17" s="56">
        <v>800</v>
      </c>
      <c r="L17" s="22">
        <v>1460</v>
      </c>
      <c r="M17" s="56">
        <v>1480</v>
      </c>
      <c r="N17" s="22">
        <v>1780</v>
      </c>
      <c r="O17" s="22">
        <v>780</v>
      </c>
      <c r="P17" s="111">
        <f>I17+H17+G17+F17+E17+D17+J17+K17+L17+M17+N17+O17</f>
        <v>16520</v>
      </c>
    </row>
    <row r="18" spans="1:16" s="4" customFormat="1" ht="20.100000000000001" customHeight="1" x14ac:dyDescent="0.25">
      <c r="A18" s="6">
        <v>14</v>
      </c>
      <c r="B18" s="7" t="s">
        <v>130</v>
      </c>
      <c r="C18" s="14" t="s">
        <v>230</v>
      </c>
      <c r="D18" s="22">
        <v>1000</v>
      </c>
      <c r="E18" s="22">
        <v>813</v>
      </c>
      <c r="F18" s="22">
        <v>1287</v>
      </c>
      <c r="G18" s="22">
        <v>1500</v>
      </c>
      <c r="H18" s="22">
        <v>360</v>
      </c>
      <c r="I18" s="22">
        <v>980</v>
      </c>
      <c r="J18" s="22">
        <v>1347</v>
      </c>
      <c r="K18" s="22">
        <v>1810</v>
      </c>
      <c r="L18" s="22"/>
      <c r="M18" s="22">
        <v>1500</v>
      </c>
      <c r="N18" s="22">
        <v>1000</v>
      </c>
      <c r="O18" s="22">
        <v>1000</v>
      </c>
      <c r="P18" s="41">
        <f>I18+H18+G18+F18+E18+D18+J18+K18+L18+M18+N18+O18</f>
        <v>12597</v>
      </c>
    </row>
    <row r="19" spans="1:16" s="4" customFormat="1" ht="20.100000000000001" customHeight="1" x14ac:dyDescent="0.25">
      <c r="A19" s="6">
        <v>15</v>
      </c>
      <c r="B19" s="7" t="s">
        <v>98</v>
      </c>
      <c r="C19" s="13" t="s">
        <v>219</v>
      </c>
      <c r="D19" s="56">
        <v>1210</v>
      </c>
      <c r="E19" s="56">
        <v>2185</v>
      </c>
      <c r="F19" s="56">
        <v>2355</v>
      </c>
      <c r="G19" s="56">
        <v>270</v>
      </c>
      <c r="H19" s="56">
        <v>1570</v>
      </c>
      <c r="I19" s="56">
        <v>692</v>
      </c>
      <c r="J19" s="56">
        <v>278</v>
      </c>
      <c r="K19" s="56">
        <v>217</v>
      </c>
      <c r="L19" s="22">
        <v>603</v>
      </c>
      <c r="M19" s="56">
        <v>1310</v>
      </c>
      <c r="N19" s="22"/>
      <c r="O19" s="22"/>
      <c r="P19" s="111">
        <f>I19+H19+G19+F19+E19+D19+J19+K19+L19+M19+N19+O19</f>
        <v>10690</v>
      </c>
    </row>
    <row r="20" spans="1:16" s="4" customFormat="1" ht="20.100000000000001" customHeight="1" x14ac:dyDescent="0.25">
      <c r="A20" s="6">
        <v>16</v>
      </c>
      <c r="B20" s="7" t="s">
        <v>110</v>
      </c>
      <c r="C20" s="13" t="s">
        <v>111</v>
      </c>
      <c r="D20" s="56">
        <v>550</v>
      </c>
      <c r="E20" s="56">
        <v>730</v>
      </c>
      <c r="F20" s="56">
        <v>1250</v>
      </c>
      <c r="G20" s="56">
        <v>580</v>
      </c>
      <c r="H20" s="56">
        <v>1271</v>
      </c>
      <c r="I20" s="56">
        <v>280</v>
      </c>
      <c r="J20" s="56">
        <v>785</v>
      </c>
      <c r="K20" s="56">
        <v>625</v>
      </c>
      <c r="L20" s="22">
        <v>550</v>
      </c>
      <c r="M20" s="56">
        <v>1150</v>
      </c>
      <c r="N20" s="22">
        <v>1070</v>
      </c>
      <c r="O20" s="22">
        <v>540</v>
      </c>
      <c r="P20" s="111">
        <f>I20+H20+G20+F20+E20+D20+J20+K20+L20+M20+N20+O20</f>
        <v>9381</v>
      </c>
    </row>
    <row r="21" spans="1:16" s="4" customFormat="1" ht="20.100000000000001" customHeight="1" x14ac:dyDescent="0.25">
      <c r="A21" s="6">
        <v>17</v>
      </c>
      <c r="B21" s="7" t="s">
        <v>108</v>
      </c>
      <c r="C21" s="13" t="s">
        <v>225</v>
      </c>
      <c r="D21" s="56">
        <v>1045</v>
      </c>
      <c r="E21" s="56">
        <v>915</v>
      </c>
      <c r="F21" s="56">
        <v>655</v>
      </c>
      <c r="G21" s="56">
        <v>80</v>
      </c>
      <c r="H21" s="56">
        <v>530</v>
      </c>
      <c r="I21" s="56">
        <v>720</v>
      </c>
      <c r="J21" s="56">
        <v>790</v>
      </c>
      <c r="K21" s="56">
        <v>1160</v>
      </c>
      <c r="L21" s="22">
        <v>1000</v>
      </c>
      <c r="M21" s="56">
        <v>500</v>
      </c>
      <c r="N21" s="22">
        <v>560</v>
      </c>
      <c r="O21" s="22">
        <v>500</v>
      </c>
      <c r="P21" s="111">
        <f>I21+H21+G21+F21+E21+D21+J21+K21+L21+M21+N21+O21</f>
        <v>8455</v>
      </c>
    </row>
    <row r="22" spans="1:16" s="4" customFormat="1" ht="20.100000000000001" customHeight="1" x14ac:dyDescent="0.25">
      <c r="A22" s="6">
        <v>18</v>
      </c>
      <c r="B22" s="7" t="s">
        <v>279</v>
      </c>
      <c r="C22" s="12" t="s">
        <v>220</v>
      </c>
      <c r="D22" s="56">
        <v>595</v>
      </c>
      <c r="E22" s="56">
        <v>595</v>
      </c>
      <c r="F22" s="56">
        <v>615</v>
      </c>
      <c r="G22" s="56">
        <v>695</v>
      </c>
      <c r="H22" s="56">
        <v>680</v>
      </c>
      <c r="I22" s="56">
        <v>1100</v>
      </c>
      <c r="J22" s="56">
        <v>1090</v>
      </c>
      <c r="K22" s="56">
        <v>50</v>
      </c>
      <c r="L22" s="22">
        <v>540</v>
      </c>
      <c r="M22" s="56">
        <v>700</v>
      </c>
      <c r="N22" s="22">
        <v>760</v>
      </c>
      <c r="O22" s="22">
        <v>900</v>
      </c>
      <c r="P22" s="111">
        <f>I22+H22+G22+F22+E22+D22+J22+K22+L22+M22+N22+O22</f>
        <v>8320</v>
      </c>
    </row>
    <row r="23" spans="1:16" s="4" customFormat="1" ht="20.100000000000001" customHeight="1" x14ac:dyDescent="0.25">
      <c r="A23" s="6">
        <v>19</v>
      </c>
      <c r="B23" s="7" t="s">
        <v>100</v>
      </c>
      <c r="C23" s="12" t="s">
        <v>101</v>
      </c>
      <c r="D23" s="56">
        <v>600</v>
      </c>
      <c r="E23" s="56"/>
      <c r="F23" s="56">
        <v>1200</v>
      </c>
      <c r="G23" s="56">
        <v>965</v>
      </c>
      <c r="H23" s="56">
        <v>387</v>
      </c>
      <c r="I23" s="56">
        <v>603</v>
      </c>
      <c r="J23" s="56">
        <v>710</v>
      </c>
      <c r="K23" s="56">
        <v>745</v>
      </c>
      <c r="L23" s="22">
        <v>90</v>
      </c>
      <c r="M23" s="56">
        <v>1000</v>
      </c>
      <c r="N23" s="22">
        <v>500</v>
      </c>
      <c r="O23" s="22">
        <v>800</v>
      </c>
      <c r="P23" s="111">
        <f>I23+H23+G23+F23+E23+D23+J23+K23+L23+M23+N23+O23</f>
        <v>7600</v>
      </c>
    </row>
    <row r="24" spans="1:16" s="4" customFormat="1" ht="20.100000000000001" customHeight="1" x14ac:dyDescent="0.25">
      <c r="A24" s="6">
        <v>20</v>
      </c>
      <c r="B24" s="7" t="s">
        <v>112</v>
      </c>
      <c r="C24" s="8" t="s">
        <v>113</v>
      </c>
      <c r="D24" s="113"/>
      <c r="E24" s="114">
        <v>510</v>
      </c>
      <c r="F24" s="56">
        <v>140</v>
      </c>
      <c r="G24" s="56">
        <v>1020</v>
      </c>
      <c r="H24" s="56">
        <v>775</v>
      </c>
      <c r="I24" s="113">
        <v>1445</v>
      </c>
      <c r="J24" s="114">
        <v>325</v>
      </c>
      <c r="K24" s="114">
        <v>675</v>
      </c>
      <c r="L24" s="22"/>
      <c r="M24" s="114">
        <v>520</v>
      </c>
      <c r="N24" s="22">
        <v>1000</v>
      </c>
      <c r="O24" s="22"/>
      <c r="P24" s="111">
        <f>I24+H24+G24+F24+E24+D24+J24+K24+L24+M24+N24+O24</f>
        <v>6410</v>
      </c>
    </row>
    <row r="25" spans="1:16" s="4" customFormat="1" ht="20.100000000000001" customHeight="1" x14ac:dyDescent="0.25">
      <c r="A25" s="6">
        <v>21</v>
      </c>
      <c r="B25" s="7" t="s">
        <v>106</v>
      </c>
      <c r="C25" s="12" t="s">
        <v>221</v>
      </c>
      <c r="D25" s="56">
        <v>500</v>
      </c>
      <c r="E25" s="56">
        <v>1485</v>
      </c>
      <c r="F25" s="56">
        <v>865</v>
      </c>
      <c r="G25" s="56">
        <v>1660</v>
      </c>
      <c r="H25" s="56"/>
      <c r="I25" s="56"/>
      <c r="J25" s="56">
        <v>500</v>
      </c>
      <c r="K25" s="56"/>
      <c r="L25" s="22"/>
      <c r="M25" s="56">
        <v>500</v>
      </c>
      <c r="N25" s="22"/>
      <c r="O25" s="22">
        <v>500</v>
      </c>
      <c r="P25" s="111">
        <f>I25+H25+G25+F25+E25+D25+J25+K25+L25+M25+N25+O25</f>
        <v>6010</v>
      </c>
    </row>
    <row r="26" spans="1:16" s="4" customFormat="1" ht="20.100000000000001" customHeight="1" x14ac:dyDescent="0.25">
      <c r="A26" s="6">
        <v>22</v>
      </c>
      <c r="B26" s="7" t="s">
        <v>132</v>
      </c>
      <c r="C26" s="14" t="s">
        <v>231</v>
      </c>
      <c r="D26" s="56">
        <v>200</v>
      </c>
      <c r="E26" s="56"/>
      <c r="F26" s="56">
        <v>500</v>
      </c>
      <c r="G26" s="56">
        <v>500</v>
      </c>
      <c r="H26" s="56"/>
      <c r="I26" s="56">
        <v>492</v>
      </c>
      <c r="J26" s="56">
        <v>431</v>
      </c>
      <c r="K26" s="56">
        <v>577</v>
      </c>
      <c r="L26" s="22"/>
      <c r="M26" s="56">
        <v>500</v>
      </c>
      <c r="N26" s="22"/>
      <c r="O26" s="22">
        <v>1000</v>
      </c>
      <c r="P26" s="111">
        <f>I26+H26+G26+F26+E26+D26+J26+K26+L26+M26+N26+O26</f>
        <v>4200</v>
      </c>
    </row>
    <row r="27" spans="1:16" s="4" customFormat="1" ht="20.100000000000001" customHeight="1" x14ac:dyDescent="0.25">
      <c r="A27" s="6">
        <v>23</v>
      </c>
      <c r="B27" s="7" t="s">
        <v>152</v>
      </c>
      <c r="C27" s="13" t="s">
        <v>233</v>
      </c>
      <c r="D27" s="56">
        <v>590</v>
      </c>
      <c r="E27" s="56">
        <v>500</v>
      </c>
      <c r="F27" s="56">
        <v>500</v>
      </c>
      <c r="G27" s="56"/>
      <c r="H27" s="56">
        <v>500</v>
      </c>
      <c r="I27" s="56"/>
      <c r="J27" s="56">
        <v>500</v>
      </c>
      <c r="K27" s="56">
        <v>500</v>
      </c>
      <c r="L27" s="22"/>
      <c r="M27" s="56"/>
      <c r="N27" s="22">
        <v>500</v>
      </c>
      <c r="O27" s="22"/>
      <c r="P27" s="111">
        <f>I27+H27+G27+F27+E27+D27+J27+K27+L27+M27+N27+O27</f>
        <v>3590</v>
      </c>
    </row>
    <row r="28" spans="1:16" s="4" customFormat="1" ht="20.100000000000001" customHeight="1" x14ac:dyDescent="0.25">
      <c r="A28" s="6">
        <v>24</v>
      </c>
      <c r="B28" s="7" t="s">
        <v>142</v>
      </c>
      <c r="C28" s="13" t="s">
        <v>143</v>
      </c>
      <c r="D28" s="56"/>
      <c r="E28" s="56"/>
      <c r="F28" s="56"/>
      <c r="G28" s="56">
        <v>500</v>
      </c>
      <c r="H28" s="56"/>
      <c r="I28" s="56">
        <v>300</v>
      </c>
      <c r="J28" s="56">
        <v>300</v>
      </c>
      <c r="K28" s="56">
        <v>350</v>
      </c>
      <c r="L28" s="22">
        <v>850</v>
      </c>
      <c r="M28" s="56">
        <v>500</v>
      </c>
      <c r="N28" s="22">
        <v>500</v>
      </c>
      <c r="O28" s="22"/>
      <c r="P28" s="111">
        <f>I28+H28+G28+F28+E28+D28+J28+K28+L28+M28+N28+O28</f>
        <v>3300</v>
      </c>
    </row>
    <row r="29" spans="1:16" s="4" customFormat="1" ht="20.100000000000001" customHeight="1" x14ac:dyDescent="0.25">
      <c r="A29" s="6">
        <v>25</v>
      </c>
      <c r="B29" s="7" t="s">
        <v>136</v>
      </c>
      <c r="C29" s="13" t="s">
        <v>236</v>
      </c>
      <c r="D29" s="56"/>
      <c r="E29" s="56"/>
      <c r="F29" s="56"/>
      <c r="G29" s="56"/>
      <c r="H29" s="56"/>
      <c r="I29" s="56"/>
      <c r="J29" s="56"/>
      <c r="K29" s="56"/>
      <c r="L29" s="22"/>
      <c r="M29" s="56"/>
      <c r="N29" s="22">
        <v>2160</v>
      </c>
      <c r="O29" s="22">
        <v>1000</v>
      </c>
      <c r="P29" s="111">
        <f>I29+H29+G29+F29+E29+D29+J29+K29+L29+M29+N29+O29</f>
        <v>3160</v>
      </c>
    </row>
    <row r="30" spans="1:16" s="4" customFormat="1" ht="20.100000000000001" customHeight="1" x14ac:dyDescent="0.25">
      <c r="A30" s="6">
        <v>26</v>
      </c>
      <c r="B30" s="7" t="s">
        <v>124</v>
      </c>
      <c r="C30" s="13" t="s">
        <v>226</v>
      </c>
      <c r="D30" s="56">
        <v>200</v>
      </c>
      <c r="E30" s="56">
        <v>220</v>
      </c>
      <c r="F30" s="56">
        <v>200</v>
      </c>
      <c r="G30" s="56"/>
      <c r="H30" s="56">
        <v>500</v>
      </c>
      <c r="I30" s="56"/>
      <c r="J30" s="56">
        <v>420</v>
      </c>
      <c r="K30" s="56">
        <v>580</v>
      </c>
      <c r="L30" s="22"/>
      <c r="M30" s="56">
        <v>400</v>
      </c>
      <c r="N30" s="22">
        <v>200</v>
      </c>
      <c r="O30" s="22">
        <v>200</v>
      </c>
      <c r="P30" s="111">
        <f>I30+H30+G30+F30+E30+D30+J30+K30+L30+M30+N30+O30</f>
        <v>2920</v>
      </c>
    </row>
    <row r="31" spans="1:16" s="4" customFormat="1" ht="20.100000000000001" customHeight="1" x14ac:dyDescent="0.25">
      <c r="A31" s="6">
        <v>27</v>
      </c>
      <c r="B31" s="7" t="s">
        <v>160</v>
      </c>
      <c r="C31" s="12" t="s">
        <v>228</v>
      </c>
      <c r="D31" s="56">
        <v>320</v>
      </c>
      <c r="E31" s="56">
        <v>220</v>
      </c>
      <c r="F31" s="56">
        <v>320</v>
      </c>
      <c r="G31" s="56">
        <v>300</v>
      </c>
      <c r="H31" s="56">
        <v>200</v>
      </c>
      <c r="I31" s="56">
        <v>200</v>
      </c>
      <c r="J31" s="56">
        <v>235</v>
      </c>
      <c r="K31" s="56">
        <v>315</v>
      </c>
      <c r="L31" s="22">
        <v>50</v>
      </c>
      <c r="M31" s="56">
        <v>310</v>
      </c>
      <c r="N31" s="22"/>
      <c r="O31" s="22">
        <v>330</v>
      </c>
      <c r="P31" s="111">
        <f>I31+H31+G31+F31+E31+D31+J31+K31+L31+M31+N31+O31</f>
        <v>2800</v>
      </c>
    </row>
    <row r="32" spans="1:16" s="4" customFormat="1" ht="20.100000000000001" customHeight="1" x14ac:dyDescent="0.25">
      <c r="A32" s="6">
        <v>28</v>
      </c>
      <c r="B32" s="7" t="s">
        <v>156</v>
      </c>
      <c r="C32" s="36" t="s">
        <v>232</v>
      </c>
      <c r="D32" s="56"/>
      <c r="E32" s="56"/>
      <c r="F32" s="56"/>
      <c r="G32" s="56"/>
      <c r="H32" s="56">
        <v>200</v>
      </c>
      <c r="I32" s="56">
        <v>500</v>
      </c>
      <c r="J32" s="56">
        <v>400</v>
      </c>
      <c r="K32" s="56">
        <v>600</v>
      </c>
      <c r="L32" s="22"/>
      <c r="M32" s="56">
        <v>500</v>
      </c>
      <c r="N32" s="22">
        <v>500</v>
      </c>
      <c r="O32" s="22"/>
      <c r="P32" s="111">
        <f>I32+H32+G32+F32+E32+D32+J32+K32+L32+M32+N32+O32</f>
        <v>2700</v>
      </c>
    </row>
    <row r="33" spans="1:23" s="4" customFormat="1" ht="20.100000000000001" customHeight="1" x14ac:dyDescent="0.25">
      <c r="A33" s="6">
        <v>29</v>
      </c>
      <c r="B33" s="7" t="s">
        <v>134</v>
      </c>
      <c r="C33" s="13" t="s">
        <v>234</v>
      </c>
      <c r="D33" s="56"/>
      <c r="E33" s="56">
        <v>220</v>
      </c>
      <c r="F33" s="56"/>
      <c r="G33" s="56">
        <v>500</v>
      </c>
      <c r="H33" s="56"/>
      <c r="I33" s="56">
        <v>500</v>
      </c>
      <c r="J33" s="56">
        <v>620</v>
      </c>
      <c r="K33" s="56"/>
      <c r="L33" s="22"/>
      <c r="M33" s="56">
        <v>500</v>
      </c>
      <c r="N33" s="22"/>
      <c r="O33" s="22"/>
      <c r="P33" s="111">
        <f>I33+H33+G33+F33+E33+D33+J33+K33+L33+M33+N33+O33</f>
        <v>2340</v>
      </c>
    </row>
    <row r="34" spans="1:23" s="11" customFormat="1" ht="20.100000000000001" customHeight="1" x14ac:dyDescent="0.25">
      <c r="A34" s="6">
        <v>30</v>
      </c>
      <c r="B34" s="7" t="s">
        <v>199</v>
      </c>
      <c r="C34" s="12" t="s">
        <v>224</v>
      </c>
      <c r="D34" s="56">
        <v>50</v>
      </c>
      <c r="E34" s="56">
        <v>505</v>
      </c>
      <c r="F34" s="56"/>
      <c r="G34" s="56"/>
      <c r="H34" s="56">
        <v>450</v>
      </c>
      <c r="I34" s="56">
        <v>50</v>
      </c>
      <c r="J34" s="56">
        <v>0</v>
      </c>
      <c r="K34" s="56">
        <v>445</v>
      </c>
      <c r="L34" s="22">
        <v>55</v>
      </c>
      <c r="M34" s="56"/>
      <c r="N34" s="22"/>
      <c r="O34" s="22">
        <v>505</v>
      </c>
      <c r="P34" s="111">
        <f>I34+H34+G34+F34+E34+D34+J34+K34+L34+M34+N34+O34</f>
        <v>2060</v>
      </c>
      <c r="S34" s="4"/>
      <c r="T34" s="4"/>
      <c r="U34" s="4"/>
      <c r="V34" s="4"/>
      <c r="W34" s="4"/>
    </row>
    <row r="35" spans="1:23" s="4" customFormat="1" ht="20.100000000000001" customHeight="1" x14ac:dyDescent="0.25">
      <c r="A35" s="6">
        <v>31</v>
      </c>
      <c r="B35" s="7" t="s">
        <v>288</v>
      </c>
      <c r="C35" s="8" t="s">
        <v>216</v>
      </c>
      <c r="D35" s="56"/>
      <c r="E35" s="56"/>
      <c r="F35" s="56"/>
      <c r="G35" s="56"/>
      <c r="H35" s="56"/>
      <c r="I35" s="56"/>
      <c r="J35" s="56"/>
      <c r="K35" s="56"/>
      <c r="L35" s="22"/>
      <c r="M35" s="56">
        <v>1280</v>
      </c>
      <c r="N35" s="22"/>
      <c r="O35" s="22">
        <v>660</v>
      </c>
      <c r="P35" s="111">
        <f>I35+H35+G35+F35+E35+D35+J35+K35+L35+M35+N35+O35</f>
        <v>1940</v>
      </c>
      <c r="U35" s="11"/>
      <c r="V35" s="11"/>
      <c r="W35" s="11"/>
    </row>
    <row r="36" spans="1:23" s="4" customFormat="1" ht="20.100000000000001" customHeight="1" x14ac:dyDescent="0.25">
      <c r="A36" s="6">
        <v>32</v>
      </c>
      <c r="B36" s="7" t="s">
        <v>114</v>
      </c>
      <c r="C36" s="13" t="s">
        <v>115</v>
      </c>
      <c r="D36" s="56"/>
      <c r="E36" s="56"/>
      <c r="F36" s="56"/>
      <c r="G36" s="56"/>
      <c r="H36" s="56">
        <v>500</v>
      </c>
      <c r="I36" s="56"/>
      <c r="J36" s="56">
        <v>350</v>
      </c>
      <c r="K36" s="56">
        <v>150</v>
      </c>
      <c r="L36" s="22"/>
      <c r="M36" s="56"/>
      <c r="N36" s="22"/>
      <c r="O36" s="22">
        <v>500</v>
      </c>
      <c r="P36" s="111">
        <f>I36+H36+G36+F36+E36+D36+J36+K36+L36+M36+N36+O36</f>
        <v>1500</v>
      </c>
    </row>
    <row r="37" spans="1:23" s="4" customFormat="1" ht="20.100000000000001" customHeight="1" x14ac:dyDescent="0.25">
      <c r="A37" s="6">
        <v>33</v>
      </c>
      <c r="B37" s="7" t="s">
        <v>194</v>
      </c>
      <c r="C37" s="13" t="s">
        <v>248</v>
      </c>
      <c r="D37" s="56"/>
      <c r="E37" s="56"/>
      <c r="F37" s="56"/>
      <c r="G37" s="56"/>
      <c r="H37" s="56"/>
      <c r="I37" s="56">
        <v>300</v>
      </c>
      <c r="J37" s="56">
        <v>360</v>
      </c>
      <c r="K37" s="56">
        <v>140</v>
      </c>
      <c r="L37" s="22"/>
      <c r="M37" s="56"/>
      <c r="N37" s="22">
        <v>500</v>
      </c>
      <c r="O37" s="22"/>
      <c r="P37" s="111">
        <f>I37+H37+G37+F37+E37+D37+J37+K37+L37+M37+N37+O37</f>
        <v>1300</v>
      </c>
    </row>
    <row r="38" spans="1:23" s="4" customFormat="1" ht="20.100000000000001" customHeight="1" x14ac:dyDescent="0.25">
      <c r="A38" s="6">
        <v>34</v>
      </c>
      <c r="B38" s="7" t="s">
        <v>192</v>
      </c>
      <c r="C38" s="13" t="s">
        <v>246</v>
      </c>
      <c r="D38" s="56"/>
      <c r="E38" s="56">
        <v>220</v>
      </c>
      <c r="F38" s="56"/>
      <c r="G38" s="56"/>
      <c r="H38" s="56">
        <v>300</v>
      </c>
      <c r="I38" s="56"/>
      <c r="J38" s="56">
        <v>260</v>
      </c>
      <c r="K38" s="56"/>
      <c r="L38" s="22"/>
      <c r="M38" s="56">
        <v>340</v>
      </c>
      <c r="N38" s="22"/>
      <c r="O38" s="22"/>
      <c r="P38" s="111">
        <f>I38+H38+G38+F38+E38+D38+J38+K38+L38+M38+N38+O38</f>
        <v>1120</v>
      </c>
    </row>
    <row r="39" spans="1:23" s="4" customFormat="1" ht="20.100000000000001" customHeight="1" x14ac:dyDescent="0.25">
      <c r="A39" s="6">
        <v>35</v>
      </c>
      <c r="B39" s="7" t="s">
        <v>202</v>
      </c>
      <c r="C39" s="13" t="s">
        <v>241</v>
      </c>
      <c r="D39" s="56">
        <v>200</v>
      </c>
      <c r="E39" s="56"/>
      <c r="F39" s="56">
        <v>200</v>
      </c>
      <c r="G39" s="56"/>
      <c r="H39" s="56">
        <v>200</v>
      </c>
      <c r="I39" s="56"/>
      <c r="J39" s="56"/>
      <c r="K39" s="56"/>
      <c r="L39" s="22"/>
      <c r="M39" s="56">
        <v>200</v>
      </c>
      <c r="N39" s="22"/>
      <c r="O39" s="22"/>
      <c r="P39" s="111">
        <f>I39+H39+G39+F39+E39+D39+J39+K39+L39+M39+N39+O39</f>
        <v>800</v>
      </c>
    </row>
    <row r="40" spans="1:23" s="4" customFormat="1" ht="20.100000000000001" customHeight="1" x14ac:dyDescent="0.25">
      <c r="A40" s="6">
        <v>36</v>
      </c>
      <c r="B40" s="7" t="s">
        <v>182</v>
      </c>
      <c r="C40" s="13" t="s">
        <v>242</v>
      </c>
      <c r="D40" s="56"/>
      <c r="E40" s="56">
        <v>200</v>
      </c>
      <c r="F40" s="56"/>
      <c r="G40" s="56"/>
      <c r="H40" s="56"/>
      <c r="I40" s="56"/>
      <c r="J40" s="56">
        <v>500</v>
      </c>
      <c r="K40" s="56"/>
      <c r="L40" s="22"/>
      <c r="M40" s="56"/>
      <c r="N40" s="22"/>
      <c r="O40" s="22"/>
      <c r="P40" s="111">
        <f>I40+H40+G40+F40+E40+D40+J40+K40+L40+M40+N40+O40</f>
        <v>700</v>
      </c>
    </row>
    <row r="41" spans="1:23" s="4" customFormat="1" ht="20.100000000000001" customHeight="1" x14ac:dyDescent="0.25">
      <c r="A41" s="6">
        <v>37</v>
      </c>
      <c r="B41" s="7" t="s">
        <v>200</v>
      </c>
      <c r="C41" s="13" t="s">
        <v>277</v>
      </c>
      <c r="D41" s="56"/>
      <c r="E41" s="56"/>
      <c r="F41" s="56"/>
      <c r="G41" s="56"/>
      <c r="H41" s="56"/>
      <c r="I41" s="56"/>
      <c r="J41" s="56"/>
      <c r="K41" s="56"/>
      <c r="L41" s="22"/>
      <c r="M41" s="56">
        <v>300</v>
      </c>
      <c r="N41" s="22">
        <v>300</v>
      </c>
      <c r="O41" s="22"/>
      <c r="P41" s="111">
        <f>I41+H41+G41+F41+E41+D41+J41+K41+L41+M41+N41+O41</f>
        <v>600</v>
      </c>
    </row>
    <row r="42" spans="1:23" s="4" customFormat="1" ht="20.100000000000001" customHeight="1" x14ac:dyDescent="0.25">
      <c r="A42" s="6">
        <v>38</v>
      </c>
      <c r="B42" s="7" t="s">
        <v>154</v>
      </c>
      <c r="C42" s="38" t="s">
        <v>155</v>
      </c>
      <c r="D42" s="56"/>
      <c r="E42" s="56"/>
      <c r="F42" s="56"/>
      <c r="G42" s="56"/>
      <c r="H42" s="56"/>
      <c r="I42" s="56"/>
      <c r="J42" s="56"/>
      <c r="K42" s="56"/>
      <c r="L42" s="22"/>
      <c r="M42" s="56"/>
      <c r="N42" s="22">
        <v>500</v>
      </c>
      <c r="O42" s="22"/>
      <c r="P42" s="111">
        <f>I42+H42+G42+F42+E42+D42+J42+K42+L42+M42+N42+O42</f>
        <v>500</v>
      </c>
    </row>
    <row r="43" spans="1:23" s="4" customFormat="1" ht="20.100000000000001" customHeight="1" x14ac:dyDescent="0.25">
      <c r="A43" s="6">
        <v>39</v>
      </c>
      <c r="B43" s="7" t="s">
        <v>193</v>
      </c>
      <c r="C43" s="36" t="s">
        <v>247</v>
      </c>
      <c r="D43" s="56"/>
      <c r="E43" s="56">
        <v>220</v>
      </c>
      <c r="F43" s="56">
        <v>240</v>
      </c>
      <c r="G43" s="56"/>
      <c r="H43" s="56"/>
      <c r="I43" s="56"/>
      <c r="J43" s="56"/>
      <c r="K43" s="56"/>
      <c r="L43" s="22"/>
      <c r="M43" s="56"/>
      <c r="N43" s="22"/>
      <c r="O43" s="22"/>
      <c r="P43" s="111">
        <f>I43+H43+G43+F43+E43+D43+J43+K43+L43+M43+N43+O43</f>
        <v>460</v>
      </c>
      <c r="S43" s="11"/>
    </row>
    <row r="44" spans="1:23" s="4" customFormat="1" ht="20.100000000000001" customHeight="1" x14ac:dyDescent="0.25">
      <c r="A44" s="6">
        <v>40</v>
      </c>
      <c r="B44" s="7" t="s">
        <v>162</v>
      </c>
      <c r="C44" s="36" t="s">
        <v>229</v>
      </c>
      <c r="D44" s="56"/>
      <c r="E44" s="56"/>
      <c r="F44" s="56"/>
      <c r="G44" s="56"/>
      <c r="H44" s="56">
        <v>200</v>
      </c>
      <c r="I44" s="56"/>
      <c r="J44" s="56"/>
      <c r="K44" s="56"/>
      <c r="L44" s="22">
        <v>200</v>
      </c>
      <c r="M44" s="56"/>
      <c r="N44" s="22"/>
      <c r="O44" s="22"/>
      <c r="P44" s="111">
        <f>I44+H44+G44+F44+E44+D44+J44+K44+L44+M44+N44+O44</f>
        <v>400</v>
      </c>
    </row>
    <row r="45" spans="1:23" s="2" customFormat="1" ht="20.100000000000001" customHeight="1" x14ac:dyDescent="0.25">
      <c r="A45" s="186" t="s">
        <v>289</v>
      </c>
      <c r="B45" s="186"/>
      <c r="C45" s="186"/>
      <c r="D45" s="86">
        <f>SUM(D5:D44)</f>
        <v>77012</v>
      </c>
      <c r="E45" s="86">
        <f t="shared" ref="E45:P45" si="0">SUM(E5:E44)</f>
        <v>73259</v>
      </c>
      <c r="F45" s="86">
        <f t="shared" si="0"/>
        <v>92786</v>
      </c>
      <c r="G45" s="86">
        <f t="shared" si="0"/>
        <v>61641</v>
      </c>
      <c r="H45" s="86">
        <f t="shared" si="0"/>
        <v>63228</v>
      </c>
      <c r="I45" s="86">
        <f t="shared" si="0"/>
        <v>81024</v>
      </c>
      <c r="J45" s="86">
        <f t="shared" si="0"/>
        <v>86095</v>
      </c>
      <c r="K45" s="86">
        <f t="shared" si="0"/>
        <v>69761</v>
      </c>
      <c r="L45" s="86">
        <f t="shared" si="0"/>
        <v>51164</v>
      </c>
      <c r="M45" s="86">
        <f t="shared" si="0"/>
        <v>68199</v>
      </c>
      <c r="N45" s="86">
        <f t="shared" si="0"/>
        <v>63835</v>
      </c>
      <c r="O45" s="86">
        <f t="shared" si="0"/>
        <v>60225</v>
      </c>
      <c r="P45" s="86">
        <f t="shared" si="0"/>
        <v>848229</v>
      </c>
    </row>
    <row r="46" spans="1:23" s="75" customFormat="1" ht="20.100000000000001" customHeight="1" x14ac:dyDescent="0.25">
      <c r="A46" s="187" t="s">
        <v>290</v>
      </c>
      <c r="B46" s="187"/>
      <c r="C46" s="187"/>
      <c r="D46" s="87">
        <f>MAX(D5:D44)</f>
        <v>23440</v>
      </c>
      <c r="E46" s="87">
        <f t="shared" ref="E46:P46" si="1">MAX(E5:E44)</f>
        <v>19110</v>
      </c>
      <c r="F46" s="87">
        <f t="shared" si="1"/>
        <v>27710</v>
      </c>
      <c r="G46" s="87">
        <f t="shared" si="1"/>
        <v>12910</v>
      </c>
      <c r="H46" s="87">
        <f t="shared" si="1"/>
        <v>19135</v>
      </c>
      <c r="I46" s="87">
        <f t="shared" si="1"/>
        <v>26267</v>
      </c>
      <c r="J46" s="87">
        <f t="shared" si="1"/>
        <v>28854</v>
      </c>
      <c r="K46" s="87">
        <f t="shared" si="1"/>
        <v>23404</v>
      </c>
      <c r="L46" s="87">
        <f t="shared" si="1"/>
        <v>11505</v>
      </c>
      <c r="M46" s="87">
        <f t="shared" si="1"/>
        <v>19880</v>
      </c>
      <c r="N46" s="87">
        <f t="shared" si="1"/>
        <v>21045</v>
      </c>
      <c r="O46" s="87">
        <f t="shared" si="1"/>
        <v>18160</v>
      </c>
      <c r="P46" s="87">
        <f t="shared" si="1"/>
        <v>251420</v>
      </c>
    </row>
    <row r="47" spans="1:23" s="75" customFormat="1" ht="20.100000000000001" customHeight="1" x14ac:dyDescent="0.25">
      <c r="A47" s="188" t="s">
        <v>291</v>
      </c>
      <c r="B47" s="188"/>
      <c r="C47" s="188"/>
      <c r="D47" s="88">
        <f>MIN(D5:D44)</f>
        <v>50</v>
      </c>
      <c r="E47" s="88">
        <f t="shared" ref="E47:P47" si="2">MIN(E5:E44)</f>
        <v>200</v>
      </c>
      <c r="F47" s="88">
        <f t="shared" si="2"/>
        <v>140</v>
      </c>
      <c r="G47" s="88">
        <f t="shared" si="2"/>
        <v>11</v>
      </c>
      <c r="H47" s="88">
        <f t="shared" si="2"/>
        <v>200</v>
      </c>
      <c r="I47" s="88">
        <f t="shared" si="2"/>
        <v>50</v>
      </c>
      <c r="J47" s="88">
        <f t="shared" si="2"/>
        <v>0</v>
      </c>
      <c r="K47" s="88">
        <f t="shared" si="2"/>
        <v>50</v>
      </c>
      <c r="L47" s="88">
        <f t="shared" si="2"/>
        <v>50</v>
      </c>
      <c r="M47" s="88">
        <f t="shared" si="2"/>
        <v>200</v>
      </c>
      <c r="N47" s="88">
        <f t="shared" si="2"/>
        <v>200</v>
      </c>
      <c r="O47" s="88">
        <f t="shared" si="2"/>
        <v>200</v>
      </c>
      <c r="P47" s="88">
        <f t="shared" si="2"/>
        <v>400</v>
      </c>
    </row>
    <row r="48" spans="1:23" s="75" customFormat="1" ht="20.100000000000001" customHeight="1" x14ac:dyDescent="0.25">
      <c r="A48" s="189" t="s">
        <v>292</v>
      </c>
      <c r="B48" s="189"/>
      <c r="C48" s="189"/>
      <c r="D48" s="89">
        <f>AVERAGE(D5:D44)</f>
        <v>2962</v>
      </c>
      <c r="E48" s="89">
        <f t="shared" ref="E48:P48" si="3">AVERAGE(E5:E44)</f>
        <v>2616.3928571428573</v>
      </c>
      <c r="F48" s="89">
        <f t="shared" si="3"/>
        <v>3436.5185185185187</v>
      </c>
      <c r="G48" s="89">
        <f t="shared" si="3"/>
        <v>2465.64</v>
      </c>
      <c r="H48" s="89">
        <f t="shared" si="3"/>
        <v>2180.2758620689656</v>
      </c>
      <c r="I48" s="89">
        <f t="shared" si="3"/>
        <v>3000.8888888888887</v>
      </c>
      <c r="J48" s="89">
        <f t="shared" si="3"/>
        <v>2608.939393939394</v>
      </c>
      <c r="K48" s="89">
        <f t="shared" si="3"/>
        <v>2405.5517241379312</v>
      </c>
      <c r="L48" s="89">
        <f t="shared" si="3"/>
        <v>2325.6363636363635</v>
      </c>
      <c r="M48" s="89">
        <f t="shared" si="3"/>
        <v>2199.9677419354839</v>
      </c>
      <c r="N48" s="89">
        <f t="shared" si="3"/>
        <v>2364.2592592592591</v>
      </c>
      <c r="O48" s="89">
        <f t="shared" si="3"/>
        <v>2409</v>
      </c>
      <c r="P48" s="89">
        <f t="shared" si="3"/>
        <v>21205.724999999999</v>
      </c>
    </row>
    <row r="49" spans="1:16" s="75" customFormat="1" ht="20.100000000000001" customHeight="1" x14ac:dyDescent="0.25">
      <c r="A49" s="190" t="s">
        <v>293</v>
      </c>
      <c r="B49" s="190"/>
      <c r="C49" s="190"/>
      <c r="D49" s="90">
        <f>COUNT(D5:D44)</f>
        <v>26</v>
      </c>
      <c r="E49" s="90">
        <f t="shared" ref="E49:P49" si="4">COUNT(E5:E44)</f>
        <v>28</v>
      </c>
      <c r="F49" s="90">
        <f t="shared" si="4"/>
        <v>27</v>
      </c>
      <c r="G49" s="90">
        <f t="shared" si="4"/>
        <v>25</v>
      </c>
      <c r="H49" s="90">
        <f t="shared" si="4"/>
        <v>29</v>
      </c>
      <c r="I49" s="90">
        <f t="shared" si="4"/>
        <v>27</v>
      </c>
      <c r="J49" s="90">
        <f t="shared" si="4"/>
        <v>33</v>
      </c>
      <c r="K49" s="90">
        <f t="shared" si="4"/>
        <v>29</v>
      </c>
      <c r="L49" s="90">
        <f t="shared" si="4"/>
        <v>22</v>
      </c>
      <c r="M49" s="90">
        <f t="shared" si="4"/>
        <v>31</v>
      </c>
      <c r="N49" s="90">
        <f t="shared" si="4"/>
        <v>27</v>
      </c>
      <c r="O49" s="90">
        <f t="shared" si="4"/>
        <v>25</v>
      </c>
      <c r="P49" s="90">
        <f t="shared" si="4"/>
        <v>40</v>
      </c>
    </row>
    <row r="52" spans="1:16" x14ac:dyDescent="0.25">
      <c r="L52" s="21"/>
      <c r="N52" s="21"/>
      <c r="O52" s="21"/>
    </row>
  </sheetData>
  <sortState ref="A5:P44">
    <sortCondition descending="1" ref="P5:P44"/>
  </sortState>
  <mergeCells count="10">
    <mergeCell ref="A1:P1"/>
    <mergeCell ref="A3:A4"/>
    <mergeCell ref="C3:C4"/>
    <mergeCell ref="A48:C48"/>
    <mergeCell ref="A49:C49"/>
    <mergeCell ref="N2:P2"/>
    <mergeCell ref="A45:C45"/>
    <mergeCell ref="A46:C46"/>
    <mergeCell ref="A47:C47"/>
    <mergeCell ref="B3:B4"/>
  </mergeCells>
  <pageMargins left="0" right="0" top="0" bottom="0" header="0.3" footer="0.3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R47"/>
  <sheetViews>
    <sheetView workbookViewId="0">
      <selection activeCell="D9" sqref="D9"/>
    </sheetView>
  </sheetViews>
  <sheetFormatPr defaultRowHeight="17.25" x14ac:dyDescent="0.25"/>
  <cols>
    <col min="1" max="1" width="5.28515625" style="32" bestFit="1" customWidth="1"/>
    <col min="2" max="2" width="8.140625" style="127" customWidth="1"/>
    <col min="3" max="3" width="25.5703125" style="32" customWidth="1"/>
    <col min="4" max="15" width="7.7109375" style="32" customWidth="1"/>
    <col min="16" max="16" width="11.85546875" style="32" customWidth="1"/>
    <col min="17" max="16384" width="9.140625" style="32"/>
  </cols>
  <sheetData>
    <row r="1" spans="1:18" s="5" customFormat="1" ht="24.75" customHeight="1" x14ac:dyDescent="0.25">
      <c r="A1" s="182" t="s">
        <v>299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57"/>
    </row>
    <row r="2" spans="1:18" s="4" customFormat="1" ht="24.75" customHeight="1" x14ac:dyDescent="0.25">
      <c r="A2" s="97"/>
      <c r="B2" s="96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185" t="s">
        <v>294</v>
      </c>
      <c r="O2" s="185"/>
      <c r="P2" s="185"/>
      <c r="Q2" s="57"/>
      <c r="R2" s="5"/>
    </row>
    <row r="3" spans="1:18" s="123" customFormat="1" ht="24.75" customHeight="1" x14ac:dyDescent="0.25">
      <c r="A3" s="204" t="s">
        <v>211</v>
      </c>
      <c r="B3" s="205" t="s">
        <v>249</v>
      </c>
      <c r="C3" s="207" t="s">
        <v>295</v>
      </c>
      <c r="D3" s="107">
        <v>43831</v>
      </c>
      <c r="E3" s="107">
        <v>43862</v>
      </c>
      <c r="F3" s="107">
        <v>43891</v>
      </c>
      <c r="G3" s="107">
        <v>43922</v>
      </c>
      <c r="H3" s="107">
        <v>43952</v>
      </c>
      <c r="I3" s="107">
        <v>43983</v>
      </c>
      <c r="J3" s="107">
        <v>44013</v>
      </c>
      <c r="K3" s="107">
        <v>44044</v>
      </c>
      <c r="L3" s="107">
        <v>44075</v>
      </c>
      <c r="M3" s="107">
        <v>44105</v>
      </c>
      <c r="N3" s="107">
        <v>44136</v>
      </c>
      <c r="O3" s="107">
        <v>44166</v>
      </c>
      <c r="P3" s="208" t="s">
        <v>300</v>
      </c>
    </row>
    <row r="4" spans="1:18" s="123" customFormat="1" ht="24.75" customHeight="1" x14ac:dyDescent="0.25">
      <c r="A4" s="204"/>
      <c r="B4" s="206"/>
      <c r="C4" s="207"/>
      <c r="D4" s="78" t="s">
        <v>213</v>
      </c>
      <c r="E4" s="78" t="s">
        <v>213</v>
      </c>
      <c r="F4" s="78" t="s">
        <v>213</v>
      </c>
      <c r="G4" s="78" t="s">
        <v>213</v>
      </c>
      <c r="H4" s="78" t="s">
        <v>213</v>
      </c>
      <c r="I4" s="78" t="s">
        <v>213</v>
      </c>
      <c r="J4" s="78" t="s">
        <v>213</v>
      </c>
      <c r="K4" s="78" t="s">
        <v>213</v>
      </c>
      <c r="L4" s="78" t="s">
        <v>213</v>
      </c>
      <c r="M4" s="78" t="s">
        <v>213</v>
      </c>
      <c r="N4" s="78" t="s">
        <v>213</v>
      </c>
      <c r="O4" s="78" t="s">
        <v>213</v>
      </c>
      <c r="P4" s="209"/>
    </row>
    <row r="5" spans="1:18" ht="20.100000000000001" customHeight="1" x14ac:dyDescent="0.25">
      <c r="A5" s="79">
        <v>1</v>
      </c>
      <c r="B5" s="20" t="s">
        <v>45</v>
      </c>
      <c r="C5" s="101" t="s">
        <v>46</v>
      </c>
      <c r="D5" s="37">
        <v>6635</v>
      </c>
      <c r="E5" s="37">
        <v>4913</v>
      </c>
      <c r="F5" s="37">
        <v>7390</v>
      </c>
      <c r="G5" s="37">
        <v>4230</v>
      </c>
      <c r="H5" s="37">
        <v>5330</v>
      </c>
      <c r="I5" s="37">
        <v>6975</v>
      </c>
      <c r="J5" s="37">
        <v>7390</v>
      </c>
      <c r="K5" s="37">
        <v>8400</v>
      </c>
      <c r="L5" s="37">
        <v>5090</v>
      </c>
      <c r="M5" s="37">
        <v>2310</v>
      </c>
      <c r="N5" s="37">
        <v>2555</v>
      </c>
      <c r="O5" s="37">
        <v>9586</v>
      </c>
      <c r="P5" s="102">
        <f>SUM(D5:O5)</f>
        <v>70804</v>
      </c>
    </row>
    <row r="6" spans="1:18" ht="20.100000000000001" customHeight="1" x14ac:dyDescent="0.25">
      <c r="A6" s="79">
        <v>2</v>
      </c>
      <c r="B6" s="20" t="s">
        <v>13</v>
      </c>
      <c r="C6" s="101" t="s">
        <v>14</v>
      </c>
      <c r="D6" s="37">
        <v>3515</v>
      </c>
      <c r="E6" s="37">
        <v>4845</v>
      </c>
      <c r="F6" s="37">
        <v>4560</v>
      </c>
      <c r="G6" s="37">
        <v>2650</v>
      </c>
      <c r="H6" s="37">
        <v>5745</v>
      </c>
      <c r="I6" s="37">
        <v>6845</v>
      </c>
      <c r="J6" s="37">
        <v>5610</v>
      </c>
      <c r="K6" s="37">
        <v>6705</v>
      </c>
      <c r="L6" s="37">
        <v>4540</v>
      </c>
      <c r="M6" s="37">
        <v>1280</v>
      </c>
      <c r="N6" s="37">
        <v>2207</v>
      </c>
      <c r="O6" s="37">
        <v>7128</v>
      </c>
      <c r="P6" s="102">
        <f>SUM(D6:O6)</f>
        <v>55630</v>
      </c>
    </row>
    <row r="7" spans="1:18" ht="20.100000000000001" customHeight="1" x14ac:dyDescent="0.25">
      <c r="A7" s="79">
        <v>3</v>
      </c>
      <c r="B7" s="20" t="s">
        <v>23</v>
      </c>
      <c r="C7" s="101" t="s">
        <v>24</v>
      </c>
      <c r="D7" s="37">
        <v>2660</v>
      </c>
      <c r="E7" s="37">
        <v>3871</v>
      </c>
      <c r="F7" s="37">
        <v>4245</v>
      </c>
      <c r="G7" s="37">
        <v>1400</v>
      </c>
      <c r="H7" s="37">
        <v>6210</v>
      </c>
      <c r="I7" s="37">
        <v>4799</v>
      </c>
      <c r="J7" s="37">
        <v>4160</v>
      </c>
      <c r="K7" s="37">
        <v>3890</v>
      </c>
      <c r="L7" s="37">
        <v>4280</v>
      </c>
      <c r="M7" s="37">
        <v>1495</v>
      </c>
      <c r="N7" s="37">
        <v>1840</v>
      </c>
      <c r="O7" s="37">
        <v>4325</v>
      </c>
      <c r="P7" s="102">
        <f>SUM(D7:O7)</f>
        <v>43175</v>
      </c>
    </row>
    <row r="8" spans="1:18" ht="20.100000000000001" customHeight="1" x14ac:dyDescent="0.25">
      <c r="A8" s="79">
        <v>4</v>
      </c>
      <c r="B8" s="20" t="s">
        <v>57</v>
      </c>
      <c r="C8" s="101" t="s">
        <v>58</v>
      </c>
      <c r="D8" s="37">
        <v>3715</v>
      </c>
      <c r="E8" s="37">
        <v>2788</v>
      </c>
      <c r="F8" s="37">
        <v>3925</v>
      </c>
      <c r="G8" s="37">
        <v>1300</v>
      </c>
      <c r="H8" s="37">
        <v>4465</v>
      </c>
      <c r="I8" s="37">
        <v>3825</v>
      </c>
      <c r="J8" s="37">
        <v>4275</v>
      </c>
      <c r="K8" s="37">
        <v>3950</v>
      </c>
      <c r="L8" s="37">
        <v>2318</v>
      </c>
      <c r="M8" s="37">
        <v>492</v>
      </c>
      <c r="N8" s="37">
        <v>2500</v>
      </c>
      <c r="O8" s="37">
        <v>6685</v>
      </c>
      <c r="P8" s="102">
        <f>SUM(D8:O8)</f>
        <v>40238</v>
      </c>
    </row>
    <row r="9" spans="1:18" ht="20.100000000000001" customHeight="1" x14ac:dyDescent="0.25">
      <c r="A9" s="79">
        <v>5</v>
      </c>
      <c r="B9" s="20" t="s">
        <v>51</v>
      </c>
      <c r="C9" s="101" t="s">
        <v>52</v>
      </c>
      <c r="D9" s="37">
        <v>1610</v>
      </c>
      <c r="E9" s="37">
        <v>1930</v>
      </c>
      <c r="F9" s="37">
        <v>2850</v>
      </c>
      <c r="G9" s="37">
        <v>785</v>
      </c>
      <c r="H9" s="37">
        <v>6770</v>
      </c>
      <c r="I9" s="37">
        <v>5895</v>
      </c>
      <c r="J9" s="37">
        <v>4865</v>
      </c>
      <c r="K9" s="37">
        <v>3950</v>
      </c>
      <c r="L9" s="37">
        <v>2100</v>
      </c>
      <c r="M9" s="37">
        <v>455</v>
      </c>
      <c r="N9" s="37">
        <v>1845</v>
      </c>
      <c r="O9" s="37">
        <v>3795</v>
      </c>
      <c r="P9" s="102">
        <f>SUM(D9:O9)</f>
        <v>36850</v>
      </c>
    </row>
    <row r="10" spans="1:18" ht="20.100000000000001" customHeight="1" x14ac:dyDescent="0.25">
      <c r="A10" s="79">
        <v>6</v>
      </c>
      <c r="B10" s="20" t="s">
        <v>43</v>
      </c>
      <c r="C10" s="101" t="s">
        <v>44</v>
      </c>
      <c r="D10" s="37">
        <v>3415</v>
      </c>
      <c r="E10" s="37">
        <v>2140</v>
      </c>
      <c r="F10" s="37">
        <v>3345</v>
      </c>
      <c r="G10" s="37">
        <v>1420</v>
      </c>
      <c r="H10" s="37">
        <v>2765</v>
      </c>
      <c r="I10" s="37">
        <v>4595</v>
      </c>
      <c r="J10" s="37">
        <v>3490</v>
      </c>
      <c r="K10" s="37">
        <v>3440</v>
      </c>
      <c r="L10" s="37">
        <v>2460</v>
      </c>
      <c r="M10" s="37">
        <v>1990</v>
      </c>
      <c r="N10" s="37">
        <v>1465</v>
      </c>
      <c r="O10" s="37">
        <v>4520</v>
      </c>
      <c r="P10" s="102">
        <f>SUM(D10:O10)</f>
        <v>35045</v>
      </c>
    </row>
    <row r="11" spans="1:18" ht="20.100000000000001" customHeight="1" x14ac:dyDescent="0.25">
      <c r="A11" s="79">
        <v>7</v>
      </c>
      <c r="B11" s="20" t="s">
        <v>7</v>
      </c>
      <c r="C11" s="101" t="s">
        <v>8</v>
      </c>
      <c r="D11" s="37">
        <v>2420</v>
      </c>
      <c r="E11" s="37">
        <v>3910</v>
      </c>
      <c r="F11" s="37">
        <v>3415</v>
      </c>
      <c r="G11" s="37">
        <v>1660</v>
      </c>
      <c r="H11" s="37">
        <v>2880</v>
      </c>
      <c r="I11" s="37">
        <v>3830</v>
      </c>
      <c r="J11" s="37">
        <v>2580</v>
      </c>
      <c r="K11" s="37">
        <v>3190</v>
      </c>
      <c r="L11" s="37">
        <v>2360</v>
      </c>
      <c r="M11" s="37">
        <v>1275</v>
      </c>
      <c r="N11" s="37">
        <v>1635</v>
      </c>
      <c r="O11" s="37">
        <v>4705</v>
      </c>
      <c r="P11" s="102">
        <f>SUM(D11:O11)</f>
        <v>33860</v>
      </c>
    </row>
    <row r="12" spans="1:18" ht="20.100000000000001" customHeight="1" x14ac:dyDescent="0.25">
      <c r="A12" s="79">
        <v>8</v>
      </c>
      <c r="B12" s="20" t="s">
        <v>27</v>
      </c>
      <c r="C12" s="101" t="s">
        <v>28</v>
      </c>
      <c r="D12" s="37">
        <v>1515</v>
      </c>
      <c r="E12" s="37">
        <v>2252</v>
      </c>
      <c r="F12" s="37">
        <v>2650</v>
      </c>
      <c r="G12" s="37">
        <v>1070</v>
      </c>
      <c r="H12" s="37">
        <v>2095</v>
      </c>
      <c r="I12" s="37">
        <v>3385</v>
      </c>
      <c r="J12" s="37">
        <v>3080</v>
      </c>
      <c r="K12" s="37">
        <v>2905</v>
      </c>
      <c r="L12" s="37">
        <v>2145</v>
      </c>
      <c r="M12" s="37">
        <v>1320</v>
      </c>
      <c r="N12" s="37">
        <v>2120</v>
      </c>
      <c r="O12" s="37">
        <v>2390</v>
      </c>
      <c r="P12" s="102">
        <f>SUM(D12:O12)</f>
        <v>26927</v>
      </c>
    </row>
    <row r="13" spans="1:18" ht="20.100000000000001" customHeight="1" x14ac:dyDescent="0.25">
      <c r="A13" s="79">
        <v>9</v>
      </c>
      <c r="B13" s="20" t="s">
        <v>55</v>
      </c>
      <c r="C13" s="101" t="s">
        <v>56</v>
      </c>
      <c r="D13" s="37">
        <v>1865</v>
      </c>
      <c r="E13" s="37">
        <v>1877</v>
      </c>
      <c r="F13" s="37">
        <v>2025</v>
      </c>
      <c r="G13" s="37">
        <v>670</v>
      </c>
      <c r="H13" s="37">
        <v>2950</v>
      </c>
      <c r="I13" s="37">
        <v>3870</v>
      </c>
      <c r="J13" s="37">
        <v>2205</v>
      </c>
      <c r="K13" s="37">
        <v>2935</v>
      </c>
      <c r="L13" s="37">
        <v>2510</v>
      </c>
      <c r="M13" s="37">
        <v>1650</v>
      </c>
      <c r="N13" s="37">
        <v>2010</v>
      </c>
      <c r="O13" s="37">
        <v>1600</v>
      </c>
      <c r="P13" s="102">
        <f>SUM(D13:O13)</f>
        <v>26167</v>
      </c>
    </row>
    <row r="14" spans="1:18" ht="20.100000000000001" customHeight="1" x14ac:dyDescent="0.25">
      <c r="A14" s="79">
        <v>10</v>
      </c>
      <c r="B14" s="20" t="s">
        <v>17</v>
      </c>
      <c r="C14" s="101" t="s">
        <v>18</v>
      </c>
      <c r="D14" s="37">
        <v>1545</v>
      </c>
      <c r="E14" s="37">
        <v>1835</v>
      </c>
      <c r="F14" s="37">
        <v>2770</v>
      </c>
      <c r="G14" s="37">
        <v>970</v>
      </c>
      <c r="H14" s="37">
        <v>2445</v>
      </c>
      <c r="I14" s="37">
        <v>2665</v>
      </c>
      <c r="J14" s="37">
        <v>3600</v>
      </c>
      <c r="K14" s="37">
        <v>2450</v>
      </c>
      <c r="L14" s="37">
        <v>1630</v>
      </c>
      <c r="M14" s="37">
        <v>1165</v>
      </c>
      <c r="N14" s="37">
        <v>2050</v>
      </c>
      <c r="O14" s="37">
        <v>3014</v>
      </c>
      <c r="P14" s="102">
        <f>SUM(D14:O14)</f>
        <v>26139</v>
      </c>
    </row>
    <row r="15" spans="1:18" ht="20.100000000000001" customHeight="1" x14ac:dyDescent="0.25">
      <c r="A15" s="79">
        <v>11</v>
      </c>
      <c r="B15" s="20" t="s">
        <v>33</v>
      </c>
      <c r="C15" s="101" t="s">
        <v>34</v>
      </c>
      <c r="D15" s="37">
        <v>2350</v>
      </c>
      <c r="E15" s="37">
        <v>2630</v>
      </c>
      <c r="F15" s="37">
        <v>3280</v>
      </c>
      <c r="G15" s="37">
        <v>1250</v>
      </c>
      <c r="H15" s="37">
        <v>2115</v>
      </c>
      <c r="I15" s="37">
        <v>3135</v>
      </c>
      <c r="J15" s="37">
        <v>2275</v>
      </c>
      <c r="K15" s="37">
        <v>1670</v>
      </c>
      <c r="L15" s="37">
        <v>1460</v>
      </c>
      <c r="M15" s="37">
        <v>1540</v>
      </c>
      <c r="N15" s="37">
        <v>1300</v>
      </c>
      <c r="O15" s="37">
        <v>2090</v>
      </c>
      <c r="P15" s="102">
        <f>SUM(D15:O15)</f>
        <v>25095</v>
      </c>
    </row>
    <row r="16" spans="1:18" ht="20.100000000000001" customHeight="1" x14ac:dyDescent="0.25">
      <c r="A16" s="79">
        <v>12</v>
      </c>
      <c r="B16" s="20" t="s">
        <v>49</v>
      </c>
      <c r="C16" s="101" t="s">
        <v>50</v>
      </c>
      <c r="D16" s="37">
        <v>1835</v>
      </c>
      <c r="E16" s="37">
        <v>1385</v>
      </c>
      <c r="F16" s="37">
        <v>1860</v>
      </c>
      <c r="G16" s="37">
        <v>1005</v>
      </c>
      <c r="H16" s="37">
        <v>1975</v>
      </c>
      <c r="I16" s="37">
        <v>1835</v>
      </c>
      <c r="J16" s="37">
        <v>1950</v>
      </c>
      <c r="K16" s="37">
        <v>2145</v>
      </c>
      <c r="L16" s="37">
        <v>1780</v>
      </c>
      <c r="M16" s="37">
        <v>2215</v>
      </c>
      <c r="N16" s="37">
        <v>1535</v>
      </c>
      <c r="O16" s="37">
        <v>3270</v>
      </c>
      <c r="P16" s="102">
        <f>SUM(D16:O16)</f>
        <v>22790</v>
      </c>
    </row>
    <row r="17" spans="1:16" ht="20.100000000000001" customHeight="1" x14ac:dyDescent="0.25">
      <c r="A17" s="79">
        <v>13</v>
      </c>
      <c r="B17" s="20" t="s">
        <v>47</v>
      </c>
      <c r="C17" s="101" t="s">
        <v>48</v>
      </c>
      <c r="D17" s="37">
        <v>1595</v>
      </c>
      <c r="E17" s="37">
        <v>1360</v>
      </c>
      <c r="F17" s="37">
        <v>1385</v>
      </c>
      <c r="G17" s="37">
        <v>1000</v>
      </c>
      <c r="H17" s="37">
        <v>1105</v>
      </c>
      <c r="I17" s="37">
        <v>1715</v>
      </c>
      <c r="J17" s="37">
        <v>2910</v>
      </c>
      <c r="K17" s="37">
        <v>1715</v>
      </c>
      <c r="L17" s="37">
        <v>1215</v>
      </c>
      <c r="M17" s="37">
        <v>1910</v>
      </c>
      <c r="N17" s="37">
        <v>2215</v>
      </c>
      <c r="O17" s="37">
        <v>2228</v>
      </c>
      <c r="P17" s="102">
        <f>SUM(D17:O17)</f>
        <v>20353</v>
      </c>
    </row>
    <row r="18" spans="1:16" ht="20.100000000000001" customHeight="1" x14ac:dyDescent="0.25">
      <c r="A18" s="79">
        <v>14</v>
      </c>
      <c r="B18" s="20" t="s">
        <v>25</v>
      </c>
      <c r="C18" s="101" t="s">
        <v>26</v>
      </c>
      <c r="D18" s="37">
        <v>1670</v>
      </c>
      <c r="E18" s="37">
        <v>1495</v>
      </c>
      <c r="F18" s="37">
        <v>1740</v>
      </c>
      <c r="G18" s="37">
        <v>1080</v>
      </c>
      <c r="H18" s="37">
        <v>1880</v>
      </c>
      <c r="I18" s="37">
        <v>1630</v>
      </c>
      <c r="J18" s="37">
        <v>1650</v>
      </c>
      <c r="K18" s="37">
        <v>1915</v>
      </c>
      <c r="L18" s="37">
        <v>1785</v>
      </c>
      <c r="M18" s="37">
        <v>1190</v>
      </c>
      <c r="N18" s="37">
        <v>2280</v>
      </c>
      <c r="O18" s="37">
        <v>1985</v>
      </c>
      <c r="P18" s="102">
        <f>SUM(D18:O18)</f>
        <v>20300</v>
      </c>
    </row>
    <row r="19" spans="1:16" ht="20.100000000000001" customHeight="1" x14ac:dyDescent="0.25">
      <c r="A19" s="79">
        <v>15</v>
      </c>
      <c r="B19" s="20" t="s">
        <v>35</v>
      </c>
      <c r="C19" s="101" t="s">
        <v>36</v>
      </c>
      <c r="D19" s="37">
        <v>965</v>
      </c>
      <c r="E19" s="37">
        <v>2551</v>
      </c>
      <c r="F19" s="37">
        <v>2305</v>
      </c>
      <c r="G19" s="37">
        <v>1114</v>
      </c>
      <c r="H19" s="37">
        <v>1954</v>
      </c>
      <c r="I19" s="37">
        <v>2240</v>
      </c>
      <c r="J19" s="37">
        <v>1430</v>
      </c>
      <c r="K19" s="37">
        <v>1270</v>
      </c>
      <c r="L19" s="37">
        <v>350</v>
      </c>
      <c r="M19" s="37">
        <v>640</v>
      </c>
      <c r="N19" s="37">
        <v>1850</v>
      </c>
      <c r="O19" s="37">
        <v>1230</v>
      </c>
      <c r="P19" s="102">
        <f>SUM(D19:O19)</f>
        <v>17899</v>
      </c>
    </row>
    <row r="20" spans="1:16" ht="20.100000000000001" customHeight="1" x14ac:dyDescent="0.25">
      <c r="A20" s="79">
        <v>16</v>
      </c>
      <c r="B20" s="20" t="s">
        <v>21</v>
      </c>
      <c r="C20" s="101" t="s">
        <v>22</v>
      </c>
      <c r="D20" s="37">
        <v>475</v>
      </c>
      <c r="E20" s="37">
        <v>645</v>
      </c>
      <c r="F20" s="37">
        <v>470</v>
      </c>
      <c r="G20" s="37">
        <v>325</v>
      </c>
      <c r="H20" s="37">
        <v>3490</v>
      </c>
      <c r="I20" s="37">
        <v>5550</v>
      </c>
      <c r="J20" s="37">
        <v>1020</v>
      </c>
      <c r="K20" s="37">
        <v>2910</v>
      </c>
      <c r="L20" s="37">
        <v>740</v>
      </c>
      <c r="M20" s="37">
        <v>420</v>
      </c>
      <c r="N20" s="37">
        <v>130</v>
      </c>
      <c r="O20" s="37">
        <v>1050</v>
      </c>
      <c r="P20" s="102">
        <f>SUM(D20:O20)</f>
        <v>17225</v>
      </c>
    </row>
    <row r="21" spans="1:16" ht="20.100000000000001" customHeight="1" x14ac:dyDescent="0.25">
      <c r="A21" s="79">
        <v>17</v>
      </c>
      <c r="B21" s="20" t="s">
        <v>9</v>
      </c>
      <c r="C21" s="101" t="s">
        <v>10</v>
      </c>
      <c r="D21" s="37">
        <v>1235</v>
      </c>
      <c r="E21" s="37">
        <v>1373</v>
      </c>
      <c r="F21" s="37">
        <v>1585</v>
      </c>
      <c r="G21" s="37">
        <v>450</v>
      </c>
      <c r="H21" s="37">
        <v>1675</v>
      </c>
      <c r="I21" s="37">
        <v>2570</v>
      </c>
      <c r="J21" s="37">
        <v>1280</v>
      </c>
      <c r="K21" s="37">
        <v>1480</v>
      </c>
      <c r="L21" s="37">
        <v>945</v>
      </c>
      <c r="M21" s="37">
        <v>1560</v>
      </c>
      <c r="N21" s="37">
        <v>850</v>
      </c>
      <c r="O21" s="37">
        <v>1010</v>
      </c>
      <c r="P21" s="102">
        <f>SUM(D21:O21)</f>
        <v>16013</v>
      </c>
    </row>
    <row r="22" spans="1:16" ht="20.100000000000001" customHeight="1" x14ac:dyDescent="0.25">
      <c r="A22" s="79">
        <v>18</v>
      </c>
      <c r="B22" s="20" t="s">
        <v>15</v>
      </c>
      <c r="C22" s="101" t="s">
        <v>16</v>
      </c>
      <c r="D22" s="37">
        <v>965</v>
      </c>
      <c r="E22" s="37">
        <v>1454</v>
      </c>
      <c r="F22" s="37">
        <v>1495</v>
      </c>
      <c r="G22" s="37">
        <v>633</v>
      </c>
      <c r="H22" s="37">
        <v>1297</v>
      </c>
      <c r="I22" s="37">
        <v>2150</v>
      </c>
      <c r="J22" s="37">
        <v>1175</v>
      </c>
      <c r="K22" s="37">
        <v>1325</v>
      </c>
      <c r="L22" s="37">
        <v>750</v>
      </c>
      <c r="M22" s="37">
        <v>500</v>
      </c>
      <c r="N22" s="37">
        <v>1775</v>
      </c>
      <c r="O22" s="37">
        <v>1140</v>
      </c>
      <c r="P22" s="102">
        <f>SUM(D22:O22)</f>
        <v>14659</v>
      </c>
    </row>
    <row r="23" spans="1:16" ht="20.100000000000001" customHeight="1" x14ac:dyDescent="0.25">
      <c r="A23" s="79">
        <v>19</v>
      </c>
      <c r="B23" s="20" t="s">
        <v>53</v>
      </c>
      <c r="C23" s="101" t="s">
        <v>54</v>
      </c>
      <c r="D23" s="37">
        <v>265</v>
      </c>
      <c r="E23" s="37">
        <v>404</v>
      </c>
      <c r="F23" s="37">
        <v>285</v>
      </c>
      <c r="G23" s="37">
        <v>175</v>
      </c>
      <c r="H23" s="37">
        <v>1585</v>
      </c>
      <c r="I23" s="37">
        <v>4940</v>
      </c>
      <c r="J23" s="37">
        <v>1240</v>
      </c>
      <c r="K23" s="37">
        <v>1760</v>
      </c>
      <c r="L23" s="37">
        <v>940</v>
      </c>
      <c r="M23" s="37">
        <v>380</v>
      </c>
      <c r="N23" s="37">
        <v>1040</v>
      </c>
      <c r="O23" s="37">
        <v>1230</v>
      </c>
      <c r="P23" s="102">
        <f>SUM(D23:O23)</f>
        <v>14244</v>
      </c>
    </row>
    <row r="24" spans="1:16" ht="20.100000000000001" customHeight="1" x14ac:dyDescent="0.25">
      <c r="A24" s="79">
        <v>20</v>
      </c>
      <c r="B24" s="20" t="s">
        <v>29</v>
      </c>
      <c r="C24" s="101" t="s">
        <v>30</v>
      </c>
      <c r="D24" s="37">
        <v>1610</v>
      </c>
      <c r="E24" s="37">
        <v>1760</v>
      </c>
      <c r="F24" s="37">
        <v>1335</v>
      </c>
      <c r="G24" s="37">
        <v>725</v>
      </c>
      <c r="H24" s="37">
        <v>1460</v>
      </c>
      <c r="I24" s="37">
        <v>960</v>
      </c>
      <c r="J24" s="37">
        <v>1850</v>
      </c>
      <c r="K24" s="37">
        <v>940</v>
      </c>
      <c r="L24" s="37">
        <v>600</v>
      </c>
      <c r="M24" s="37">
        <v>925</v>
      </c>
      <c r="N24" s="37">
        <v>605</v>
      </c>
      <c r="O24" s="37">
        <v>1200</v>
      </c>
      <c r="P24" s="102">
        <f>SUM(D24:O24)</f>
        <v>13970</v>
      </c>
    </row>
    <row r="25" spans="1:16" ht="20.100000000000001" customHeight="1" x14ac:dyDescent="0.25">
      <c r="A25" s="79">
        <v>21</v>
      </c>
      <c r="B25" s="20" t="s">
        <v>61</v>
      </c>
      <c r="C25" s="101" t="s">
        <v>62</v>
      </c>
      <c r="D25" s="37">
        <v>520</v>
      </c>
      <c r="E25" s="37">
        <v>1695</v>
      </c>
      <c r="F25" s="37">
        <v>1685</v>
      </c>
      <c r="G25" s="37">
        <v>975</v>
      </c>
      <c r="H25" s="37">
        <v>880</v>
      </c>
      <c r="I25" s="37">
        <v>1110</v>
      </c>
      <c r="J25" s="37">
        <v>1550</v>
      </c>
      <c r="K25" s="37">
        <v>920</v>
      </c>
      <c r="L25" s="37">
        <v>570</v>
      </c>
      <c r="M25" s="37">
        <v>300</v>
      </c>
      <c r="N25" s="37">
        <v>1520</v>
      </c>
      <c r="O25" s="37">
        <v>1190</v>
      </c>
      <c r="P25" s="102">
        <f>SUM(D25:O25)</f>
        <v>12915</v>
      </c>
    </row>
    <row r="26" spans="1:16" ht="20.100000000000001" customHeight="1" x14ac:dyDescent="0.25">
      <c r="A26" s="79">
        <v>22</v>
      </c>
      <c r="B26" s="20" t="s">
        <v>5</v>
      </c>
      <c r="C26" s="101" t="s">
        <v>6</v>
      </c>
      <c r="D26" s="37">
        <v>775</v>
      </c>
      <c r="E26" s="37">
        <v>1413</v>
      </c>
      <c r="F26" s="37">
        <v>1520</v>
      </c>
      <c r="G26" s="37">
        <v>350</v>
      </c>
      <c r="H26" s="37">
        <v>1400</v>
      </c>
      <c r="I26" s="37">
        <v>1100</v>
      </c>
      <c r="J26" s="37">
        <v>915</v>
      </c>
      <c r="K26" s="37">
        <v>1355</v>
      </c>
      <c r="L26" s="37">
        <v>625</v>
      </c>
      <c r="M26" s="37">
        <v>1275</v>
      </c>
      <c r="N26" s="37">
        <v>1215</v>
      </c>
      <c r="O26" s="37">
        <v>940</v>
      </c>
      <c r="P26" s="102">
        <f>SUM(D26:O26)</f>
        <v>12883</v>
      </c>
    </row>
    <row r="27" spans="1:16" ht="20.100000000000001" customHeight="1" x14ac:dyDescent="0.25">
      <c r="A27" s="79">
        <v>23</v>
      </c>
      <c r="B27" s="20" t="s">
        <v>1</v>
      </c>
      <c r="C27" s="101" t="s">
        <v>2</v>
      </c>
      <c r="D27" s="37">
        <v>680</v>
      </c>
      <c r="E27" s="37">
        <v>1133</v>
      </c>
      <c r="F27" s="37">
        <v>1015</v>
      </c>
      <c r="G27" s="37">
        <v>435</v>
      </c>
      <c r="H27" s="37">
        <v>720</v>
      </c>
      <c r="I27" s="37">
        <v>1450</v>
      </c>
      <c r="J27" s="37">
        <v>865</v>
      </c>
      <c r="K27" s="37">
        <v>1155</v>
      </c>
      <c r="L27" s="37">
        <v>1050</v>
      </c>
      <c r="M27" s="37">
        <v>725</v>
      </c>
      <c r="N27" s="37">
        <v>600</v>
      </c>
      <c r="O27" s="37">
        <v>1350</v>
      </c>
      <c r="P27" s="102">
        <f>SUM(D27:O27)</f>
        <v>11178</v>
      </c>
    </row>
    <row r="28" spans="1:16" ht="20.100000000000001" customHeight="1" x14ac:dyDescent="0.25">
      <c r="A28" s="79">
        <v>24</v>
      </c>
      <c r="B28" s="20" t="s">
        <v>11</v>
      </c>
      <c r="C28" s="101" t="s">
        <v>12</v>
      </c>
      <c r="D28" s="37">
        <v>45</v>
      </c>
      <c r="E28" s="37">
        <v>435</v>
      </c>
      <c r="F28" s="37">
        <v>235</v>
      </c>
      <c r="G28" s="37">
        <v>355</v>
      </c>
      <c r="H28" s="37">
        <v>630</v>
      </c>
      <c r="I28" s="37">
        <v>920</v>
      </c>
      <c r="J28" s="37">
        <v>900</v>
      </c>
      <c r="K28" s="37">
        <v>810</v>
      </c>
      <c r="L28" s="37">
        <v>635</v>
      </c>
      <c r="M28" s="37">
        <v>800</v>
      </c>
      <c r="N28" s="37">
        <v>1300</v>
      </c>
      <c r="O28" s="37">
        <v>1360</v>
      </c>
      <c r="P28" s="102">
        <f>SUM(D28:O28)</f>
        <v>8425</v>
      </c>
    </row>
    <row r="29" spans="1:16" ht="20.100000000000001" customHeight="1" x14ac:dyDescent="0.25">
      <c r="A29" s="79">
        <v>25</v>
      </c>
      <c r="B29" s="20" t="s">
        <v>31</v>
      </c>
      <c r="C29" s="101" t="s">
        <v>32</v>
      </c>
      <c r="D29" s="37">
        <v>180</v>
      </c>
      <c r="E29" s="37">
        <v>1215</v>
      </c>
      <c r="F29" s="37">
        <v>690</v>
      </c>
      <c r="G29" s="37">
        <v>350</v>
      </c>
      <c r="H29" s="37">
        <v>800</v>
      </c>
      <c r="I29" s="37">
        <v>1050</v>
      </c>
      <c r="J29" s="37">
        <v>825</v>
      </c>
      <c r="K29" s="37">
        <v>525</v>
      </c>
      <c r="L29" s="37"/>
      <c r="M29" s="37">
        <v>375</v>
      </c>
      <c r="N29" s="37">
        <v>550</v>
      </c>
      <c r="O29" s="37">
        <v>235</v>
      </c>
      <c r="P29" s="102">
        <f>SUM(D29:O29)</f>
        <v>6795</v>
      </c>
    </row>
    <row r="30" spans="1:16" ht="20.100000000000001" customHeight="1" x14ac:dyDescent="0.25">
      <c r="A30" s="79">
        <v>26</v>
      </c>
      <c r="B30" s="20" t="s">
        <v>59</v>
      </c>
      <c r="C30" s="101" t="s">
        <v>60</v>
      </c>
      <c r="D30" s="37">
        <v>440</v>
      </c>
      <c r="E30" s="37">
        <v>260</v>
      </c>
      <c r="F30" s="37">
        <v>695</v>
      </c>
      <c r="G30" s="37">
        <v>100</v>
      </c>
      <c r="H30" s="37">
        <v>400</v>
      </c>
      <c r="I30" s="37">
        <v>530</v>
      </c>
      <c r="J30" s="37">
        <v>525</v>
      </c>
      <c r="K30" s="37">
        <v>490</v>
      </c>
      <c r="L30" s="37">
        <v>260</v>
      </c>
      <c r="M30" s="37">
        <v>150</v>
      </c>
      <c r="N30" s="37">
        <v>1010</v>
      </c>
      <c r="O30" s="37">
        <v>950</v>
      </c>
      <c r="P30" s="102">
        <f>SUM(D30:O30)</f>
        <v>5810</v>
      </c>
    </row>
    <row r="31" spans="1:16" ht="20.100000000000001" customHeight="1" x14ac:dyDescent="0.25">
      <c r="A31" s="79">
        <v>27</v>
      </c>
      <c r="B31" s="20" t="s">
        <v>65</v>
      </c>
      <c r="C31" s="101" t="s">
        <v>66</v>
      </c>
      <c r="D31" s="37">
        <v>715</v>
      </c>
      <c r="E31" s="37">
        <v>566</v>
      </c>
      <c r="F31" s="37">
        <v>345</v>
      </c>
      <c r="G31" s="37">
        <v>125</v>
      </c>
      <c r="H31" s="37">
        <v>610</v>
      </c>
      <c r="I31" s="37">
        <v>920</v>
      </c>
      <c r="J31" s="37">
        <v>370</v>
      </c>
      <c r="K31" s="37">
        <v>480</v>
      </c>
      <c r="L31" s="37">
        <v>340</v>
      </c>
      <c r="M31" s="37">
        <v>660</v>
      </c>
      <c r="N31" s="37">
        <v>50</v>
      </c>
      <c r="O31" s="37">
        <v>590</v>
      </c>
      <c r="P31" s="102">
        <f>SUM(D31:O31)</f>
        <v>5771</v>
      </c>
    </row>
    <row r="32" spans="1:16" ht="20.100000000000001" customHeight="1" x14ac:dyDescent="0.25">
      <c r="A32" s="79">
        <v>28</v>
      </c>
      <c r="B32" s="20" t="s">
        <v>3</v>
      </c>
      <c r="C32" s="101" t="s">
        <v>4</v>
      </c>
      <c r="D32" s="37">
        <v>360</v>
      </c>
      <c r="E32" s="37">
        <v>196</v>
      </c>
      <c r="F32" s="37">
        <v>255</v>
      </c>
      <c r="G32" s="37">
        <v>50</v>
      </c>
      <c r="H32" s="37">
        <v>410</v>
      </c>
      <c r="I32" s="37">
        <v>575</v>
      </c>
      <c r="J32" s="37">
        <v>345</v>
      </c>
      <c r="K32" s="37">
        <v>375</v>
      </c>
      <c r="L32" s="37">
        <v>325</v>
      </c>
      <c r="M32" s="37">
        <v>125</v>
      </c>
      <c r="N32" s="37">
        <v>285</v>
      </c>
      <c r="O32" s="37">
        <v>285</v>
      </c>
      <c r="P32" s="102">
        <f>SUM(D32:O32)</f>
        <v>3586</v>
      </c>
    </row>
    <row r="33" spans="1:16" ht="20.100000000000001" customHeight="1" x14ac:dyDescent="0.25">
      <c r="A33" s="79">
        <v>29</v>
      </c>
      <c r="B33" s="20" t="s">
        <v>63</v>
      </c>
      <c r="C33" s="101" t="s">
        <v>64</v>
      </c>
      <c r="D33" s="37">
        <v>305</v>
      </c>
      <c r="E33" s="37">
        <v>125</v>
      </c>
      <c r="F33" s="37">
        <v>435</v>
      </c>
      <c r="G33" s="37">
        <v>370</v>
      </c>
      <c r="H33" s="37">
        <v>170</v>
      </c>
      <c r="I33" s="37">
        <v>380</v>
      </c>
      <c r="J33" s="37">
        <v>370</v>
      </c>
      <c r="K33" s="37">
        <v>480</v>
      </c>
      <c r="L33" s="37">
        <v>220</v>
      </c>
      <c r="M33" s="37">
        <v>180</v>
      </c>
      <c r="N33" s="37">
        <v>210</v>
      </c>
      <c r="O33" s="37">
        <v>130</v>
      </c>
      <c r="P33" s="102">
        <f>SUM(D33:O33)</f>
        <v>3375</v>
      </c>
    </row>
    <row r="34" spans="1:16" ht="20.100000000000001" customHeight="1" x14ac:dyDescent="0.25">
      <c r="A34" s="79">
        <v>30</v>
      </c>
      <c r="B34" s="20" t="s">
        <v>19</v>
      </c>
      <c r="C34" s="101" t="s">
        <v>20</v>
      </c>
      <c r="D34" s="37">
        <v>100</v>
      </c>
      <c r="E34" s="37">
        <v>222</v>
      </c>
      <c r="F34" s="37">
        <v>100</v>
      </c>
      <c r="G34" s="37">
        <v>0</v>
      </c>
      <c r="H34" s="37">
        <v>225</v>
      </c>
      <c r="I34" s="37">
        <v>660</v>
      </c>
      <c r="J34" s="37">
        <v>20</v>
      </c>
      <c r="K34" s="37">
        <v>160</v>
      </c>
      <c r="L34" s="37">
        <v>80</v>
      </c>
      <c r="M34" s="37">
        <v>240</v>
      </c>
      <c r="N34" s="37">
        <v>500</v>
      </c>
      <c r="O34" s="37">
        <v>580</v>
      </c>
      <c r="P34" s="102">
        <f>SUM(D34:O34)</f>
        <v>2887</v>
      </c>
    </row>
    <row r="35" spans="1:16" ht="20.100000000000001" customHeight="1" x14ac:dyDescent="0.25">
      <c r="A35" s="79">
        <v>31</v>
      </c>
      <c r="B35" s="20" t="s">
        <v>39</v>
      </c>
      <c r="C35" s="101" t="s">
        <v>40</v>
      </c>
      <c r="D35" s="37"/>
      <c r="E35" s="37"/>
      <c r="F35" s="37"/>
      <c r="G35" s="37">
        <v>0</v>
      </c>
      <c r="H35" s="37"/>
      <c r="I35" s="37"/>
      <c r="J35" s="37">
        <v>950</v>
      </c>
      <c r="K35" s="37">
        <v>515</v>
      </c>
      <c r="L35" s="37">
        <v>200</v>
      </c>
      <c r="M35" s="37"/>
      <c r="N35" s="37">
        <v>215</v>
      </c>
      <c r="O35" s="37">
        <v>470</v>
      </c>
      <c r="P35" s="102">
        <f>SUM(D35:O35)</f>
        <v>2350</v>
      </c>
    </row>
    <row r="36" spans="1:16" ht="20.100000000000001" customHeight="1" x14ac:dyDescent="0.25">
      <c r="A36" s="79">
        <v>32</v>
      </c>
      <c r="B36" s="20" t="s">
        <v>69</v>
      </c>
      <c r="C36" s="101" t="s">
        <v>70</v>
      </c>
      <c r="D36" s="37">
        <v>440</v>
      </c>
      <c r="E36" s="37">
        <v>129</v>
      </c>
      <c r="F36" s="37">
        <v>130</v>
      </c>
      <c r="G36" s="37">
        <v>55</v>
      </c>
      <c r="H36" s="37">
        <v>310</v>
      </c>
      <c r="I36" s="37">
        <v>60</v>
      </c>
      <c r="J36" s="37">
        <v>220</v>
      </c>
      <c r="K36" s="37">
        <v>290</v>
      </c>
      <c r="L36" s="37">
        <v>200</v>
      </c>
      <c r="M36" s="37">
        <v>70</v>
      </c>
      <c r="N36" s="37">
        <v>40</v>
      </c>
      <c r="O36" s="37">
        <v>180</v>
      </c>
      <c r="P36" s="102">
        <f>SUM(D36:O36)</f>
        <v>2124</v>
      </c>
    </row>
    <row r="37" spans="1:16" ht="20.100000000000001" customHeight="1" x14ac:dyDescent="0.25">
      <c r="A37" s="79">
        <v>33</v>
      </c>
      <c r="B37" s="20" t="s">
        <v>73</v>
      </c>
      <c r="C37" s="101" t="s">
        <v>74</v>
      </c>
      <c r="D37" s="37">
        <v>290</v>
      </c>
      <c r="E37" s="37">
        <v>200</v>
      </c>
      <c r="F37" s="37">
        <v>200</v>
      </c>
      <c r="G37" s="37">
        <v>40</v>
      </c>
      <c r="H37" s="37">
        <v>230</v>
      </c>
      <c r="I37" s="37">
        <v>180</v>
      </c>
      <c r="J37" s="37">
        <v>160</v>
      </c>
      <c r="K37" s="37">
        <v>210</v>
      </c>
      <c r="L37" s="37">
        <v>100</v>
      </c>
      <c r="M37" s="37"/>
      <c r="N37" s="37">
        <v>60</v>
      </c>
      <c r="O37" s="37">
        <v>20</v>
      </c>
      <c r="P37" s="102">
        <f>SUM(D37:O37)</f>
        <v>1690</v>
      </c>
    </row>
    <row r="38" spans="1:16" ht="20.100000000000001" customHeight="1" x14ac:dyDescent="0.25">
      <c r="A38" s="79">
        <v>34</v>
      </c>
      <c r="B38" s="20" t="s">
        <v>67</v>
      </c>
      <c r="C38" s="101" t="s">
        <v>68</v>
      </c>
      <c r="D38" s="37">
        <v>350</v>
      </c>
      <c r="E38" s="37">
        <v>95</v>
      </c>
      <c r="F38" s="37">
        <v>100</v>
      </c>
      <c r="G38" s="37">
        <v>20</v>
      </c>
      <c r="H38" s="37">
        <v>200</v>
      </c>
      <c r="I38" s="37">
        <v>150</v>
      </c>
      <c r="J38" s="37">
        <v>50</v>
      </c>
      <c r="K38" s="37">
        <v>170</v>
      </c>
      <c r="L38" s="37">
        <v>40</v>
      </c>
      <c r="M38" s="37">
        <v>40</v>
      </c>
      <c r="N38" s="37"/>
      <c r="O38" s="37">
        <v>160</v>
      </c>
      <c r="P38" s="102">
        <f>SUM(D38:O38)</f>
        <v>1375</v>
      </c>
    </row>
    <row r="39" spans="1:16" ht="20.100000000000001" customHeight="1" x14ac:dyDescent="0.25">
      <c r="A39" s="79">
        <v>35</v>
      </c>
      <c r="B39" s="20" t="s">
        <v>71</v>
      </c>
      <c r="C39" s="101" t="s">
        <v>72</v>
      </c>
      <c r="D39" s="37">
        <v>140</v>
      </c>
      <c r="E39" s="37">
        <v>100</v>
      </c>
      <c r="F39" s="37">
        <v>200</v>
      </c>
      <c r="G39" s="37">
        <v>0</v>
      </c>
      <c r="H39" s="37">
        <v>130</v>
      </c>
      <c r="I39" s="37">
        <v>40</v>
      </c>
      <c r="J39" s="37">
        <v>40</v>
      </c>
      <c r="K39" s="37">
        <v>150</v>
      </c>
      <c r="L39" s="37">
        <v>100</v>
      </c>
      <c r="M39" s="37"/>
      <c r="N39" s="37"/>
      <c r="O39" s="37">
        <v>40</v>
      </c>
      <c r="P39" s="102">
        <f>SUM(D39:O39)</f>
        <v>940</v>
      </c>
    </row>
    <row r="40" spans="1:16" ht="20.100000000000001" customHeight="1" x14ac:dyDescent="0.25">
      <c r="A40" s="79">
        <v>36</v>
      </c>
      <c r="B40" s="20" t="s">
        <v>37</v>
      </c>
      <c r="C40" s="101" t="s">
        <v>38</v>
      </c>
      <c r="D40" s="37"/>
      <c r="E40" s="37">
        <v>95</v>
      </c>
      <c r="F40" s="37"/>
      <c r="G40" s="37">
        <v>0</v>
      </c>
      <c r="H40" s="37">
        <v>220</v>
      </c>
      <c r="I40" s="37">
        <v>80</v>
      </c>
      <c r="J40" s="37">
        <v>200</v>
      </c>
      <c r="K40" s="37">
        <v>160</v>
      </c>
      <c r="L40" s="37">
        <v>20</v>
      </c>
      <c r="M40" s="37"/>
      <c r="N40" s="37">
        <v>40</v>
      </c>
      <c r="O40" s="37">
        <v>40</v>
      </c>
      <c r="P40" s="102">
        <f>SUM(D40:O40)</f>
        <v>855</v>
      </c>
    </row>
    <row r="41" spans="1:16" ht="20.100000000000001" customHeight="1" x14ac:dyDescent="0.25">
      <c r="A41" s="79">
        <v>37</v>
      </c>
      <c r="B41" s="20" t="s">
        <v>75</v>
      </c>
      <c r="C41" s="101" t="s">
        <v>76</v>
      </c>
      <c r="D41" s="37">
        <v>230</v>
      </c>
      <c r="E41" s="37">
        <v>160</v>
      </c>
      <c r="F41" s="37">
        <v>190</v>
      </c>
      <c r="G41" s="37">
        <v>10</v>
      </c>
      <c r="H41" s="37">
        <v>50</v>
      </c>
      <c r="I41" s="37">
        <v>20</v>
      </c>
      <c r="J41" s="37"/>
      <c r="K41" s="37">
        <v>20</v>
      </c>
      <c r="L41" s="37"/>
      <c r="M41" s="37"/>
      <c r="N41" s="37"/>
      <c r="O41" s="37">
        <v>10</v>
      </c>
      <c r="P41" s="102">
        <f>SUM(D41:O41)</f>
        <v>690</v>
      </c>
    </row>
    <row r="42" spans="1:16" ht="20.100000000000001" customHeight="1" x14ac:dyDescent="0.25">
      <c r="A42" s="79">
        <v>38</v>
      </c>
      <c r="B42" s="20" t="s">
        <v>41</v>
      </c>
      <c r="C42" s="101" t="s">
        <v>42</v>
      </c>
      <c r="D42" s="37"/>
      <c r="E42" s="37">
        <v>5</v>
      </c>
      <c r="F42" s="37"/>
      <c r="G42" s="37">
        <v>0</v>
      </c>
      <c r="H42" s="37"/>
      <c r="I42" s="37"/>
      <c r="J42" s="37"/>
      <c r="K42" s="37"/>
      <c r="L42" s="37"/>
      <c r="M42" s="37"/>
      <c r="N42" s="37"/>
      <c r="O42" s="37"/>
      <c r="P42" s="102">
        <f>SUM(D42:O42)</f>
        <v>5</v>
      </c>
    </row>
    <row r="43" spans="1:16" s="2" customFormat="1" ht="20.100000000000001" customHeight="1" x14ac:dyDescent="0.25">
      <c r="A43" s="186" t="s">
        <v>289</v>
      </c>
      <c r="B43" s="186"/>
      <c r="C43" s="186"/>
      <c r="D43" s="86">
        <f>SUM(D5:D42)</f>
        <v>47430</v>
      </c>
      <c r="E43" s="86">
        <f>SUM(E5:E42)</f>
        <v>53462</v>
      </c>
      <c r="F43" s="86">
        <f>SUM(F5:F42)</f>
        <v>60710</v>
      </c>
      <c r="G43" s="86">
        <f>SUM(G5:G42)</f>
        <v>27147</v>
      </c>
      <c r="H43" s="86">
        <f>SUM(H5:H42)</f>
        <v>67576</v>
      </c>
      <c r="I43" s="86">
        <f>SUM(I5:I42)</f>
        <v>82634</v>
      </c>
      <c r="J43" s="86">
        <f>SUM(J5:J42)</f>
        <v>66340</v>
      </c>
      <c r="K43" s="86">
        <f>SUM(K5:K42)</f>
        <v>67210</v>
      </c>
      <c r="L43" s="86">
        <f>SUM(L5:L42)</f>
        <v>44763</v>
      </c>
      <c r="M43" s="86">
        <f>SUM(M5:M42)</f>
        <v>29652</v>
      </c>
      <c r="N43" s="86">
        <f>SUM(N5:N42)</f>
        <v>41402</v>
      </c>
      <c r="O43" s="86">
        <f>SUM(O5:O42)</f>
        <v>72711</v>
      </c>
      <c r="P43" s="86">
        <f>SUM(P5:P42)</f>
        <v>661037</v>
      </c>
    </row>
    <row r="44" spans="1:16" s="75" customFormat="1" ht="20.100000000000001" customHeight="1" x14ac:dyDescent="0.25">
      <c r="A44" s="187" t="s">
        <v>290</v>
      </c>
      <c r="B44" s="187"/>
      <c r="C44" s="187"/>
      <c r="D44" s="87">
        <f>MAX(D5:D42)</f>
        <v>6635</v>
      </c>
      <c r="E44" s="87">
        <f>MAX(E5:E42)</f>
        <v>4913</v>
      </c>
      <c r="F44" s="87">
        <f>MAX(F5:F42)</f>
        <v>7390</v>
      </c>
      <c r="G44" s="87">
        <f>MAX(G5:G42)</f>
        <v>4230</v>
      </c>
      <c r="H44" s="87">
        <f>MAX(H5:H42)</f>
        <v>6770</v>
      </c>
      <c r="I44" s="87">
        <f>MAX(I5:I42)</f>
        <v>6975</v>
      </c>
      <c r="J44" s="87">
        <f>MAX(J5:J42)</f>
        <v>7390</v>
      </c>
      <c r="K44" s="87">
        <f>MAX(K5:K42)</f>
        <v>8400</v>
      </c>
      <c r="L44" s="87">
        <f>MAX(L5:L42)</f>
        <v>5090</v>
      </c>
      <c r="M44" s="87">
        <f>MAX(M5:M42)</f>
        <v>2310</v>
      </c>
      <c r="N44" s="87">
        <f>MAX(N5:N42)</f>
        <v>2555</v>
      </c>
      <c r="O44" s="87">
        <f>MAX(O5:O42)</f>
        <v>9586</v>
      </c>
      <c r="P44" s="87">
        <f>MAX(P5:P42)</f>
        <v>70804</v>
      </c>
    </row>
    <row r="45" spans="1:16" s="75" customFormat="1" ht="20.100000000000001" customHeight="1" x14ac:dyDescent="0.25">
      <c r="A45" s="188" t="s">
        <v>291</v>
      </c>
      <c r="B45" s="188"/>
      <c r="C45" s="188"/>
      <c r="D45" s="88">
        <f>MIN(D5:D42)</f>
        <v>45</v>
      </c>
      <c r="E45" s="88">
        <f>MIN(E5:E42)</f>
        <v>5</v>
      </c>
      <c r="F45" s="88">
        <f>MIN(F5:F42)</f>
        <v>100</v>
      </c>
      <c r="G45" s="88">
        <f>MIN(G5:G42)</f>
        <v>0</v>
      </c>
      <c r="H45" s="88">
        <f>MIN(H5:H42)</f>
        <v>50</v>
      </c>
      <c r="I45" s="88">
        <f>MIN(I5:I42)</f>
        <v>20</v>
      </c>
      <c r="J45" s="88">
        <f>MIN(J5:J42)</f>
        <v>20</v>
      </c>
      <c r="K45" s="88">
        <f>MIN(K5:K42)</f>
        <v>20</v>
      </c>
      <c r="L45" s="88">
        <f>MIN(L5:L42)</f>
        <v>20</v>
      </c>
      <c r="M45" s="88">
        <f>MIN(M5:M42)</f>
        <v>40</v>
      </c>
      <c r="N45" s="88">
        <f>MIN(N5:N42)</f>
        <v>40</v>
      </c>
      <c r="O45" s="88">
        <f>MIN(O5:O42)</f>
        <v>10</v>
      </c>
      <c r="P45" s="88">
        <f>MIN(P5:P42)</f>
        <v>5</v>
      </c>
    </row>
    <row r="46" spans="1:16" s="75" customFormat="1" ht="20.100000000000001" customHeight="1" x14ac:dyDescent="0.25">
      <c r="A46" s="189" t="s">
        <v>292</v>
      </c>
      <c r="B46" s="189"/>
      <c r="C46" s="189"/>
      <c r="D46" s="89">
        <f>AVERAGE(D5:D42)</f>
        <v>1355.1428571428571</v>
      </c>
      <c r="E46" s="89">
        <f>AVERAGE(E5:E42)</f>
        <v>1444.918918918919</v>
      </c>
      <c r="F46" s="89">
        <f>AVERAGE(F5:F42)</f>
        <v>1734.5714285714287</v>
      </c>
      <c r="G46" s="89">
        <f>AVERAGE(G5:G42)</f>
        <v>714.39473684210532</v>
      </c>
      <c r="H46" s="89">
        <f>AVERAGE(H5:H42)</f>
        <v>1877.1111111111111</v>
      </c>
      <c r="I46" s="89">
        <f>AVERAGE(I5:I42)</f>
        <v>2295.3888888888887</v>
      </c>
      <c r="J46" s="89">
        <f>AVERAGE(J5:J42)</f>
        <v>1842.7777777777778</v>
      </c>
      <c r="K46" s="89">
        <f>AVERAGE(K5:K42)</f>
        <v>1816.4864864864865</v>
      </c>
      <c r="L46" s="89">
        <f>AVERAGE(L5:L42)</f>
        <v>1278.9428571428571</v>
      </c>
      <c r="M46" s="89">
        <f>AVERAGE(M5:M42)</f>
        <v>926.625</v>
      </c>
      <c r="N46" s="89">
        <f>AVERAGE(N5:N42)</f>
        <v>1217.7058823529412</v>
      </c>
      <c r="O46" s="89">
        <f>AVERAGE(O5:O42)</f>
        <v>1965.1621621621621</v>
      </c>
      <c r="P46" s="89">
        <f>AVERAGE(P5:P42)</f>
        <v>17395.71052631579</v>
      </c>
    </row>
    <row r="47" spans="1:16" s="75" customFormat="1" ht="20.100000000000001" customHeight="1" x14ac:dyDescent="0.25">
      <c r="A47" s="190" t="s">
        <v>293</v>
      </c>
      <c r="B47" s="190"/>
      <c r="C47" s="190"/>
      <c r="D47" s="90">
        <f>COUNT(D5:D42)</f>
        <v>35</v>
      </c>
      <c r="E47" s="90">
        <f>COUNT(E5:E42)</f>
        <v>37</v>
      </c>
      <c r="F47" s="90">
        <f>COUNT(F5:F42)</f>
        <v>35</v>
      </c>
      <c r="G47" s="90">
        <f>COUNT(G5:G42)</f>
        <v>38</v>
      </c>
      <c r="H47" s="90">
        <f>COUNT(H5:H42)</f>
        <v>36</v>
      </c>
      <c r="I47" s="90">
        <f>COUNT(I5:I42)</f>
        <v>36</v>
      </c>
      <c r="J47" s="90">
        <f>COUNT(J5:J42)</f>
        <v>36</v>
      </c>
      <c r="K47" s="90">
        <f>COUNT(K5:K42)</f>
        <v>37</v>
      </c>
      <c r="L47" s="90">
        <f>COUNT(L5:L42)</f>
        <v>35</v>
      </c>
      <c r="M47" s="90">
        <f>COUNT(M5:M42)</f>
        <v>32</v>
      </c>
      <c r="N47" s="90">
        <f>COUNT(N5:N42)</f>
        <v>34</v>
      </c>
      <c r="O47" s="90">
        <f>COUNT(O5:O42)</f>
        <v>37</v>
      </c>
      <c r="P47" s="90">
        <f>COUNT(P5:P42)</f>
        <v>38</v>
      </c>
    </row>
  </sheetData>
  <sortState ref="A5:P43">
    <sortCondition descending="1" ref="P5:P43"/>
  </sortState>
  <mergeCells count="11">
    <mergeCell ref="A45:C45"/>
    <mergeCell ref="A46:C46"/>
    <mergeCell ref="A47:C47"/>
    <mergeCell ref="P3:P4"/>
    <mergeCell ref="N2:P2"/>
    <mergeCell ref="A44:C44"/>
    <mergeCell ref="A1:P1"/>
    <mergeCell ref="A3:A4"/>
    <mergeCell ref="B3:B4"/>
    <mergeCell ref="C3:C4"/>
    <mergeCell ref="A43:C43"/>
  </mergeCells>
  <phoneticPr fontId="2" type="noConversion"/>
  <pageMargins left="0" right="0" top="0" bottom="0" header="0.3" footer="0.3"/>
  <pageSetup paperSize="9" orientation="landscape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U57"/>
  <sheetViews>
    <sheetView zoomScaleNormal="100" workbookViewId="0">
      <selection activeCell="D9" sqref="D9"/>
    </sheetView>
  </sheetViews>
  <sheetFormatPr defaultColWidth="9.140625" defaultRowHeight="24.75" customHeight="1" x14ac:dyDescent="0.45"/>
  <cols>
    <col min="1" max="1" width="5.28515625" style="19" bestFit="1" customWidth="1"/>
    <col min="2" max="2" width="9.5703125" style="19" customWidth="1"/>
    <col min="3" max="3" width="31.5703125" style="19" bestFit="1" customWidth="1"/>
    <col min="4" max="4" width="7" style="19" bestFit="1" customWidth="1"/>
    <col min="5" max="5" width="6.85546875" style="19" bestFit="1" customWidth="1"/>
    <col min="6" max="6" width="7.140625" style="19" bestFit="1" customWidth="1"/>
    <col min="7" max="7" width="6.7109375" style="19" bestFit="1" customWidth="1"/>
    <col min="8" max="8" width="7.42578125" style="19" bestFit="1" customWidth="1"/>
    <col min="9" max="9" width="7" style="19" bestFit="1" customWidth="1"/>
    <col min="10" max="10" width="6.42578125" style="19" bestFit="1" customWidth="1"/>
    <col min="11" max="11" width="7.140625" style="19" bestFit="1" customWidth="1"/>
    <col min="12" max="12" width="7" style="19" bestFit="1" customWidth="1"/>
    <col min="13" max="13" width="6.85546875" style="19" bestFit="1" customWidth="1"/>
    <col min="14" max="14" width="7.28515625" style="19" bestFit="1" customWidth="1"/>
    <col min="15" max="15" width="7" style="19" bestFit="1" customWidth="1"/>
    <col min="16" max="16" width="11.7109375" style="19" bestFit="1" customWidth="1"/>
    <col min="17" max="17" width="9" style="19" bestFit="1" customWidth="1"/>
    <col min="18" max="18" width="9.140625" style="50"/>
    <col min="19" max="19" width="17.85546875" style="50" customWidth="1"/>
    <col min="20" max="16384" width="9.140625" style="19"/>
  </cols>
  <sheetData>
    <row r="1" spans="1:21" s="5" customFormat="1" ht="24.75" customHeight="1" x14ac:dyDescent="0.25">
      <c r="A1" s="182" t="s">
        <v>299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57"/>
      <c r="R1" s="58"/>
      <c r="S1" s="58"/>
      <c r="T1" s="57"/>
    </row>
    <row r="2" spans="1:21" s="4" customFormat="1" ht="24.75" customHeight="1" x14ac:dyDescent="0.25">
      <c r="A2" s="97"/>
      <c r="B2" s="96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185" t="s">
        <v>294</v>
      </c>
      <c r="O2" s="185"/>
      <c r="P2" s="185"/>
      <c r="Q2" s="57"/>
      <c r="R2" s="58"/>
      <c r="S2" s="58"/>
      <c r="T2" s="57"/>
      <c r="U2" s="5"/>
    </row>
    <row r="3" spans="1:21" s="123" customFormat="1" ht="24.75" customHeight="1" x14ac:dyDescent="0.25">
      <c r="A3" s="204" t="s">
        <v>211</v>
      </c>
      <c r="B3" s="210" t="s">
        <v>212</v>
      </c>
      <c r="C3" s="204" t="s">
        <v>186</v>
      </c>
      <c r="D3" s="107">
        <v>43831</v>
      </c>
      <c r="E3" s="107">
        <v>43862</v>
      </c>
      <c r="F3" s="107">
        <v>43891</v>
      </c>
      <c r="G3" s="107">
        <v>43922</v>
      </c>
      <c r="H3" s="107">
        <v>43952</v>
      </c>
      <c r="I3" s="107">
        <v>43983</v>
      </c>
      <c r="J3" s="107">
        <v>44013</v>
      </c>
      <c r="K3" s="107">
        <v>44044</v>
      </c>
      <c r="L3" s="107">
        <v>44075</v>
      </c>
      <c r="M3" s="107">
        <v>44105</v>
      </c>
      <c r="N3" s="107">
        <v>44136</v>
      </c>
      <c r="O3" s="107">
        <v>44166</v>
      </c>
      <c r="P3" s="212" t="s">
        <v>300</v>
      </c>
      <c r="Q3" s="121"/>
      <c r="R3" s="122"/>
      <c r="S3" s="63"/>
    </row>
    <row r="4" spans="1:21" s="123" customFormat="1" ht="24.75" customHeight="1" x14ac:dyDescent="0.25">
      <c r="A4" s="204"/>
      <c r="B4" s="211"/>
      <c r="C4" s="204"/>
      <c r="D4" s="98" t="s">
        <v>213</v>
      </c>
      <c r="E4" s="98" t="s">
        <v>213</v>
      </c>
      <c r="F4" s="98" t="s">
        <v>213</v>
      </c>
      <c r="G4" s="98" t="s">
        <v>213</v>
      </c>
      <c r="H4" s="98" t="s">
        <v>213</v>
      </c>
      <c r="I4" s="98" t="s">
        <v>213</v>
      </c>
      <c r="J4" s="98" t="s">
        <v>213</v>
      </c>
      <c r="K4" s="98" t="s">
        <v>213</v>
      </c>
      <c r="L4" s="78" t="s">
        <v>213</v>
      </c>
      <c r="M4" s="98" t="s">
        <v>213</v>
      </c>
      <c r="N4" s="78" t="s">
        <v>213</v>
      </c>
      <c r="O4" s="78" t="s">
        <v>213</v>
      </c>
      <c r="P4" s="213"/>
      <c r="R4" s="63"/>
      <c r="S4" s="63"/>
    </row>
    <row r="5" spans="1:21" s="4" customFormat="1" ht="20.100000000000001" customHeight="1" x14ac:dyDescent="0.25">
      <c r="A5" s="6">
        <v>1</v>
      </c>
      <c r="B5" s="7" t="s">
        <v>78</v>
      </c>
      <c r="C5" s="8" t="s">
        <v>79</v>
      </c>
      <c r="D5" s="56">
        <v>13320</v>
      </c>
      <c r="E5" s="56">
        <v>16360</v>
      </c>
      <c r="F5" s="56">
        <v>20145</v>
      </c>
      <c r="G5" s="56">
        <v>8510</v>
      </c>
      <c r="H5" s="56">
        <v>23230</v>
      </c>
      <c r="I5" s="56">
        <v>29745</v>
      </c>
      <c r="J5" s="56">
        <v>21305</v>
      </c>
      <c r="K5" s="56">
        <v>22765</v>
      </c>
      <c r="L5" s="22">
        <v>17585</v>
      </c>
      <c r="M5" s="56">
        <v>6805</v>
      </c>
      <c r="N5" s="22">
        <v>10062</v>
      </c>
      <c r="O5" s="22">
        <v>19163</v>
      </c>
      <c r="P5" s="111">
        <f>SUM(D5:O5)</f>
        <v>208995</v>
      </c>
      <c r="R5" s="59"/>
      <c r="S5" s="60"/>
    </row>
    <row r="6" spans="1:21" s="4" customFormat="1" ht="20.100000000000001" customHeight="1" x14ac:dyDescent="0.25">
      <c r="A6" s="6">
        <v>2</v>
      </c>
      <c r="B6" s="7" t="s">
        <v>80</v>
      </c>
      <c r="C6" s="8" t="s">
        <v>307</v>
      </c>
      <c r="D6" s="56">
        <v>1780</v>
      </c>
      <c r="E6" s="56">
        <v>6100</v>
      </c>
      <c r="F6" s="56">
        <v>6970</v>
      </c>
      <c r="G6" s="56">
        <v>3860</v>
      </c>
      <c r="H6" s="56">
        <v>7540</v>
      </c>
      <c r="I6" s="56">
        <v>9330</v>
      </c>
      <c r="J6" s="56">
        <v>6080</v>
      </c>
      <c r="K6" s="56">
        <v>8120</v>
      </c>
      <c r="L6" s="22">
        <v>2280</v>
      </c>
      <c r="M6" s="56">
        <v>3390</v>
      </c>
      <c r="N6" s="22">
        <v>5810</v>
      </c>
      <c r="O6" s="22">
        <v>8570</v>
      </c>
      <c r="P6" s="111">
        <f>SUM(D6:O6)</f>
        <v>69830</v>
      </c>
      <c r="R6" s="59"/>
      <c r="S6" s="60"/>
    </row>
    <row r="7" spans="1:21" s="4" customFormat="1" ht="20.100000000000001" customHeight="1" x14ac:dyDescent="0.25">
      <c r="A7" s="6">
        <v>3</v>
      </c>
      <c r="B7" s="7" t="s">
        <v>94</v>
      </c>
      <c r="C7" s="12" t="s">
        <v>95</v>
      </c>
      <c r="D7" s="56">
        <v>4300</v>
      </c>
      <c r="E7" s="56">
        <v>2700</v>
      </c>
      <c r="F7" s="56">
        <v>2800</v>
      </c>
      <c r="G7" s="56"/>
      <c r="H7" s="56">
        <v>6400</v>
      </c>
      <c r="I7" s="56">
        <v>3400</v>
      </c>
      <c r="J7" s="56">
        <v>2500</v>
      </c>
      <c r="K7" s="56">
        <v>3700</v>
      </c>
      <c r="L7" s="22">
        <v>5500</v>
      </c>
      <c r="M7" s="22">
        <v>2400</v>
      </c>
      <c r="N7" s="22">
        <v>2110</v>
      </c>
      <c r="O7" s="22">
        <v>3190</v>
      </c>
      <c r="P7" s="111">
        <f>SUM(D7:O7)</f>
        <v>39000</v>
      </c>
      <c r="R7" s="59"/>
      <c r="S7" s="60"/>
    </row>
    <row r="8" spans="1:21" s="4" customFormat="1" ht="20.100000000000001" customHeight="1" x14ac:dyDescent="0.25">
      <c r="A8" s="6">
        <v>4</v>
      </c>
      <c r="B8" s="7" t="s">
        <v>82</v>
      </c>
      <c r="C8" s="10" t="s">
        <v>217</v>
      </c>
      <c r="D8" s="22">
        <v>1985</v>
      </c>
      <c r="E8" s="22">
        <v>3170</v>
      </c>
      <c r="F8" s="22">
        <v>3825</v>
      </c>
      <c r="G8" s="22">
        <v>1140</v>
      </c>
      <c r="H8" s="22">
        <v>3950</v>
      </c>
      <c r="I8" s="56">
        <v>4100</v>
      </c>
      <c r="J8" s="22">
        <v>3955</v>
      </c>
      <c r="K8" s="22">
        <v>2670</v>
      </c>
      <c r="L8" s="22">
        <v>3150</v>
      </c>
      <c r="M8" s="22">
        <v>1855</v>
      </c>
      <c r="N8" s="22">
        <v>1910</v>
      </c>
      <c r="O8" s="22">
        <v>5735</v>
      </c>
      <c r="P8" s="111">
        <f>SUM(D8:O8)</f>
        <v>37445</v>
      </c>
      <c r="R8" s="59"/>
      <c r="S8" s="60"/>
    </row>
    <row r="9" spans="1:21" s="11" customFormat="1" ht="20.100000000000001" customHeight="1" x14ac:dyDescent="0.25">
      <c r="A9" s="6">
        <v>5</v>
      </c>
      <c r="B9" s="7" t="s">
        <v>96</v>
      </c>
      <c r="C9" s="13" t="s">
        <v>235</v>
      </c>
      <c r="D9" s="56"/>
      <c r="E9" s="115"/>
      <c r="F9" s="56"/>
      <c r="G9" s="56"/>
      <c r="H9" s="56">
        <v>2090</v>
      </c>
      <c r="I9" s="56">
        <v>3500</v>
      </c>
      <c r="J9" s="56">
        <v>4305</v>
      </c>
      <c r="K9" s="56">
        <v>3295</v>
      </c>
      <c r="L9" s="22">
        <v>2755</v>
      </c>
      <c r="M9" s="56">
        <v>1220</v>
      </c>
      <c r="N9" s="22">
        <v>4485</v>
      </c>
      <c r="O9" s="115">
        <v>6235</v>
      </c>
      <c r="P9" s="111">
        <f>SUM(D9:O9)</f>
        <v>27885</v>
      </c>
      <c r="R9" s="59"/>
      <c r="S9" s="61"/>
    </row>
    <row r="10" spans="1:21" s="4" customFormat="1" ht="20.100000000000001" customHeight="1" x14ac:dyDescent="0.25">
      <c r="A10" s="6">
        <v>6</v>
      </c>
      <c r="B10" s="7" t="s">
        <v>178</v>
      </c>
      <c r="C10" s="8" t="s">
        <v>215</v>
      </c>
      <c r="D10" s="56">
        <v>1800</v>
      </c>
      <c r="E10" s="56">
        <v>1600</v>
      </c>
      <c r="F10" s="56">
        <v>2775</v>
      </c>
      <c r="G10" s="56">
        <v>500</v>
      </c>
      <c r="H10" s="56">
        <v>2500</v>
      </c>
      <c r="I10" s="56">
        <v>3190</v>
      </c>
      <c r="J10" s="56">
        <v>2595</v>
      </c>
      <c r="K10" s="56">
        <v>2555</v>
      </c>
      <c r="L10" s="22">
        <v>1550</v>
      </c>
      <c r="M10" s="56">
        <v>860</v>
      </c>
      <c r="N10" s="22">
        <v>1685</v>
      </c>
      <c r="O10" s="22">
        <v>3340</v>
      </c>
      <c r="P10" s="111">
        <f>SUM(D10:O10)</f>
        <v>24950</v>
      </c>
      <c r="R10" s="59"/>
      <c r="S10" s="61"/>
    </row>
    <row r="11" spans="1:21" s="4" customFormat="1" ht="20.100000000000001" customHeight="1" x14ac:dyDescent="0.25">
      <c r="A11" s="6">
        <v>7</v>
      </c>
      <c r="B11" s="7" t="s">
        <v>86</v>
      </c>
      <c r="C11" s="12" t="s">
        <v>218</v>
      </c>
      <c r="D11" s="56">
        <v>3200</v>
      </c>
      <c r="E11" s="56">
        <v>1000</v>
      </c>
      <c r="F11" s="56">
        <v>4105</v>
      </c>
      <c r="G11" s="56"/>
      <c r="H11" s="56">
        <v>2760</v>
      </c>
      <c r="I11" s="56">
        <v>2875</v>
      </c>
      <c r="J11" s="114">
        <v>2140</v>
      </c>
      <c r="K11" s="114">
        <v>2770</v>
      </c>
      <c r="L11" s="22">
        <v>310</v>
      </c>
      <c r="M11" s="114">
        <v>930</v>
      </c>
      <c r="N11" s="22">
        <v>1465</v>
      </c>
      <c r="O11" s="22">
        <v>2570</v>
      </c>
      <c r="P11" s="111">
        <f>SUM(D11:O11)</f>
        <v>24125</v>
      </c>
      <c r="R11" s="59"/>
      <c r="S11" s="62"/>
    </row>
    <row r="12" spans="1:21" s="4" customFormat="1" ht="20.100000000000001" customHeight="1" x14ac:dyDescent="0.25">
      <c r="A12" s="6">
        <v>8</v>
      </c>
      <c r="B12" s="7" t="s">
        <v>104</v>
      </c>
      <c r="C12" s="12" t="s">
        <v>222</v>
      </c>
      <c r="D12" s="56">
        <v>2560</v>
      </c>
      <c r="E12" s="56">
        <v>2005</v>
      </c>
      <c r="F12" s="56">
        <v>1280</v>
      </c>
      <c r="G12" s="56">
        <v>1300</v>
      </c>
      <c r="H12" s="124">
        <f>300+2400-300</f>
        <v>2400</v>
      </c>
      <c r="I12" s="56">
        <v>4500</v>
      </c>
      <c r="J12" s="56">
        <v>1565</v>
      </c>
      <c r="K12" s="56">
        <v>2715</v>
      </c>
      <c r="L12" s="22">
        <v>510</v>
      </c>
      <c r="M12" s="56">
        <v>700</v>
      </c>
      <c r="N12" s="22">
        <v>1480</v>
      </c>
      <c r="O12" s="22">
        <v>2290</v>
      </c>
      <c r="P12" s="111">
        <f>SUM(D12:O12)</f>
        <v>23305</v>
      </c>
      <c r="R12" s="59"/>
      <c r="S12" s="62"/>
    </row>
    <row r="13" spans="1:21" s="4" customFormat="1" ht="20.100000000000001" customHeight="1" x14ac:dyDescent="0.25">
      <c r="A13" s="6">
        <v>9</v>
      </c>
      <c r="B13" s="7" t="s">
        <v>88</v>
      </c>
      <c r="C13" s="12" t="s">
        <v>223</v>
      </c>
      <c r="D13" s="56">
        <v>2300</v>
      </c>
      <c r="E13" s="56">
        <v>2700</v>
      </c>
      <c r="F13" s="56">
        <v>1600</v>
      </c>
      <c r="G13" s="56">
        <v>308</v>
      </c>
      <c r="H13" s="56">
        <v>1892</v>
      </c>
      <c r="I13" s="56">
        <v>3800</v>
      </c>
      <c r="J13" s="56">
        <v>1100</v>
      </c>
      <c r="K13" s="56">
        <v>2100</v>
      </c>
      <c r="L13" s="22">
        <v>1020</v>
      </c>
      <c r="M13" s="56">
        <v>1385</v>
      </c>
      <c r="N13" s="22">
        <v>1330</v>
      </c>
      <c r="O13" s="22">
        <v>2670</v>
      </c>
      <c r="P13" s="111">
        <f>SUM(D13:O13)</f>
        <v>22205</v>
      </c>
      <c r="R13" s="59"/>
      <c r="S13" s="61"/>
    </row>
    <row r="14" spans="1:21" s="4" customFormat="1" ht="20.100000000000001" customHeight="1" x14ac:dyDescent="0.25">
      <c r="A14" s="6">
        <v>10</v>
      </c>
      <c r="B14" s="7" t="s">
        <v>128</v>
      </c>
      <c r="C14" s="10" t="s">
        <v>276</v>
      </c>
      <c r="D14" s="56">
        <v>2000</v>
      </c>
      <c r="E14" s="56">
        <v>2500</v>
      </c>
      <c r="F14" s="56">
        <v>2000</v>
      </c>
      <c r="G14" s="56">
        <v>2000</v>
      </c>
      <c r="H14" s="56"/>
      <c r="I14" s="56">
        <v>2010</v>
      </c>
      <c r="J14" s="56">
        <v>2000</v>
      </c>
      <c r="K14" s="56">
        <v>1000</v>
      </c>
      <c r="L14" s="22">
        <v>1005</v>
      </c>
      <c r="M14" s="56">
        <v>1000</v>
      </c>
      <c r="N14" s="22">
        <v>1005</v>
      </c>
      <c r="O14" s="22">
        <v>2165</v>
      </c>
      <c r="P14" s="111">
        <f>SUM(D14:O14)</f>
        <v>18685</v>
      </c>
      <c r="R14" s="59"/>
      <c r="S14" s="61"/>
    </row>
    <row r="15" spans="1:21" s="4" customFormat="1" ht="20.100000000000001" customHeight="1" x14ac:dyDescent="0.25">
      <c r="A15" s="6">
        <v>11</v>
      </c>
      <c r="B15" s="7" t="s">
        <v>136</v>
      </c>
      <c r="C15" s="13" t="s">
        <v>236</v>
      </c>
      <c r="D15" s="56">
        <v>1820</v>
      </c>
      <c r="E15" s="115">
        <v>2765</v>
      </c>
      <c r="F15" s="56">
        <v>2575</v>
      </c>
      <c r="G15" s="56">
        <v>1500</v>
      </c>
      <c r="H15" s="56">
        <v>1710</v>
      </c>
      <c r="I15" s="56">
        <v>1860</v>
      </c>
      <c r="J15" s="56">
        <v>1620</v>
      </c>
      <c r="K15" s="56">
        <v>1145</v>
      </c>
      <c r="L15" s="22">
        <v>955</v>
      </c>
      <c r="M15" s="56">
        <v>310</v>
      </c>
      <c r="N15" s="22">
        <v>830</v>
      </c>
      <c r="O15" s="22">
        <v>1070</v>
      </c>
      <c r="P15" s="111">
        <f>SUM(D15:O15)</f>
        <v>18160</v>
      </c>
      <c r="R15" s="59"/>
      <c r="S15" s="61"/>
    </row>
    <row r="16" spans="1:21" s="4" customFormat="1" ht="20.100000000000001" customHeight="1" x14ac:dyDescent="0.25">
      <c r="A16" s="6">
        <v>12</v>
      </c>
      <c r="B16" s="7" t="s">
        <v>92</v>
      </c>
      <c r="C16" s="12" t="s">
        <v>93</v>
      </c>
      <c r="D16" s="56">
        <v>2000</v>
      </c>
      <c r="E16" s="56">
        <v>2010</v>
      </c>
      <c r="F16" s="56">
        <v>500</v>
      </c>
      <c r="G16" s="56">
        <v>3680</v>
      </c>
      <c r="H16" s="56">
        <v>840</v>
      </c>
      <c r="I16" s="56">
        <v>1750</v>
      </c>
      <c r="J16" s="56">
        <v>1760</v>
      </c>
      <c r="K16" s="56"/>
      <c r="L16" s="22">
        <v>965</v>
      </c>
      <c r="M16" s="56">
        <v>1905</v>
      </c>
      <c r="N16" s="22">
        <v>460</v>
      </c>
      <c r="O16" s="22">
        <v>1200</v>
      </c>
      <c r="P16" s="111">
        <f>SUM(D16:O16)</f>
        <v>17070</v>
      </c>
      <c r="R16" s="59"/>
      <c r="S16" s="61"/>
    </row>
    <row r="17" spans="1:19" s="4" customFormat="1" ht="20.100000000000001" customHeight="1" x14ac:dyDescent="0.25">
      <c r="A17" s="6">
        <v>13</v>
      </c>
      <c r="B17" s="7" t="s">
        <v>288</v>
      </c>
      <c r="C17" s="8" t="s">
        <v>216</v>
      </c>
      <c r="D17" s="56">
        <v>1400</v>
      </c>
      <c r="E17" s="56">
        <v>1125</v>
      </c>
      <c r="F17" s="56">
        <v>925</v>
      </c>
      <c r="G17" s="56"/>
      <c r="H17" s="56">
        <v>1100</v>
      </c>
      <c r="I17" s="56">
        <v>1729</v>
      </c>
      <c r="J17" s="56">
        <v>2000</v>
      </c>
      <c r="K17" s="56">
        <v>1770</v>
      </c>
      <c r="L17" s="22">
        <v>1780</v>
      </c>
      <c r="M17" s="56">
        <v>1020</v>
      </c>
      <c r="N17" s="22">
        <v>1295</v>
      </c>
      <c r="O17" s="22">
        <v>1340</v>
      </c>
      <c r="P17" s="111">
        <f>SUM(D17:O17)</f>
        <v>15484</v>
      </c>
      <c r="R17" s="59"/>
      <c r="S17" s="62"/>
    </row>
    <row r="18" spans="1:19" s="4" customFormat="1" ht="20.100000000000001" customHeight="1" x14ac:dyDescent="0.25">
      <c r="A18" s="6">
        <v>14</v>
      </c>
      <c r="B18" s="7" t="s">
        <v>126</v>
      </c>
      <c r="C18" s="13" t="s">
        <v>227</v>
      </c>
      <c r="D18" s="56">
        <v>620</v>
      </c>
      <c r="E18" s="56">
        <v>980</v>
      </c>
      <c r="F18" s="56">
        <v>1385</v>
      </c>
      <c r="G18" s="56">
        <v>1075</v>
      </c>
      <c r="H18" s="56">
        <v>1120</v>
      </c>
      <c r="I18" s="56">
        <v>1395</v>
      </c>
      <c r="J18" s="56">
        <v>1235</v>
      </c>
      <c r="K18" s="56">
        <v>1615</v>
      </c>
      <c r="L18" s="22"/>
      <c r="M18" s="56">
        <v>730</v>
      </c>
      <c r="N18" s="22">
        <v>705</v>
      </c>
      <c r="O18" s="22">
        <v>1170</v>
      </c>
      <c r="P18" s="111">
        <f>SUM(D18:O18)</f>
        <v>12030</v>
      </c>
      <c r="R18" s="59"/>
      <c r="S18" s="61"/>
    </row>
    <row r="19" spans="1:19" s="4" customFormat="1" ht="20.100000000000001" customHeight="1" x14ac:dyDescent="0.25">
      <c r="A19" s="6">
        <v>15</v>
      </c>
      <c r="B19" s="7" t="s">
        <v>130</v>
      </c>
      <c r="C19" s="14" t="s">
        <v>230</v>
      </c>
      <c r="D19" s="22">
        <v>1000</v>
      </c>
      <c r="E19" s="22">
        <v>1000</v>
      </c>
      <c r="F19" s="22">
        <v>1000</v>
      </c>
      <c r="G19" s="22">
        <v>1005</v>
      </c>
      <c r="H19" s="22">
        <v>1010</v>
      </c>
      <c r="I19" s="22">
        <v>1065</v>
      </c>
      <c r="J19" s="22">
        <v>1065</v>
      </c>
      <c r="K19" s="22">
        <v>550</v>
      </c>
      <c r="L19" s="22">
        <v>510</v>
      </c>
      <c r="M19" s="22">
        <v>525</v>
      </c>
      <c r="N19" s="22">
        <v>460</v>
      </c>
      <c r="O19" s="22">
        <v>1900</v>
      </c>
      <c r="P19" s="111">
        <f>SUM(D19:O19)</f>
        <v>11090</v>
      </c>
      <c r="R19" s="59"/>
      <c r="S19" s="61"/>
    </row>
    <row r="20" spans="1:19" s="4" customFormat="1" ht="20.100000000000001" customHeight="1" x14ac:dyDescent="0.25">
      <c r="A20" s="6">
        <v>16</v>
      </c>
      <c r="B20" s="7" t="s">
        <v>110</v>
      </c>
      <c r="C20" s="13" t="s">
        <v>111</v>
      </c>
      <c r="D20" s="56">
        <v>1040</v>
      </c>
      <c r="E20" s="56">
        <v>500</v>
      </c>
      <c r="F20" s="56">
        <v>1145</v>
      </c>
      <c r="G20" s="56">
        <v>500</v>
      </c>
      <c r="H20" s="56">
        <v>1065</v>
      </c>
      <c r="I20" s="56">
        <v>555</v>
      </c>
      <c r="J20" s="56">
        <v>495</v>
      </c>
      <c r="K20" s="56">
        <v>1120</v>
      </c>
      <c r="L20" s="22"/>
      <c r="M20" s="56">
        <v>1080</v>
      </c>
      <c r="N20" s="22">
        <v>650</v>
      </c>
      <c r="O20" s="22">
        <v>775</v>
      </c>
      <c r="P20" s="111">
        <f>SUM(D20:O20)</f>
        <v>8925</v>
      </c>
      <c r="R20" s="59"/>
      <c r="S20" s="61"/>
    </row>
    <row r="21" spans="1:19" s="4" customFormat="1" ht="20.100000000000001" customHeight="1" x14ac:dyDescent="0.25">
      <c r="A21" s="6">
        <v>17</v>
      </c>
      <c r="B21" s="7" t="s">
        <v>100</v>
      </c>
      <c r="C21" s="12" t="s">
        <v>101</v>
      </c>
      <c r="D21" s="56">
        <v>700</v>
      </c>
      <c r="E21" s="56">
        <v>500</v>
      </c>
      <c r="F21" s="56">
        <v>520</v>
      </c>
      <c r="G21" s="56">
        <v>1020</v>
      </c>
      <c r="H21" s="56">
        <v>500</v>
      </c>
      <c r="I21" s="56">
        <v>1020</v>
      </c>
      <c r="J21" s="56">
        <v>1000</v>
      </c>
      <c r="K21" s="56">
        <v>505</v>
      </c>
      <c r="L21" s="22">
        <v>1000</v>
      </c>
      <c r="M21" s="56">
        <v>350</v>
      </c>
      <c r="N21" s="22"/>
      <c r="O21" s="22">
        <v>1630</v>
      </c>
      <c r="P21" s="111">
        <f>SUM(D21:O21)</f>
        <v>8745</v>
      </c>
      <c r="R21" s="59"/>
      <c r="S21" s="61"/>
    </row>
    <row r="22" spans="1:19" s="4" customFormat="1" ht="20.100000000000001" customHeight="1" x14ac:dyDescent="0.25">
      <c r="A22" s="6">
        <v>18</v>
      </c>
      <c r="B22" s="7" t="s">
        <v>90</v>
      </c>
      <c r="C22" s="12" t="s">
        <v>91</v>
      </c>
      <c r="D22" s="56">
        <v>1365</v>
      </c>
      <c r="E22" s="56">
        <v>917</v>
      </c>
      <c r="F22" s="56">
        <v>510</v>
      </c>
      <c r="G22" s="124">
        <f>474+75</f>
        <v>549</v>
      </c>
      <c r="H22" s="56">
        <v>1364</v>
      </c>
      <c r="I22" s="56">
        <v>1030</v>
      </c>
      <c r="J22" s="56">
        <v>1200</v>
      </c>
      <c r="K22" s="56">
        <v>420</v>
      </c>
      <c r="L22" s="22"/>
      <c r="M22" s="56"/>
      <c r="N22" s="22">
        <v>380</v>
      </c>
      <c r="O22" s="22">
        <v>790</v>
      </c>
      <c r="P22" s="111">
        <f>SUM(D22:O22)</f>
        <v>8525</v>
      </c>
      <c r="R22" s="59"/>
      <c r="S22" s="61"/>
    </row>
    <row r="23" spans="1:19" s="4" customFormat="1" ht="20.100000000000001" customHeight="1" x14ac:dyDescent="0.25">
      <c r="A23" s="6">
        <v>19</v>
      </c>
      <c r="B23" s="7" t="s">
        <v>102</v>
      </c>
      <c r="C23" s="13" t="s">
        <v>103</v>
      </c>
      <c r="D23" s="56"/>
      <c r="E23" s="56">
        <v>1700</v>
      </c>
      <c r="F23" s="56">
        <v>2600</v>
      </c>
      <c r="G23" s="56"/>
      <c r="H23" s="56">
        <v>600</v>
      </c>
      <c r="I23" s="56"/>
      <c r="J23" s="56">
        <v>500</v>
      </c>
      <c r="K23" s="56">
        <v>900</v>
      </c>
      <c r="L23" s="22"/>
      <c r="M23" s="56"/>
      <c r="N23" s="22">
        <v>900</v>
      </c>
      <c r="O23" s="125">
        <v>100</v>
      </c>
      <c r="P23" s="111">
        <f>SUM(D23:O23)</f>
        <v>7300</v>
      </c>
      <c r="R23" s="59"/>
      <c r="S23" s="62"/>
    </row>
    <row r="24" spans="1:19" s="4" customFormat="1" ht="20.100000000000001" customHeight="1" x14ac:dyDescent="0.25">
      <c r="A24" s="6">
        <v>20</v>
      </c>
      <c r="B24" s="7" t="s">
        <v>132</v>
      </c>
      <c r="C24" s="14" t="s">
        <v>231</v>
      </c>
      <c r="D24" s="56"/>
      <c r="E24" s="115">
        <v>575</v>
      </c>
      <c r="F24" s="56">
        <v>500</v>
      </c>
      <c r="G24" s="56"/>
      <c r="H24" s="115">
        <v>500</v>
      </c>
      <c r="I24" s="56">
        <v>535</v>
      </c>
      <c r="J24" s="56">
        <v>505</v>
      </c>
      <c r="K24" s="56">
        <v>1025</v>
      </c>
      <c r="L24" s="22"/>
      <c r="M24" s="56"/>
      <c r="N24" s="22">
        <v>330</v>
      </c>
      <c r="O24" s="22">
        <v>805</v>
      </c>
      <c r="P24" s="111">
        <f>SUM(D24:O24)</f>
        <v>4775</v>
      </c>
      <c r="R24" s="59"/>
      <c r="S24" s="62"/>
    </row>
    <row r="25" spans="1:19" s="4" customFormat="1" ht="20.100000000000001" customHeight="1" x14ac:dyDescent="0.25">
      <c r="A25" s="6">
        <v>21</v>
      </c>
      <c r="B25" s="7" t="s">
        <v>112</v>
      </c>
      <c r="C25" s="8" t="s">
        <v>113</v>
      </c>
      <c r="D25" s="56">
        <v>500</v>
      </c>
      <c r="E25" s="114">
        <v>500</v>
      </c>
      <c r="F25" s="56">
        <v>500</v>
      </c>
      <c r="G25" s="56"/>
      <c r="H25" s="56">
        <v>500</v>
      </c>
      <c r="I25" s="56"/>
      <c r="J25" s="114">
        <v>500</v>
      </c>
      <c r="K25" s="114">
        <v>520</v>
      </c>
      <c r="L25" s="22">
        <v>450</v>
      </c>
      <c r="M25" s="114">
        <v>310</v>
      </c>
      <c r="N25" s="22">
        <v>660</v>
      </c>
      <c r="O25" s="22">
        <v>300</v>
      </c>
      <c r="P25" s="111">
        <f>SUM(D25:O25)</f>
        <v>4740</v>
      </c>
      <c r="R25" s="59"/>
      <c r="S25" s="60"/>
    </row>
    <row r="26" spans="1:19" s="4" customFormat="1" ht="20.100000000000001" customHeight="1" x14ac:dyDescent="0.25">
      <c r="A26" s="6">
        <v>22</v>
      </c>
      <c r="B26" s="7" t="s">
        <v>98</v>
      </c>
      <c r="C26" s="13" t="s">
        <v>219</v>
      </c>
      <c r="D26" s="56">
        <v>740</v>
      </c>
      <c r="E26" s="56">
        <v>520</v>
      </c>
      <c r="F26" s="56">
        <v>500</v>
      </c>
      <c r="G26" s="56"/>
      <c r="H26" s="56">
        <v>670</v>
      </c>
      <c r="I26" s="56">
        <v>510</v>
      </c>
      <c r="J26" s="56"/>
      <c r="K26" s="56">
        <v>500</v>
      </c>
      <c r="L26" s="22"/>
      <c r="M26" s="56"/>
      <c r="N26" s="22">
        <v>450</v>
      </c>
      <c r="O26" s="22">
        <v>60</v>
      </c>
      <c r="P26" s="111">
        <f>SUM(D26:O26)</f>
        <v>3950</v>
      </c>
      <c r="R26" s="59"/>
      <c r="S26" s="62"/>
    </row>
    <row r="27" spans="1:19" s="4" customFormat="1" ht="20.100000000000001" customHeight="1" x14ac:dyDescent="0.25">
      <c r="A27" s="6">
        <v>23</v>
      </c>
      <c r="B27" s="7" t="s">
        <v>138</v>
      </c>
      <c r="C27" s="8" t="s">
        <v>139</v>
      </c>
      <c r="D27" s="56"/>
      <c r="E27" s="115"/>
      <c r="F27" s="56"/>
      <c r="G27" s="56"/>
      <c r="H27" s="56"/>
      <c r="I27" s="56"/>
      <c r="J27" s="56">
        <v>800</v>
      </c>
      <c r="K27" s="56">
        <v>1300</v>
      </c>
      <c r="L27" s="22"/>
      <c r="M27" s="56">
        <v>400</v>
      </c>
      <c r="N27" s="22">
        <v>800</v>
      </c>
      <c r="O27" s="22">
        <v>600</v>
      </c>
      <c r="P27" s="111">
        <f>SUM(D27:O27)</f>
        <v>3900</v>
      </c>
      <c r="R27" s="59"/>
      <c r="S27" s="62"/>
    </row>
    <row r="28" spans="1:19" s="4" customFormat="1" ht="20.100000000000001" customHeight="1" x14ac:dyDescent="0.25">
      <c r="A28" s="6">
        <v>24</v>
      </c>
      <c r="B28" s="7" t="s">
        <v>154</v>
      </c>
      <c r="C28" s="8" t="s">
        <v>155</v>
      </c>
      <c r="D28" s="56">
        <v>500</v>
      </c>
      <c r="E28" s="115">
        <v>525</v>
      </c>
      <c r="F28" s="56">
        <v>500</v>
      </c>
      <c r="G28" s="56"/>
      <c r="H28" s="56"/>
      <c r="I28" s="56">
        <v>500</v>
      </c>
      <c r="J28" s="56">
        <v>505</v>
      </c>
      <c r="K28" s="56"/>
      <c r="L28" s="22">
        <v>515</v>
      </c>
      <c r="M28" s="56"/>
      <c r="N28" s="22">
        <v>280</v>
      </c>
      <c r="O28" s="22">
        <v>250</v>
      </c>
      <c r="P28" s="111">
        <f>SUM(D28:O28)</f>
        <v>3575</v>
      </c>
      <c r="R28" s="59"/>
      <c r="S28" s="61"/>
    </row>
    <row r="29" spans="1:19" s="4" customFormat="1" ht="20.100000000000001" customHeight="1" x14ac:dyDescent="0.25">
      <c r="A29" s="6">
        <v>25</v>
      </c>
      <c r="B29" s="7" t="s">
        <v>124</v>
      </c>
      <c r="C29" s="13" t="s">
        <v>226</v>
      </c>
      <c r="D29" s="56">
        <v>200</v>
      </c>
      <c r="E29" s="56">
        <v>495</v>
      </c>
      <c r="F29" s="56">
        <v>250</v>
      </c>
      <c r="G29" s="56">
        <v>200</v>
      </c>
      <c r="H29" s="56">
        <v>470</v>
      </c>
      <c r="I29" s="56"/>
      <c r="J29" s="56">
        <v>320</v>
      </c>
      <c r="K29" s="56">
        <v>505</v>
      </c>
      <c r="L29" s="22">
        <v>265</v>
      </c>
      <c r="M29" s="56">
        <v>210</v>
      </c>
      <c r="N29" s="22">
        <v>185</v>
      </c>
      <c r="O29" s="22">
        <v>440</v>
      </c>
      <c r="P29" s="111">
        <f>SUM(D29:O29)</f>
        <v>3540</v>
      </c>
      <c r="R29" s="59"/>
      <c r="S29" s="61"/>
    </row>
    <row r="30" spans="1:19" s="4" customFormat="1" ht="20.100000000000001" customHeight="1" x14ac:dyDescent="0.25">
      <c r="A30" s="6">
        <v>26</v>
      </c>
      <c r="B30" s="7" t="s">
        <v>114</v>
      </c>
      <c r="C30" s="13" t="s">
        <v>115</v>
      </c>
      <c r="D30" s="56"/>
      <c r="E30" s="56"/>
      <c r="F30" s="115"/>
      <c r="G30" s="56"/>
      <c r="H30" s="56">
        <v>500</v>
      </c>
      <c r="I30" s="56"/>
      <c r="J30" s="56">
        <v>500</v>
      </c>
      <c r="K30" s="56">
        <v>660</v>
      </c>
      <c r="L30" s="22">
        <v>520</v>
      </c>
      <c r="M30" s="56">
        <v>340</v>
      </c>
      <c r="N30" s="22">
        <v>430</v>
      </c>
      <c r="O30" s="22"/>
      <c r="P30" s="111">
        <f>SUM(D30:O30)</f>
        <v>2950</v>
      </c>
      <c r="R30" s="59"/>
      <c r="S30" s="61"/>
    </row>
    <row r="31" spans="1:19" s="11" customFormat="1" ht="20.100000000000001" customHeight="1" x14ac:dyDescent="0.25">
      <c r="A31" s="6">
        <v>27</v>
      </c>
      <c r="B31" s="7" t="s">
        <v>152</v>
      </c>
      <c r="C31" s="13" t="s">
        <v>233</v>
      </c>
      <c r="D31" s="56">
        <v>500</v>
      </c>
      <c r="E31" s="56"/>
      <c r="F31" s="56">
        <v>300</v>
      </c>
      <c r="G31" s="56"/>
      <c r="H31" s="56">
        <v>200</v>
      </c>
      <c r="I31" s="115">
        <v>355</v>
      </c>
      <c r="J31" s="115">
        <v>200</v>
      </c>
      <c r="K31" s="115">
        <v>200</v>
      </c>
      <c r="L31" s="116">
        <v>155</v>
      </c>
      <c r="M31" s="115">
        <v>120</v>
      </c>
      <c r="N31" s="116">
        <v>290</v>
      </c>
      <c r="O31" s="22">
        <v>500</v>
      </c>
      <c r="P31" s="111">
        <f>SUM(D31:O31)</f>
        <v>2820</v>
      </c>
      <c r="R31" s="59"/>
      <c r="S31" s="62"/>
    </row>
    <row r="32" spans="1:19" s="4" customFormat="1" ht="20.100000000000001" customHeight="1" x14ac:dyDescent="0.25">
      <c r="A32" s="6">
        <v>28</v>
      </c>
      <c r="B32" s="7" t="s">
        <v>140</v>
      </c>
      <c r="C32" s="8" t="s">
        <v>141</v>
      </c>
      <c r="D32" s="56"/>
      <c r="E32" s="115"/>
      <c r="F32" s="56"/>
      <c r="G32" s="56"/>
      <c r="H32" s="56"/>
      <c r="I32" s="56"/>
      <c r="J32" s="56">
        <v>600</v>
      </c>
      <c r="K32" s="56">
        <v>520</v>
      </c>
      <c r="L32" s="22">
        <v>633</v>
      </c>
      <c r="M32" s="56">
        <v>557</v>
      </c>
      <c r="N32" s="22"/>
      <c r="O32" s="22">
        <v>500</v>
      </c>
      <c r="P32" s="111">
        <f>SUM(D32:O32)</f>
        <v>2810</v>
      </c>
      <c r="R32" s="59"/>
      <c r="S32" s="62"/>
    </row>
    <row r="33" spans="1:19" s="4" customFormat="1" ht="20.100000000000001" customHeight="1" x14ac:dyDescent="0.25">
      <c r="A33" s="6">
        <v>29</v>
      </c>
      <c r="B33" s="7" t="s">
        <v>142</v>
      </c>
      <c r="C33" s="13" t="s">
        <v>143</v>
      </c>
      <c r="D33" s="56">
        <v>500</v>
      </c>
      <c r="E33" s="115"/>
      <c r="F33" s="56"/>
      <c r="G33" s="56"/>
      <c r="H33" s="56">
        <v>500</v>
      </c>
      <c r="I33" s="56"/>
      <c r="J33" s="56">
        <v>510</v>
      </c>
      <c r="K33" s="56">
        <v>510</v>
      </c>
      <c r="L33" s="22"/>
      <c r="M33" s="56"/>
      <c r="N33" s="22">
        <v>520</v>
      </c>
      <c r="O33" s="22"/>
      <c r="P33" s="111">
        <f>SUM(D33:O33)</f>
        <v>2540</v>
      </c>
      <c r="R33" s="59"/>
      <c r="S33" s="60"/>
    </row>
    <row r="34" spans="1:19" s="4" customFormat="1" ht="20.100000000000001" customHeight="1" x14ac:dyDescent="0.25">
      <c r="A34" s="6">
        <v>30</v>
      </c>
      <c r="B34" s="7" t="s">
        <v>108</v>
      </c>
      <c r="C34" s="13" t="s">
        <v>225</v>
      </c>
      <c r="D34" s="56">
        <v>500</v>
      </c>
      <c r="E34" s="56">
        <v>500</v>
      </c>
      <c r="F34" s="115">
        <v>500</v>
      </c>
      <c r="G34" s="56"/>
      <c r="H34" s="56"/>
      <c r="I34" s="56">
        <v>500</v>
      </c>
      <c r="J34" s="56">
        <v>300</v>
      </c>
      <c r="K34" s="56">
        <v>200</v>
      </c>
      <c r="L34" s="22"/>
      <c r="M34" s="56"/>
      <c r="N34" s="22"/>
      <c r="O34" s="115"/>
      <c r="P34" s="111">
        <f>SUM(D34:O34)</f>
        <v>2500</v>
      </c>
      <c r="R34" s="59"/>
      <c r="S34" s="61"/>
    </row>
    <row r="35" spans="1:19" s="11" customFormat="1" ht="20.100000000000001" customHeight="1" x14ac:dyDescent="0.25">
      <c r="A35" s="6">
        <v>31</v>
      </c>
      <c r="B35" s="7" t="s">
        <v>164</v>
      </c>
      <c r="C35" s="8" t="s">
        <v>165</v>
      </c>
      <c r="D35" s="56"/>
      <c r="E35" s="115"/>
      <c r="F35" s="56"/>
      <c r="G35" s="56"/>
      <c r="H35" s="56">
        <v>500</v>
      </c>
      <c r="I35" s="56"/>
      <c r="J35" s="56">
        <v>500</v>
      </c>
      <c r="K35" s="56"/>
      <c r="L35" s="22">
        <v>500</v>
      </c>
      <c r="M35" s="56">
        <v>500</v>
      </c>
      <c r="N35" s="22"/>
      <c r="O35" s="22">
        <v>500</v>
      </c>
      <c r="P35" s="111">
        <f>SUM(D35:O35)</f>
        <v>2500</v>
      </c>
      <c r="R35" s="59"/>
      <c r="S35" s="62"/>
    </row>
    <row r="36" spans="1:19" s="4" customFormat="1" ht="20.100000000000001" customHeight="1" x14ac:dyDescent="0.25">
      <c r="A36" s="6">
        <v>32</v>
      </c>
      <c r="B36" s="7" t="s">
        <v>144</v>
      </c>
      <c r="C36" s="8" t="s">
        <v>244</v>
      </c>
      <c r="D36" s="56"/>
      <c r="E36" s="115"/>
      <c r="F36" s="56"/>
      <c r="G36" s="56"/>
      <c r="H36" s="56"/>
      <c r="I36" s="56"/>
      <c r="J36" s="56">
        <v>500</v>
      </c>
      <c r="K36" s="56">
        <v>515</v>
      </c>
      <c r="L36" s="22">
        <v>300</v>
      </c>
      <c r="M36" s="56">
        <v>600</v>
      </c>
      <c r="N36" s="22"/>
      <c r="O36" s="22">
        <v>500</v>
      </c>
      <c r="P36" s="111">
        <f>SUM(D36:O36)</f>
        <v>2415</v>
      </c>
      <c r="R36" s="59"/>
      <c r="S36" s="62"/>
    </row>
    <row r="37" spans="1:19" s="4" customFormat="1" ht="20.100000000000001" customHeight="1" x14ac:dyDescent="0.25">
      <c r="A37" s="6">
        <v>33</v>
      </c>
      <c r="B37" s="7" t="s">
        <v>106</v>
      </c>
      <c r="C37" s="12" t="s">
        <v>221</v>
      </c>
      <c r="D37" s="56"/>
      <c r="E37" s="56"/>
      <c r="F37" s="56">
        <v>500</v>
      </c>
      <c r="G37" s="56"/>
      <c r="H37" s="124">
        <v>300</v>
      </c>
      <c r="I37" s="56">
        <v>970</v>
      </c>
      <c r="J37" s="56">
        <v>500</v>
      </c>
      <c r="K37" s="56"/>
      <c r="L37" s="22"/>
      <c r="M37" s="56"/>
      <c r="N37" s="115"/>
      <c r="O37" s="22"/>
      <c r="P37" s="111">
        <f>SUM(D37:O37)</f>
        <v>2270</v>
      </c>
      <c r="R37" s="51"/>
      <c r="S37" s="52"/>
    </row>
    <row r="38" spans="1:19" s="4" customFormat="1" ht="20.100000000000001" customHeight="1" x14ac:dyDescent="0.25">
      <c r="A38" s="6">
        <v>34</v>
      </c>
      <c r="B38" s="7" t="s">
        <v>156</v>
      </c>
      <c r="C38" s="10" t="s">
        <v>232</v>
      </c>
      <c r="D38" s="56"/>
      <c r="E38" s="115">
        <v>215</v>
      </c>
      <c r="F38" s="56">
        <v>200</v>
      </c>
      <c r="G38" s="56"/>
      <c r="H38" s="56">
        <v>250</v>
      </c>
      <c r="I38" s="56">
        <v>825</v>
      </c>
      <c r="J38" s="56"/>
      <c r="K38" s="56">
        <v>300</v>
      </c>
      <c r="L38" s="22"/>
      <c r="M38" s="56"/>
      <c r="N38" s="22"/>
      <c r="O38" s="22"/>
      <c r="P38" s="111">
        <f>SUM(D38:O38)</f>
        <v>1790</v>
      </c>
      <c r="R38" s="59"/>
      <c r="S38" s="62"/>
    </row>
    <row r="39" spans="1:19" s="4" customFormat="1" ht="20.100000000000001" customHeight="1" x14ac:dyDescent="0.25">
      <c r="A39" s="6">
        <v>35</v>
      </c>
      <c r="B39" s="7" t="s">
        <v>146</v>
      </c>
      <c r="C39" s="10" t="s">
        <v>147</v>
      </c>
      <c r="D39" s="56"/>
      <c r="E39" s="56"/>
      <c r="F39" s="56"/>
      <c r="G39" s="56"/>
      <c r="H39" s="56"/>
      <c r="I39" s="56"/>
      <c r="J39" s="114"/>
      <c r="K39" s="114"/>
      <c r="L39" s="22">
        <v>350</v>
      </c>
      <c r="M39" s="114">
        <v>150</v>
      </c>
      <c r="N39" s="22">
        <v>250</v>
      </c>
      <c r="O39" s="22">
        <v>970</v>
      </c>
      <c r="P39" s="111">
        <f>SUM(D39:O39)</f>
        <v>1720</v>
      </c>
      <c r="R39" s="51"/>
      <c r="S39" s="52"/>
    </row>
    <row r="40" spans="1:19" s="4" customFormat="1" ht="20.100000000000001" customHeight="1" x14ac:dyDescent="0.25">
      <c r="A40" s="6">
        <v>36</v>
      </c>
      <c r="B40" s="7" t="s">
        <v>160</v>
      </c>
      <c r="C40" s="12" t="s">
        <v>228</v>
      </c>
      <c r="D40" s="56"/>
      <c r="E40" s="56">
        <v>200</v>
      </c>
      <c r="F40" s="56"/>
      <c r="G40" s="56"/>
      <c r="H40" s="56">
        <v>385</v>
      </c>
      <c r="I40" s="56"/>
      <c r="J40" s="56"/>
      <c r="K40" s="56">
        <v>340</v>
      </c>
      <c r="L40" s="22"/>
      <c r="M40" s="56"/>
      <c r="N40" s="22"/>
      <c r="O40" s="22">
        <v>278</v>
      </c>
      <c r="P40" s="111">
        <f>SUM(D40:O40)</f>
        <v>1203</v>
      </c>
      <c r="R40" s="51"/>
      <c r="S40" s="52"/>
    </row>
    <row r="41" spans="1:19" s="4" customFormat="1" ht="20.100000000000001" customHeight="1" x14ac:dyDescent="0.25">
      <c r="A41" s="6">
        <v>37</v>
      </c>
      <c r="B41" s="7" t="s">
        <v>150</v>
      </c>
      <c r="C41" s="38" t="s">
        <v>237</v>
      </c>
      <c r="D41" s="22"/>
      <c r="E41" s="116"/>
      <c r="F41" s="22"/>
      <c r="G41" s="22"/>
      <c r="H41" s="22">
        <v>520</v>
      </c>
      <c r="I41" s="22">
        <v>280</v>
      </c>
      <c r="J41" s="22">
        <v>310</v>
      </c>
      <c r="K41" s="22"/>
      <c r="L41" s="22"/>
      <c r="M41" s="22"/>
      <c r="N41" s="22"/>
      <c r="O41" s="22"/>
      <c r="P41" s="41">
        <f>SUM(D41:O41)</f>
        <v>1110</v>
      </c>
      <c r="R41" s="59"/>
      <c r="S41" s="62"/>
    </row>
    <row r="42" spans="1:19" s="4" customFormat="1" ht="20.100000000000001" customHeight="1" x14ac:dyDescent="0.25">
      <c r="A42" s="6">
        <v>38</v>
      </c>
      <c r="B42" s="7" t="s">
        <v>134</v>
      </c>
      <c r="C42" s="13" t="s">
        <v>234</v>
      </c>
      <c r="D42" s="115"/>
      <c r="E42" s="56"/>
      <c r="F42" s="115">
        <v>300</v>
      </c>
      <c r="G42" s="56"/>
      <c r="H42" s="115"/>
      <c r="I42" s="56"/>
      <c r="J42" s="56">
        <v>320</v>
      </c>
      <c r="K42" s="56">
        <v>200</v>
      </c>
      <c r="L42" s="22"/>
      <c r="M42" s="56"/>
      <c r="N42" s="22">
        <v>185</v>
      </c>
      <c r="O42" s="115"/>
      <c r="P42" s="111">
        <f>SUM(D42:O42)</f>
        <v>1005</v>
      </c>
      <c r="R42" s="51"/>
      <c r="S42" s="52"/>
    </row>
    <row r="43" spans="1:19" s="4" customFormat="1" ht="20.100000000000001" customHeight="1" x14ac:dyDescent="0.25">
      <c r="A43" s="6">
        <v>39</v>
      </c>
      <c r="B43" s="7" t="s">
        <v>200</v>
      </c>
      <c r="C43" s="8" t="s">
        <v>238</v>
      </c>
      <c r="D43" s="56"/>
      <c r="E43" s="126">
        <v>300</v>
      </c>
      <c r="F43" s="56"/>
      <c r="G43" s="56"/>
      <c r="H43" s="56"/>
      <c r="I43" s="56"/>
      <c r="J43" s="56">
        <v>310</v>
      </c>
      <c r="K43" s="56">
        <v>200</v>
      </c>
      <c r="L43" s="22"/>
      <c r="M43" s="56"/>
      <c r="N43" s="22"/>
      <c r="O43" s="22"/>
      <c r="P43" s="111">
        <f>SUM(D43:O43)</f>
        <v>810</v>
      </c>
      <c r="R43" s="51"/>
      <c r="S43" s="52"/>
    </row>
    <row r="44" spans="1:19" s="4" customFormat="1" ht="20.100000000000001" customHeight="1" x14ac:dyDescent="0.25">
      <c r="A44" s="6">
        <v>40</v>
      </c>
      <c r="B44" s="7" t="s">
        <v>191</v>
      </c>
      <c r="C44" s="8" t="s">
        <v>243</v>
      </c>
      <c r="D44" s="56"/>
      <c r="E44" s="115"/>
      <c r="F44" s="56"/>
      <c r="G44" s="56"/>
      <c r="H44" s="56"/>
      <c r="I44" s="56"/>
      <c r="J44" s="56">
        <v>740</v>
      </c>
      <c r="K44" s="56"/>
      <c r="L44" s="22"/>
      <c r="M44" s="56"/>
      <c r="N44" s="22"/>
      <c r="O44" s="22"/>
      <c r="P44" s="111">
        <f>SUM(D44:O44)</f>
        <v>740</v>
      </c>
      <c r="R44" s="59"/>
      <c r="S44" s="62"/>
    </row>
    <row r="45" spans="1:19" s="4" customFormat="1" ht="20.100000000000001" customHeight="1" x14ac:dyDescent="0.25">
      <c r="A45" s="6">
        <v>41</v>
      </c>
      <c r="B45" s="7" t="s">
        <v>168</v>
      </c>
      <c r="C45" s="18" t="s">
        <v>169</v>
      </c>
      <c r="D45" s="56"/>
      <c r="E45" s="56"/>
      <c r="F45" s="56"/>
      <c r="G45" s="56"/>
      <c r="H45" s="56"/>
      <c r="I45" s="56"/>
      <c r="J45" s="114"/>
      <c r="K45" s="114"/>
      <c r="L45" s="22"/>
      <c r="M45" s="114"/>
      <c r="N45" s="22"/>
      <c r="O45" s="22">
        <v>650</v>
      </c>
      <c r="P45" s="111">
        <f>SUM(D45:O45)</f>
        <v>650</v>
      </c>
      <c r="R45" s="59"/>
      <c r="S45" s="62"/>
    </row>
    <row r="46" spans="1:19" s="4" customFormat="1" ht="20.100000000000001" customHeight="1" x14ac:dyDescent="0.25">
      <c r="A46" s="6">
        <v>42</v>
      </c>
      <c r="B46" s="7" t="s">
        <v>162</v>
      </c>
      <c r="C46" s="10" t="s">
        <v>229</v>
      </c>
      <c r="D46" s="56">
        <v>200</v>
      </c>
      <c r="E46" s="115"/>
      <c r="F46" s="56"/>
      <c r="G46" s="56"/>
      <c r="H46" s="56">
        <v>210</v>
      </c>
      <c r="I46" s="56"/>
      <c r="J46" s="56"/>
      <c r="K46" s="56"/>
      <c r="L46" s="22">
        <v>200</v>
      </c>
      <c r="M46" s="56"/>
      <c r="N46" s="22"/>
      <c r="O46" s="22"/>
      <c r="P46" s="111">
        <f>SUM(D46:O46)</f>
        <v>610</v>
      </c>
      <c r="R46" s="59"/>
      <c r="S46" s="62"/>
    </row>
    <row r="47" spans="1:19" s="4" customFormat="1" ht="20.100000000000001" customHeight="1" x14ac:dyDescent="0.25">
      <c r="A47" s="6">
        <v>43</v>
      </c>
      <c r="B47" s="7" t="s">
        <v>279</v>
      </c>
      <c r="C47" s="12" t="s">
        <v>220</v>
      </c>
      <c r="D47" s="56">
        <v>600</v>
      </c>
      <c r="E47" s="56"/>
      <c r="F47" s="56"/>
      <c r="G47" s="56"/>
      <c r="H47" s="56"/>
      <c r="I47" s="56"/>
      <c r="J47" s="56"/>
      <c r="K47" s="56"/>
      <c r="L47" s="22"/>
      <c r="M47" s="56"/>
      <c r="N47" s="22"/>
      <c r="O47" s="22"/>
      <c r="P47" s="111">
        <f>SUM(D47:O47)</f>
        <v>600</v>
      </c>
      <c r="R47" s="51"/>
      <c r="S47" s="52"/>
    </row>
    <row r="48" spans="1:19" s="4" customFormat="1" ht="20.100000000000001" customHeight="1" x14ac:dyDescent="0.25">
      <c r="A48" s="6">
        <v>44</v>
      </c>
      <c r="B48" s="16" t="s">
        <v>202</v>
      </c>
      <c r="C48" s="232" t="s">
        <v>241</v>
      </c>
      <c r="D48" s="56"/>
      <c r="E48" s="115"/>
      <c r="F48" s="56"/>
      <c r="G48" s="56"/>
      <c r="H48" s="56"/>
      <c r="I48" s="56">
        <v>510</v>
      </c>
      <c r="J48" s="56"/>
      <c r="K48" s="56"/>
      <c r="L48" s="22"/>
      <c r="M48" s="56"/>
      <c r="N48" s="22"/>
      <c r="O48" s="22"/>
      <c r="P48" s="111">
        <f>SUM(D48:O48)</f>
        <v>510</v>
      </c>
      <c r="R48" s="51"/>
      <c r="S48" s="52"/>
    </row>
    <row r="49" spans="1:19" s="4" customFormat="1" ht="20.100000000000001" customHeight="1" x14ac:dyDescent="0.25">
      <c r="A49" s="6">
        <v>45</v>
      </c>
      <c r="B49" s="16" t="s">
        <v>158</v>
      </c>
      <c r="C49" s="231" t="s">
        <v>245</v>
      </c>
      <c r="D49" s="56"/>
      <c r="E49" s="56"/>
      <c r="F49" s="56"/>
      <c r="G49" s="56"/>
      <c r="H49" s="56"/>
      <c r="I49" s="56"/>
      <c r="J49" s="114"/>
      <c r="K49" s="114"/>
      <c r="L49" s="22"/>
      <c r="M49" s="114"/>
      <c r="N49" s="22"/>
      <c r="O49" s="22">
        <v>455</v>
      </c>
      <c r="P49" s="111">
        <f>SUM(D49:O49)</f>
        <v>455</v>
      </c>
      <c r="R49" s="51"/>
      <c r="S49" s="52"/>
    </row>
    <row r="50" spans="1:19" s="4" customFormat="1" ht="20.100000000000001" customHeight="1" x14ac:dyDescent="0.25">
      <c r="A50" s="6">
        <v>46</v>
      </c>
      <c r="B50" s="16" t="s">
        <v>201</v>
      </c>
      <c r="C50" s="17" t="s">
        <v>240</v>
      </c>
      <c r="D50" s="56"/>
      <c r="E50" s="115"/>
      <c r="F50" s="56"/>
      <c r="G50" s="56"/>
      <c r="H50" s="56"/>
      <c r="I50" s="56">
        <v>370</v>
      </c>
      <c r="J50" s="56"/>
      <c r="K50" s="56"/>
      <c r="L50" s="22"/>
      <c r="M50" s="56"/>
      <c r="N50" s="22"/>
      <c r="O50" s="22"/>
      <c r="P50" s="111">
        <f>SUM(D50:O50)</f>
        <v>370</v>
      </c>
      <c r="R50" s="51"/>
      <c r="S50" s="52"/>
    </row>
    <row r="51" spans="1:19" s="4" customFormat="1" ht="20.100000000000001" customHeight="1" x14ac:dyDescent="0.25">
      <c r="A51" s="6">
        <v>47</v>
      </c>
      <c r="B51" s="7" t="s">
        <v>180</v>
      </c>
      <c r="C51" s="8" t="s">
        <v>239</v>
      </c>
      <c r="D51" s="56"/>
      <c r="E51" s="126"/>
      <c r="F51" s="56"/>
      <c r="G51" s="56"/>
      <c r="H51" s="56"/>
      <c r="I51" s="56">
        <v>305</v>
      </c>
      <c r="J51" s="56"/>
      <c r="K51" s="56"/>
      <c r="L51" s="22"/>
      <c r="M51" s="56"/>
      <c r="N51" s="22"/>
      <c r="O51" s="22"/>
      <c r="P51" s="111">
        <f>SUM(D51:O51)</f>
        <v>305</v>
      </c>
      <c r="R51" s="49"/>
      <c r="S51" s="49"/>
    </row>
    <row r="52" spans="1:19" s="4" customFormat="1" ht="20.100000000000001" customHeight="1" x14ac:dyDescent="0.25">
      <c r="A52" s="6">
        <v>48</v>
      </c>
      <c r="B52" s="7" t="s">
        <v>182</v>
      </c>
      <c r="C52" s="13" t="s">
        <v>242</v>
      </c>
      <c r="D52" s="115"/>
      <c r="E52" s="56"/>
      <c r="F52" s="115"/>
      <c r="G52" s="56"/>
      <c r="H52" s="115"/>
      <c r="I52" s="115">
        <v>120</v>
      </c>
      <c r="J52" s="115"/>
      <c r="K52" s="115"/>
      <c r="L52" s="116"/>
      <c r="M52" s="115"/>
      <c r="N52" s="116"/>
      <c r="O52" s="116"/>
      <c r="P52" s="111">
        <f>SUM(D52:O52)</f>
        <v>120</v>
      </c>
      <c r="R52" s="49"/>
      <c r="S52" s="49"/>
    </row>
    <row r="53" spans="1:19" s="2" customFormat="1" ht="20.100000000000001" customHeight="1" x14ac:dyDescent="0.25">
      <c r="A53" s="186" t="s">
        <v>289</v>
      </c>
      <c r="B53" s="186"/>
      <c r="C53" s="186"/>
      <c r="D53" s="86">
        <f>SUM(D5:D52)</f>
        <v>47430</v>
      </c>
      <c r="E53" s="86">
        <f>SUM(E5:E52)</f>
        <v>53462</v>
      </c>
      <c r="F53" s="86">
        <f>SUM(F5:F52)</f>
        <v>60710</v>
      </c>
      <c r="G53" s="86">
        <f>SUM(G5:G52)</f>
        <v>27147</v>
      </c>
      <c r="H53" s="86">
        <f>SUM(H5:H52)</f>
        <v>67576</v>
      </c>
      <c r="I53" s="86">
        <f>SUM(I5:I52)</f>
        <v>82634</v>
      </c>
      <c r="J53" s="86">
        <f>SUM(J5:J52)</f>
        <v>66340</v>
      </c>
      <c r="K53" s="86">
        <f>SUM(K5:K52)</f>
        <v>67210</v>
      </c>
      <c r="L53" s="86">
        <f>SUM(L5:L52)</f>
        <v>44763</v>
      </c>
      <c r="M53" s="86">
        <f>SUM(M5:M52)</f>
        <v>29652</v>
      </c>
      <c r="N53" s="86">
        <f>SUM(N5:N52)</f>
        <v>41402</v>
      </c>
      <c r="O53" s="86">
        <f>SUM(O5:O52)</f>
        <v>72711</v>
      </c>
      <c r="P53" s="86">
        <f>SUM(P5:P52)</f>
        <v>661037</v>
      </c>
    </row>
    <row r="54" spans="1:19" s="75" customFormat="1" ht="20.100000000000001" customHeight="1" x14ac:dyDescent="0.25">
      <c r="A54" s="187" t="s">
        <v>290</v>
      </c>
      <c r="B54" s="187"/>
      <c r="C54" s="187"/>
      <c r="D54" s="87">
        <f>MAX(D5:D52)</f>
        <v>13320</v>
      </c>
      <c r="E54" s="87">
        <f>MAX(E5:E52)</f>
        <v>16360</v>
      </c>
      <c r="F54" s="87">
        <f>MAX(F5:F52)</f>
        <v>20145</v>
      </c>
      <c r="G54" s="87">
        <f>MAX(G5:G52)</f>
        <v>8510</v>
      </c>
      <c r="H54" s="87">
        <f>MAX(H5:H52)</f>
        <v>23230</v>
      </c>
      <c r="I54" s="87">
        <f>MAX(I5:I52)</f>
        <v>29745</v>
      </c>
      <c r="J54" s="87">
        <f>MAX(J5:J52)</f>
        <v>21305</v>
      </c>
      <c r="K54" s="87">
        <f>MAX(K5:K52)</f>
        <v>22765</v>
      </c>
      <c r="L54" s="87">
        <f>MAX(L5:L52)</f>
        <v>17585</v>
      </c>
      <c r="M54" s="87">
        <f>MAX(M5:M52)</f>
        <v>6805</v>
      </c>
      <c r="N54" s="87">
        <f>MAX(N5:N52)</f>
        <v>10062</v>
      </c>
      <c r="O54" s="87">
        <f>MAX(O5:O52)</f>
        <v>19163</v>
      </c>
      <c r="P54" s="87">
        <f>MAX(P5:P52)</f>
        <v>208995</v>
      </c>
    </row>
    <row r="55" spans="1:19" s="75" customFormat="1" ht="20.100000000000001" customHeight="1" x14ac:dyDescent="0.25">
      <c r="A55" s="188" t="s">
        <v>291</v>
      </c>
      <c r="B55" s="188"/>
      <c r="C55" s="188"/>
      <c r="D55" s="88">
        <f>MIN(D5:D52)</f>
        <v>200</v>
      </c>
      <c r="E55" s="88">
        <f>MIN(E5:E52)</f>
        <v>200</v>
      </c>
      <c r="F55" s="88">
        <f>MIN(F5:F52)</f>
        <v>200</v>
      </c>
      <c r="G55" s="88">
        <f>MIN(G5:G52)</f>
        <v>200</v>
      </c>
      <c r="H55" s="88">
        <f>MIN(H5:H52)</f>
        <v>200</v>
      </c>
      <c r="I55" s="88">
        <f>MIN(I5:I52)</f>
        <v>120</v>
      </c>
      <c r="J55" s="88">
        <f>MIN(J5:J52)</f>
        <v>200</v>
      </c>
      <c r="K55" s="88">
        <f>MIN(K5:K52)</f>
        <v>200</v>
      </c>
      <c r="L55" s="88">
        <f>MIN(L5:L52)</f>
        <v>155</v>
      </c>
      <c r="M55" s="88">
        <f>MIN(M5:M52)</f>
        <v>120</v>
      </c>
      <c r="N55" s="88">
        <f>MIN(N5:N52)</f>
        <v>185</v>
      </c>
      <c r="O55" s="88">
        <f>MIN(O5:O52)</f>
        <v>60</v>
      </c>
      <c r="P55" s="88">
        <f>MIN(P5:P52)</f>
        <v>120</v>
      </c>
    </row>
    <row r="56" spans="1:19" s="75" customFormat="1" ht="20.100000000000001" customHeight="1" x14ac:dyDescent="0.25">
      <c r="A56" s="189" t="s">
        <v>292</v>
      </c>
      <c r="B56" s="189"/>
      <c r="C56" s="189"/>
      <c r="D56" s="89">
        <f>AVERAGE(D5:D52)</f>
        <v>1824.2307692307693</v>
      </c>
      <c r="E56" s="89">
        <f>AVERAGE(E5:E52)</f>
        <v>1980.0740740740741</v>
      </c>
      <c r="F56" s="89">
        <f>AVERAGE(F5:F52)</f>
        <v>2168.2142857142858</v>
      </c>
      <c r="G56" s="89">
        <f>AVERAGE(G5:G52)</f>
        <v>1809.8</v>
      </c>
      <c r="H56" s="89">
        <f>AVERAGE(H5:H52)</f>
        <v>2179.8709677419356</v>
      </c>
      <c r="I56" s="89">
        <f>AVERAGE(I5:I52)</f>
        <v>2754.4666666666667</v>
      </c>
      <c r="J56" s="89">
        <f>AVERAGE(J5:J52)</f>
        <v>1842.7777777777778</v>
      </c>
      <c r="K56" s="89">
        <f>AVERAGE(K5:K52)</f>
        <v>2036.6666666666667</v>
      </c>
      <c r="L56" s="89">
        <f>AVERAGE(L5:L52)</f>
        <v>1790.52</v>
      </c>
      <c r="M56" s="89">
        <f>AVERAGE(M5:M52)</f>
        <v>1140.4615384615386</v>
      </c>
      <c r="N56" s="89">
        <f>AVERAGE(N5:N52)</f>
        <v>1427.655172413793</v>
      </c>
      <c r="O56" s="89">
        <f>AVERAGE(O5:O52)</f>
        <v>2203.3636363636365</v>
      </c>
      <c r="P56" s="89">
        <f>AVERAGE(P5:P52)</f>
        <v>13771.604166666666</v>
      </c>
    </row>
    <row r="57" spans="1:19" s="75" customFormat="1" ht="20.100000000000001" customHeight="1" x14ac:dyDescent="0.25">
      <c r="A57" s="190" t="s">
        <v>293</v>
      </c>
      <c r="B57" s="190"/>
      <c r="C57" s="190"/>
      <c r="D57" s="90">
        <f>COUNT(D5:D52)</f>
        <v>26</v>
      </c>
      <c r="E57" s="90">
        <f>COUNT(E5:E52)</f>
        <v>27</v>
      </c>
      <c r="F57" s="90">
        <f>COUNT(F5:F52)</f>
        <v>28</v>
      </c>
      <c r="G57" s="90">
        <f>COUNT(G5:G52)</f>
        <v>15</v>
      </c>
      <c r="H57" s="90">
        <f>COUNT(H5:H52)</f>
        <v>31</v>
      </c>
      <c r="I57" s="90">
        <f>COUNT(I5:I52)</f>
        <v>30</v>
      </c>
      <c r="J57" s="90">
        <f>COUNT(J5:J52)</f>
        <v>36</v>
      </c>
      <c r="K57" s="90">
        <f>COUNT(K5:K52)</f>
        <v>33</v>
      </c>
      <c r="L57" s="90">
        <f>COUNT(L5:L52)</f>
        <v>25</v>
      </c>
      <c r="M57" s="90">
        <f>COUNT(M5:M52)</f>
        <v>26</v>
      </c>
      <c r="N57" s="90">
        <f>COUNT(N5:N52)</f>
        <v>29</v>
      </c>
      <c r="O57" s="90">
        <f>COUNT(O5:O52)</f>
        <v>33</v>
      </c>
      <c r="P57" s="90">
        <f>COUNT(P5:P52)</f>
        <v>48</v>
      </c>
    </row>
  </sheetData>
  <sortState ref="A5:P56">
    <sortCondition descending="1" ref="P5:P56"/>
  </sortState>
  <mergeCells count="11">
    <mergeCell ref="A55:C55"/>
    <mergeCell ref="A56:C56"/>
    <mergeCell ref="A57:C57"/>
    <mergeCell ref="N2:P2"/>
    <mergeCell ref="P3:P4"/>
    <mergeCell ref="A1:P1"/>
    <mergeCell ref="A53:C53"/>
    <mergeCell ref="A54:C54"/>
    <mergeCell ref="A3:A4"/>
    <mergeCell ref="B3:B4"/>
    <mergeCell ref="C3:C4"/>
  </mergeCells>
  <pageMargins left="0" right="0" top="0" bottom="0" header="0.3" footer="0.3"/>
  <pageSetup paperSize="9" orientation="landscape" verticalDpi="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U47"/>
  <sheetViews>
    <sheetView zoomScaleNormal="100" workbookViewId="0">
      <selection activeCell="D9" sqref="D9"/>
    </sheetView>
  </sheetViews>
  <sheetFormatPr defaultColWidth="3.7109375" defaultRowHeight="17.25" x14ac:dyDescent="0.25"/>
  <cols>
    <col min="1" max="1" width="5.28515625" style="21" bestFit="1" customWidth="1"/>
    <col min="2" max="2" width="9.85546875" style="21" customWidth="1"/>
    <col min="3" max="3" width="27" style="130" customWidth="1"/>
    <col min="4" max="4" width="7" style="129" bestFit="1" customWidth="1"/>
    <col min="5" max="5" width="6.85546875" style="119" bestFit="1" customWidth="1"/>
    <col min="6" max="6" width="7.140625" style="119" bestFit="1" customWidth="1"/>
    <col min="7" max="7" width="6.7109375" style="119" bestFit="1" customWidth="1"/>
    <col min="8" max="8" width="7.42578125" style="119" bestFit="1" customWidth="1"/>
    <col min="9" max="9" width="7" style="119" bestFit="1" customWidth="1"/>
    <col min="10" max="10" width="6.42578125" style="119" bestFit="1" customWidth="1"/>
    <col min="11" max="11" width="7.140625" style="119" bestFit="1" customWidth="1"/>
    <col min="12" max="12" width="7" style="119" bestFit="1" customWidth="1"/>
    <col min="13" max="13" width="6.85546875" style="119" bestFit="1" customWidth="1"/>
    <col min="14" max="14" width="7.28515625" style="119" bestFit="1" customWidth="1"/>
    <col min="15" max="15" width="7" style="119" bestFit="1" customWidth="1"/>
    <col min="16" max="16" width="12.140625" style="140" customWidth="1"/>
    <col min="17" max="16384" width="3.7109375" style="21"/>
  </cols>
  <sheetData>
    <row r="1" spans="1:21" s="58" customFormat="1" ht="25.5" customHeight="1" x14ac:dyDescent="0.25">
      <c r="A1" s="191" t="s">
        <v>302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</row>
    <row r="2" spans="1:21" s="4" customFormat="1" ht="27.75" customHeight="1" x14ac:dyDescent="0.25">
      <c r="A2" s="95"/>
      <c r="B2" s="96"/>
      <c r="C2" s="117"/>
      <c r="D2" s="118"/>
      <c r="E2" s="118"/>
      <c r="F2" s="118"/>
      <c r="G2" s="118"/>
      <c r="H2" s="118"/>
      <c r="I2" s="118"/>
      <c r="J2" s="118"/>
      <c r="K2" s="118"/>
      <c r="L2" s="97"/>
      <c r="M2" s="97"/>
      <c r="N2" s="192" t="s">
        <v>294</v>
      </c>
      <c r="O2" s="192"/>
      <c r="P2" s="192"/>
      <c r="Q2" s="57"/>
      <c r="R2" s="57"/>
      <c r="S2" s="57"/>
      <c r="T2" s="57"/>
      <c r="U2" s="5"/>
    </row>
    <row r="3" spans="1:21" s="128" customFormat="1" ht="25.5" customHeight="1" x14ac:dyDescent="0.25">
      <c r="A3" s="207" t="s">
        <v>211</v>
      </c>
      <c r="B3" s="217" t="s">
        <v>249</v>
      </c>
      <c r="C3" s="207" t="s">
        <v>295</v>
      </c>
      <c r="D3" s="107">
        <v>44197</v>
      </c>
      <c r="E3" s="107">
        <v>44228</v>
      </c>
      <c r="F3" s="107">
        <v>44256</v>
      </c>
      <c r="G3" s="107">
        <v>44287</v>
      </c>
      <c r="H3" s="107">
        <v>44317</v>
      </c>
      <c r="I3" s="107">
        <v>44348</v>
      </c>
      <c r="J3" s="107">
        <v>44378</v>
      </c>
      <c r="K3" s="107">
        <v>44409</v>
      </c>
      <c r="L3" s="107">
        <v>44440</v>
      </c>
      <c r="M3" s="107">
        <v>44470</v>
      </c>
      <c r="N3" s="107">
        <v>44501</v>
      </c>
      <c r="O3" s="107">
        <v>44531</v>
      </c>
      <c r="P3" s="208" t="s">
        <v>301</v>
      </c>
    </row>
    <row r="4" spans="1:21" s="128" customFormat="1" ht="25.5" customHeight="1" x14ac:dyDescent="0.25">
      <c r="A4" s="207"/>
      <c r="B4" s="218"/>
      <c r="C4" s="207"/>
      <c r="D4" s="67" t="s">
        <v>213</v>
      </c>
      <c r="E4" s="67" t="s">
        <v>213</v>
      </c>
      <c r="F4" s="67" t="s">
        <v>213</v>
      </c>
      <c r="G4" s="67" t="s">
        <v>213</v>
      </c>
      <c r="H4" s="67" t="s">
        <v>213</v>
      </c>
      <c r="I4" s="67" t="s">
        <v>213</v>
      </c>
      <c r="J4" s="67" t="s">
        <v>213</v>
      </c>
      <c r="K4" s="67" t="s">
        <v>213</v>
      </c>
      <c r="L4" s="67" t="s">
        <v>213</v>
      </c>
      <c r="M4" s="67" t="s">
        <v>213</v>
      </c>
      <c r="N4" s="67" t="s">
        <v>213</v>
      </c>
      <c r="O4" s="67" t="s">
        <v>213</v>
      </c>
      <c r="P4" s="209"/>
    </row>
    <row r="5" spans="1:21" ht="20.100000000000001" customHeight="1" x14ac:dyDescent="0.25">
      <c r="A5" s="79">
        <v>1</v>
      </c>
      <c r="B5" s="20" t="s">
        <v>45</v>
      </c>
      <c r="C5" s="131" t="s">
        <v>46</v>
      </c>
      <c r="D5" s="37">
        <v>4560</v>
      </c>
      <c r="E5" s="37">
        <v>3240</v>
      </c>
      <c r="F5" s="37">
        <v>3530</v>
      </c>
      <c r="G5" s="37">
        <v>9010</v>
      </c>
      <c r="H5" s="37">
        <v>8460</v>
      </c>
      <c r="I5" s="132">
        <v>6260</v>
      </c>
      <c r="J5" s="37">
        <v>1070</v>
      </c>
      <c r="K5" s="37">
        <v>6400</v>
      </c>
      <c r="L5" s="37">
        <v>5820</v>
      </c>
      <c r="M5" s="37">
        <v>1110</v>
      </c>
      <c r="N5" s="37">
        <v>3305</v>
      </c>
      <c r="O5" s="37">
        <v>4680</v>
      </c>
      <c r="P5" s="102">
        <f>SUM(D5:O5)</f>
        <v>57445</v>
      </c>
      <c r="Q5" s="32"/>
    </row>
    <row r="6" spans="1:21" ht="20.100000000000001" customHeight="1" x14ac:dyDescent="0.25">
      <c r="A6" s="79">
        <v>2</v>
      </c>
      <c r="B6" s="20" t="s">
        <v>13</v>
      </c>
      <c r="C6" s="131" t="s">
        <v>14</v>
      </c>
      <c r="D6" s="37">
        <v>4060</v>
      </c>
      <c r="E6" s="37">
        <v>3065</v>
      </c>
      <c r="F6" s="37">
        <v>3590</v>
      </c>
      <c r="G6" s="37">
        <v>6315</v>
      </c>
      <c r="H6" s="37">
        <v>8865</v>
      </c>
      <c r="I6" s="132">
        <v>3770</v>
      </c>
      <c r="J6" s="37">
        <v>730</v>
      </c>
      <c r="K6" s="37">
        <v>4390</v>
      </c>
      <c r="L6" s="37">
        <v>3660</v>
      </c>
      <c r="M6" s="37">
        <v>1650</v>
      </c>
      <c r="N6" s="37">
        <v>1950</v>
      </c>
      <c r="O6" s="37">
        <v>2070</v>
      </c>
      <c r="P6" s="102">
        <f>SUM(D6:O6)</f>
        <v>44115</v>
      </c>
      <c r="Q6" s="32"/>
    </row>
    <row r="7" spans="1:21" ht="20.100000000000001" customHeight="1" x14ac:dyDescent="0.25">
      <c r="A7" s="79">
        <v>3</v>
      </c>
      <c r="B7" s="20" t="s">
        <v>57</v>
      </c>
      <c r="C7" s="101" t="s">
        <v>58</v>
      </c>
      <c r="D7" s="37">
        <v>3910</v>
      </c>
      <c r="E7" s="37">
        <v>1665</v>
      </c>
      <c r="F7" s="37">
        <v>2210</v>
      </c>
      <c r="G7" s="37">
        <v>4745</v>
      </c>
      <c r="H7" s="37">
        <v>8102</v>
      </c>
      <c r="I7" s="132">
        <v>4783</v>
      </c>
      <c r="J7" s="37">
        <v>1210</v>
      </c>
      <c r="K7" s="37">
        <v>4600</v>
      </c>
      <c r="L7" s="37">
        <v>4135</v>
      </c>
      <c r="M7" s="37">
        <v>770</v>
      </c>
      <c r="N7" s="37">
        <v>2430</v>
      </c>
      <c r="O7" s="37">
        <v>3380</v>
      </c>
      <c r="P7" s="102">
        <f>SUM(D7:O7)</f>
        <v>41940</v>
      </c>
      <c r="Q7" s="32"/>
    </row>
    <row r="8" spans="1:21" ht="20.100000000000001" customHeight="1" x14ac:dyDescent="0.25">
      <c r="A8" s="79">
        <v>4</v>
      </c>
      <c r="B8" s="20" t="s">
        <v>23</v>
      </c>
      <c r="C8" s="131" t="s">
        <v>24</v>
      </c>
      <c r="D8" s="37">
        <v>3300</v>
      </c>
      <c r="E8" s="37">
        <v>2640</v>
      </c>
      <c r="F8" s="37">
        <v>2490</v>
      </c>
      <c r="G8" s="37">
        <v>6375</v>
      </c>
      <c r="H8" s="37">
        <v>8715</v>
      </c>
      <c r="I8" s="132">
        <v>3635</v>
      </c>
      <c r="J8" s="37">
        <v>760</v>
      </c>
      <c r="K8" s="37">
        <v>2590</v>
      </c>
      <c r="L8" s="37">
        <v>4800</v>
      </c>
      <c r="M8" s="37">
        <v>570</v>
      </c>
      <c r="N8" s="37">
        <v>1830</v>
      </c>
      <c r="O8" s="37">
        <v>1910</v>
      </c>
      <c r="P8" s="102">
        <f>SUM(D8:O8)</f>
        <v>39615</v>
      </c>
      <c r="Q8" s="32"/>
    </row>
    <row r="9" spans="1:21" ht="20.100000000000001" customHeight="1" x14ac:dyDescent="0.25">
      <c r="A9" s="79">
        <v>5</v>
      </c>
      <c r="B9" s="20" t="s">
        <v>51</v>
      </c>
      <c r="C9" s="131" t="s">
        <v>52</v>
      </c>
      <c r="D9" s="37">
        <v>3240</v>
      </c>
      <c r="E9" s="37">
        <v>1190</v>
      </c>
      <c r="F9" s="37">
        <v>1820</v>
      </c>
      <c r="G9" s="37">
        <v>3650</v>
      </c>
      <c r="H9" s="37">
        <v>9275</v>
      </c>
      <c r="I9" s="132">
        <v>3535</v>
      </c>
      <c r="J9" s="37">
        <v>2590</v>
      </c>
      <c r="K9" s="37">
        <v>2740</v>
      </c>
      <c r="L9" s="37">
        <v>3820</v>
      </c>
      <c r="M9" s="37">
        <v>2200</v>
      </c>
      <c r="N9" s="37">
        <v>1450</v>
      </c>
      <c r="O9" s="37">
        <v>3050</v>
      </c>
      <c r="P9" s="102">
        <f>SUM(D9:O9)</f>
        <v>38560</v>
      </c>
      <c r="Q9" s="32"/>
    </row>
    <row r="10" spans="1:21" ht="20.100000000000001" customHeight="1" x14ac:dyDescent="0.25">
      <c r="A10" s="79">
        <v>6</v>
      </c>
      <c r="B10" s="20" t="s">
        <v>43</v>
      </c>
      <c r="C10" s="131" t="s">
        <v>44</v>
      </c>
      <c r="D10" s="37">
        <v>2760</v>
      </c>
      <c r="E10" s="37">
        <v>1660</v>
      </c>
      <c r="F10" s="37">
        <v>2190</v>
      </c>
      <c r="G10" s="37">
        <v>4260</v>
      </c>
      <c r="H10" s="37">
        <v>4681</v>
      </c>
      <c r="I10" s="132">
        <v>3588</v>
      </c>
      <c r="J10" s="37">
        <v>470</v>
      </c>
      <c r="K10" s="37">
        <v>2490</v>
      </c>
      <c r="L10" s="37">
        <v>2306</v>
      </c>
      <c r="M10" s="37">
        <v>660</v>
      </c>
      <c r="N10" s="37">
        <v>1600</v>
      </c>
      <c r="O10" s="37">
        <v>1930</v>
      </c>
      <c r="P10" s="102">
        <f>SUM(D10:O10)</f>
        <v>28595</v>
      </c>
      <c r="Q10" s="32"/>
    </row>
    <row r="11" spans="1:21" ht="20.100000000000001" customHeight="1" x14ac:dyDescent="0.25">
      <c r="A11" s="79">
        <v>7</v>
      </c>
      <c r="B11" s="20" t="s">
        <v>55</v>
      </c>
      <c r="C11" s="131" t="s">
        <v>56</v>
      </c>
      <c r="D11" s="37">
        <v>3055</v>
      </c>
      <c r="E11" s="37">
        <v>930</v>
      </c>
      <c r="F11" s="37">
        <v>1195</v>
      </c>
      <c r="G11" s="37">
        <v>2300</v>
      </c>
      <c r="H11" s="37">
        <v>5290</v>
      </c>
      <c r="I11" s="132">
        <v>3345</v>
      </c>
      <c r="J11" s="37">
        <v>600</v>
      </c>
      <c r="K11" s="37">
        <v>1940</v>
      </c>
      <c r="L11" s="37">
        <v>2900</v>
      </c>
      <c r="M11" s="37">
        <v>1100</v>
      </c>
      <c r="N11" s="37">
        <v>1050</v>
      </c>
      <c r="O11" s="37">
        <v>1820</v>
      </c>
      <c r="P11" s="102">
        <f>SUM(D11:O11)</f>
        <v>25525</v>
      </c>
      <c r="Q11" s="32"/>
    </row>
    <row r="12" spans="1:21" ht="20.100000000000001" customHeight="1" x14ac:dyDescent="0.25">
      <c r="A12" s="79">
        <v>8</v>
      </c>
      <c r="B12" s="20" t="s">
        <v>27</v>
      </c>
      <c r="C12" s="131" t="s">
        <v>28</v>
      </c>
      <c r="D12" s="37">
        <v>1930</v>
      </c>
      <c r="E12" s="37">
        <v>915</v>
      </c>
      <c r="F12" s="37">
        <v>1680</v>
      </c>
      <c r="G12" s="37">
        <v>3160</v>
      </c>
      <c r="H12" s="37">
        <v>5050</v>
      </c>
      <c r="I12" s="132">
        <v>1680</v>
      </c>
      <c r="J12" s="37">
        <v>830</v>
      </c>
      <c r="K12" s="37">
        <v>3230</v>
      </c>
      <c r="L12" s="37">
        <v>2400</v>
      </c>
      <c r="M12" s="37">
        <v>650</v>
      </c>
      <c r="N12" s="37">
        <v>830</v>
      </c>
      <c r="O12" s="37">
        <v>1490</v>
      </c>
      <c r="P12" s="102">
        <f>SUM(D12:O12)</f>
        <v>23845</v>
      </c>
      <c r="Q12" s="32"/>
    </row>
    <row r="13" spans="1:21" ht="20.100000000000001" customHeight="1" x14ac:dyDescent="0.25">
      <c r="A13" s="79">
        <v>9</v>
      </c>
      <c r="B13" s="20" t="s">
        <v>7</v>
      </c>
      <c r="C13" s="131" t="s">
        <v>8</v>
      </c>
      <c r="D13" s="37">
        <v>1330</v>
      </c>
      <c r="E13" s="37">
        <v>1800</v>
      </c>
      <c r="F13" s="37">
        <v>2125</v>
      </c>
      <c r="G13" s="37">
        <v>3115</v>
      </c>
      <c r="H13" s="37">
        <v>3702</v>
      </c>
      <c r="I13" s="132">
        <v>2843</v>
      </c>
      <c r="J13" s="37">
        <v>500</v>
      </c>
      <c r="K13" s="37">
        <v>1704</v>
      </c>
      <c r="L13" s="37">
        <v>1392</v>
      </c>
      <c r="M13" s="37">
        <v>1977</v>
      </c>
      <c r="N13" s="37">
        <v>992</v>
      </c>
      <c r="O13" s="37">
        <v>1780</v>
      </c>
      <c r="P13" s="102">
        <f>SUM(D13:O13)</f>
        <v>23260</v>
      </c>
      <c r="Q13" s="32"/>
    </row>
    <row r="14" spans="1:21" ht="20.100000000000001" customHeight="1" x14ac:dyDescent="0.25">
      <c r="A14" s="79">
        <v>10</v>
      </c>
      <c r="B14" s="20" t="s">
        <v>17</v>
      </c>
      <c r="C14" s="131" t="s">
        <v>18</v>
      </c>
      <c r="D14" s="37">
        <v>1940</v>
      </c>
      <c r="E14" s="37">
        <v>1625</v>
      </c>
      <c r="F14" s="37">
        <v>2260</v>
      </c>
      <c r="G14" s="37">
        <v>3240</v>
      </c>
      <c r="H14" s="37">
        <v>4020</v>
      </c>
      <c r="I14" s="132">
        <v>1710</v>
      </c>
      <c r="J14" s="37">
        <v>620</v>
      </c>
      <c r="K14" s="37">
        <v>2360</v>
      </c>
      <c r="L14" s="37">
        <v>2130</v>
      </c>
      <c r="M14" s="37">
        <v>450</v>
      </c>
      <c r="N14" s="37">
        <v>1040</v>
      </c>
      <c r="O14" s="37">
        <v>1700</v>
      </c>
      <c r="P14" s="102">
        <f>SUM(D14:O14)</f>
        <v>23095</v>
      </c>
      <c r="Q14" s="32"/>
    </row>
    <row r="15" spans="1:21" ht="20.100000000000001" customHeight="1" x14ac:dyDescent="0.25">
      <c r="A15" s="79">
        <v>11</v>
      </c>
      <c r="B15" s="20" t="s">
        <v>49</v>
      </c>
      <c r="C15" s="131" t="s">
        <v>50</v>
      </c>
      <c r="D15" s="37">
        <v>2615</v>
      </c>
      <c r="E15" s="37">
        <v>1690</v>
      </c>
      <c r="F15" s="37">
        <v>1670</v>
      </c>
      <c r="G15" s="37">
        <v>2520</v>
      </c>
      <c r="H15" s="37">
        <v>2820</v>
      </c>
      <c r="I15" s="132">
        <v>2195</v>
      </c>
      <c r="J15" s="37">
        <v>1150</v>
      </c>
      <c r="K15" s="37">
        <v>2500</v>
      </c>
      <c r="L15" s="37">
        <v>3680</v>
      </c>
      <c r="M15" s="37">
        <v>610</v>
      </c>
      <c r="N15" s="37">
        <v>110</v>
      </c>
      <c r="O15" s="37">
        <v>1410</v>
      </c>
      <c r="P15" s="102">
        <f>SUM(D15:O15)</f>
        <v>22970</v>
      </c>
      <c r="Q15" s="32"/>
    </row>
    <row r="16" spans="1:21" ht="20.100000000000001" customHeight="1" x14ac:dyDescent="0.25">
      <c r="A16" s="79">
        <v>12</v>
      </c>
      <c r="B16" s="20" t="s">
        <v>33</v>
      </c>
      <c r="C16" s="131" t="s">
        <v>34</v>
      </c>
      <c r="D16" s="37">
        <v>2230</v>
      </c>
      <c r="E16" s="37">
        <v>820</v>
      </c>
      <c r="F16" s="37">
        <v>1620</v>
      </c>
      <c r="G16" s="37">
        <v>2320</v>
      </c>
      <c r="H16" s="37">
        <v>3850</v>
      </c>
      <c r="I16" s="132">
        <v>2180</v>
      </c>
      <c r="J16" s="37">
        <v>360</v>
      </c>
      <c r="K16" s="37">
        <v>1531</v>
      </c>
      <c r="L16" s="37">
        <v>768</v>
      </c>
      <c r="M16" s="37">
        <v>1433</v>
      </c>
      <c r="N16" s="37">
        <v>398</v>
      </c>
      <c r="O16" s="37">
        <v>2060</v>
      </c>
      <c r="P16" s="102">
        <f>SUM(D16:O16)</f>
        <v>19570</v>
      </c>
      <c r="Q16" s="32"/>
    </row>
    <row r="17" spans="1:17" ht="20.100000000000001" customHeight="1" x14ac:dyDescent="0.25">
      <c r="A17" s="79">
        <v>13</v>
      </c>
      <c r="B17" s="20" t="s">
        <v>47</v>
      </c>
      <c r="C17" s="131" t="s">
        <v>48</v>
      </c>
      <c r="D17" s="37">
        <v>1687</v>
      </c>
      <c r="E17" s="37">
        <v>875</v>
      </c>
      <c r="F17" s="37">
        <v>1405</v>
      </c>
      <c r="G17" s="37">
        <v>3080</v>
      </c>
      <c r="H17" s="37">
        <v>3265</v>
      </c>
      <c r="I17" s="132">
        <v>1165</v>
      </c>
      <c r="J17" s="37">
        <v>170</v>
      </c>
      <c r="K17" s="37">
        <v>1540</v>
      </c>
      <c r="L17" s="37">
        <v>1220</v>
      </c>
      <c r="M17" s="37">
        <v>440</v>
      </c>
      <c r="N17" s="37">
        <v>1505</v>
      </c>
      <c r="O17" s="37">
        <v>1320</v>
      </c>
      <c r="P17" s="102">
        <f>SUM(D17:O17)</f>
        <v>17672</v>
      </c>
      <c r="Q17" s="32"/>
    </row>
    <row r="18" spans="1:17" ht="20.100000000000001" customHeight="1" x14ac:dyDescent="0.25">
      <c r="A18" s="79">
        <v>14</v>
      </c>
      <c r="B18" s="20" t="s">
        <v>21</v>
      </c>
      <c r="C18" s="131" t="s">
        <v>22</v>
      </c>
      <c r="D18" s="37">
        <v>650</v>
      </c>
      <c r="E18" s="37">
        <v>310</v>
      </c>
      <c r="F18" s="37">
        <v>630</v>
      </c>
      <c r="G18" s="37">
        <v>2170</v>
      </c>
      <c r="H18" s="37">
        <v>3839</v>
      </c>
      <c r="I18" s="132">
        <v>2161</v>
      </c>
      <c r="J18" s="37">
        <v>1920</v>
      </c>
      <c r="K18" s="37">
        <v>240</v>
      </c>
      <c r="L18" s="37">
        <v>1140</v>
      </c>
      <c r="M18" s="37">
        <v>430</v>
      </c>
      <c r="N18" s="37">
        <v>300</v>
      </c>
      <c r="O18" s="37">
        <v>900</v>
      </c>
      <c r="P18" s="102">
        <f>SUM(D18:O18)</f>
        <v>14690</v>
      </c>
      <c r="Q18" s="32"/>
    </row>
    <row r="19" spans="1:17" ht="20.100000000000001" customHeight="1" x14ac:dyDescent="0.25">
      <c r="A19" s="79">
        <v>15</v>
      </c>
      <c r="B19" s="20" t="s">
        <v>25</v>
      </c>
      <c r="C19" s="131" t="s">
        <v>26</v>
      </c>
      <c r="D19" s="37">
        <v>1355</v>
      </c>
      <c r="E19" s="37">
        <v>1440</v>
      </c>
      <c r="F19" s="37">
        <v>840</v>
      </c>
      <c r="G19" s="37">
        <v>3585</v>
      </c>
      <c r="H19" s="37">
        <v>2920</v>
      </c>
      <c r="I19" s="132">
        <v>1130</v>
      </c>
      <c r="J19" s="37">
        <v>60</v>
      </c>
      <c r="K19" s="37">
        <v>770</v>
      </c>
      <c r="L19" s="37">
        <v>745</v>
      </c>
      <c r="M19" s="37">
        <v>210</v>
      </c>
      <c r="N19" s="37">
        <v>460</v>
      </c>
      <c r="O19" s="37">
        <v>960</v>
      </c>
      <c r="P19" s="102">
        <f>SUM(D19:O19)</f>
        <v>14475</v>
      </c>
      <c r="Q19" s="32"/>
    </row>
    <row r="20" spans="1:17" ht="20.100000000000001" customHeight="1" x14ac:dyDescent="0.25">
      <c r="A20" s="79">
        <v>16</v>
      </c>
      <c r="B20" s="20" t="s">
        <v>15</v>
      </c>
      <c r="C20" s="131" t="s">
        <v>16</v>
      </c>
      <c r="D20" s="37">
        <v>1375</v>
      </c>
      <c r="E20" s="37">
        <v>400</v>
      </c>
      <c r="F20" s="37">
        <v>1450</v>
      </c>
      <c r="G20" s="37">
        <v>1160</v>
      </c>
      <c r="H20" s="37">
        <v>2420</v>
      </c>
      <c r="I20" s="132">
        <v>1130</v>
      </c>
      <c r="J20" s="37">
        <v>150</v>
      </c>
      <c r="K20" s="37">
        <v>1040</v>
      </c>
      <c r="L20" s="37">
        <v>1024</v>
      </c>
      <c r="M20" s="37">
        <v>781</v>
      </c>
      <c r="N20" s="37">
        <v>870</v>
      </c>
      <c r="O20" s="37">
        <v>1140</v>
      </c>
      <c r="P20" s="102">
        <f>SUM(D20:O20)</f>
        <v>12940</v>
      </c>
      <c r="Q20" s="32"/>
    </row>
    <row r="21" spans="1:17" ht="20.100000000000001" customHeight="1" x14ac:dyDescent="0.25">
      <c r="A21" s="79">
        <v>17</v>
      </c>
      <c r="B21" s="20" t="s">
        <v>35</v>
      </c>
      <c r="C21" s="131" t="s">
        <v>36</v>
      </c>
      <c r="D21" s="37">
        <v>1640</v>
      </c>
      <c r="E21" s="37">
        <v>300</v>
      </c>
      <c r="F21" s="37">
        <v>1190</v>
      </c>
      <c r="G21" s="37">
        <v>1370</v>
      </c>
      <c r="H21" s="37">
        <v>2342</v>
      </c>
      <c r="I21" s="132">
        <v>1100</v>
      </c>
      <c r="J21" s="37">
        <v>110</v>
      </c>
      <c r="K21" s="37">
        <v>410</v>
      </c>
      <c r="L21" s="37">
        <v>725</v>
      </c>
      <c r="M21" s="37">
        <v>1613</v>
      </c>
      <c r="N21" s="37">
        <v>950</v>
      </c>
      <c r="O21" s="37">
        <v>1070</v>
      </c>
      <c r="P21" s="102">
        <f>SUM(D21:O21)</f>
        <v>12820</v>
      </c>
      <c r="Q21" s="32"/>
    </row>
    <row r="22" spans="1:17" ht="20.100000000000001" customHeight="1" x14ac:dyDescent="0.25">
      <c r="A22" s="79">
        <v>18</v>
      </c>
      <c r="B22" s="20" t="s">
        <v>61</v>
      </c>
      <c r="C22" s="131" t="s">
        <v>62</v>
      </c>
      <c r="D22" s="37">
        <v>1185</v>
      </c>
      <c r="E22" s="37">
        <v>475</v>
      </c>
      <c r="F22" s="37">
        <v>820</v>
      </c>
      <c r="G22" s="37">
        <v>1410</v>
      </c>
      <c r="H22" s="37">
        <v>2157</v>
      </c>
      <c r="I22" s="132">
        <v>553</v>
      </c>
      <c r="J22" s="37">
        <v>190</v>
      </c>
      <c r="K22" s="37">
        <v>630</v>
      </c>
      <c r="L22" s="37">
        <v>280</v>
      </c>
      <c r="M22" s="37">
        <v>1480</v>
      </c>
      <c r="N22" s="37">
        <v>690</v>
      </c>
      <c r="O22" s="37">
        <v>595</v>
      </c>
      <c r="P22" s="102">
        <f>SUM(D22:O22)</f>
        <v>10465</v>
      </c>
      <c r="Q22" s="32"/>
    </row>
    <row r="23" spans="1:17" ht="20.100000000000001" customHeight="1" x14ac:dyDescent="0.25">
      <c r="A23" s="79">
        <v>19</v>
      </c>
      <c r="B23" s="20" t="s">
        <v>11</v>
      </c>
      <c r="C23" s="131" t="s">
        <v>12</v>
      </c>
      <c r="D23" s="37">
        <v>1105</v>
      </c>
      <c r="E23" s="37">
        <v>960</v>
      </c>
      <c r="F23" s="37">
        <v>960</v>
      </c>
      <c r="G23" s="37">
        <v>1880</v>
      </c>
      <c r="H23" s="37">
        <v>1630</v>
      </c>
      <c r="I23" s="132">
        <v>1355</v>
      </c>
      <c r="J23" s="37">
        <v>30</v>
      </c>
      <c r="K23" s="37">
        <v>760</v>
      </c>
      <c r="L23" s="37">
        <v>530</v>
      </c>
      <c r="M23" s="37">
        <v>420</v>
      </c>
      <c r="N23" s="37">
        <v>160</v>
      </c>
      <c r="O23" s="37">
        <v>640</v>
      </c>
      <c r="P23" s="102">
        <f>SUM(D23:O23)</f>
        <v>10430</v>
      </c>
      <c r="Q23" s="32"/>
    </row>
    <row r="24" spans="1:17" ht="20.100000000000001" customHeight="1" x14ac:dyDescent="0.25">
      <c r="A24" s="79">
        <v>20</v>
      </c>
      <c r="B24" s="20" t="s">
        <v>9</v>
      </c>
      <c r="C24" s="131" t="s">
        <v>10</v>
      </c>
      <c r="D24" s="37">
        <v>920</v>
      </c>
      <c r="E24" s="37">
        <v>445</v>
      </c>
      <c r="F24" s="37">
        <v>400</v>
      </c>
      <c r="G24" s="37">
        <v>1150</v>
      </c>
      <c r="H24" s="37">
        <v>1550</v>
      </c>
      <c r="I24" s="132">
        <v>990</v>
      </c>
      <c r="J24" s="37">
        <v>280</v>
      </c>
      <c r="K24" s="37">
        <v>940</v>
      </c>
      <c r="L24" s="37">
        <v>1120</v>
      </c>
      <c r="M24" s="37">
        <v>300</v>
      </c>
      <c r="N24" s="37">
        <v>540</v>
      </c>
      <c r="O24" s="37">
        <v>700</v>
      </c>
      <c r="P24" s="102">
        <f>SUM(D24:O24)</f>
        <v>9335</v>
      </c>
      <c r="Q24" s="32"/>
    </row>
    <row r="25" spans="1:17" ht="20.100000000000001" customHeight="1" x14ac:dyDescent="0.25">
      <c r="A25" s="79">
        <v>21</v>
      </c>
      <c r="B25" s="20" t="s">
        <v>53</v>
      </c>
      <c r="C25" s="131" t="s">
        <v>54</v>
      </c>
      <c r="D25" s="37">
        <v>1295</v>
      </c>
      <c r="E25" s="37">
        <v>620</v>
      </c>
      <c r="F25" s="37">
        <v>540</v>
      </c>
      <c r="G25" s="37">
        <v>1220</v>
      </c>
      <c r="H25" s="37">
        <v>2150</v>
      </c>
      <c r="I25" s="132">
        <v>1235</v>
      </c>
      <c r="J25" s="37">
        <v>110</v>
      </c>
      <c r="K25" s="37">
        <v>270</v>
      </c>
      <c r="L25" s="37">
        <v>830</v>
      </c>
      <c r="M25" s="37">
        <v>460</v>
      </c>
      <c r="N25" s="37">
        <v>220</v>
      </c>
      <c r="O25" s="37">
        <v>370</v>
      </c>
      <c r="P25" s="102">
        <f>SUM(D25:O25)</f>
        <v>9320</v>
      </c>
      <c r="Q25" s="32"/>
    </row>
    <row r="26" spans="1:17" ht="20.100000000000001" customHeight="1" x14ac:dyDescent="0.25">
      <c r="A26" s="79">
        <v>22</v>
      </c>
      <c r="B26" s="20" t="s">
        <v>29</v>
      </c>
      <c r="C26" s="131" t="s">
        <v>30</v>
      </c>
      <c r="D26" s="37">
        <v>1090</v>
      </c>
      <c r="E26" s="37">
        <v>620</v>
      </c>
      <c r="F26" s="37">
        <v>870</v>
      </c>
      <c r="G26" s="37">
        <v>990</v>
      </c>
      <c r="H26" s="37">
        <v>1730</v>
      </c>
      <c r="I26" s="132">
        <v>830</v>
      </c>
      <c r="J26" s="37">
        <v>450</v>
      </c>
      <c r="K26" s="37">
        <v>460</v>
      </c>
      <c r="L26" s="37">
        <v>310</v>
      </c>
      <c r="M26" s="37">
        <v>340</v>
      </c>
      <c r="N26" s="37">
        <v>520</v>
      </c>
      <c r="O26" s="37">
        <v>650</v>
      </c>
      <c r="P26" s="102">
        <f>SUM(D26:O26)</f>
        <v>8860</v>
      </c>
      <c r="Q26" s="32"/>
    </row>
    <row r="27" spans="1:17" ht="20.100000000000001" customHeight="1" x14ac:dyDescent="0.25">
      <c r="A27" s="79">
        <v>23</v>
      </c>
      <c r="B27" s="20" t="s">
        <v>31</v>
      </c>
      <c r="C27" s="131" t="s">
        <v>32</v>
      </c>
      <c r="D27" s="37">
        <v>725</v>
      </c>
      <c r="E27" s="37">
        <v>200</v>
      </c>
      <c r="F27" s="37">
        <v>100</v>
      </c>
      <c r="G27" s="37">
        <v>435</v>
      </c>
      <c r="H27" s="37">
        <v>520</v>
      </c>
      <c r="I27" s="132">
        <v>430</v>
      </c>
      <c r="J27" s="37">
        <v>590</v>
      </c>
      <c r="K27" s="37">
        <v>500</v>
      </c>
      <c r="L27" s="37">
        <v>1468</v>
      </c>
      <c r="M27" s="37">
        <v>1182</v>
      </c>
      <c r="N27" s="37">
        <v>1240</v>
      </c>
      <c r="O27" s="37">
        <v>1365</v>
      </c>
      <c r="P27" s="102">
        <f>SUM(D27:O27)</f>
        <v>8755</v>
      </c>
      <c r="Q27" s="32"/>
    </row>
    <row r="28" spans="1:17" ht="20.100000000000001" customHeight="1" x14ac:dyDescent="0.25">
      <c r="A28" s="79">
        <v>24</v>
      </c>
      <c r="B28" s="20" t="s">
        <v>5</v>
      </c>
      <c r="C28" s="101" t="s">
        <v>6</v>
      </c>
      <c r="D28" s="37">
        <v>1225</v>
      </c>
      <c r="E28" s="37">
        <v>365</v>
      </c>
      <c r="F28" s="37">
        <v>1125</v>
      </c>
      <c r="G28" s="37">
        <v>985</v>
      </c>
      <c r="H28" s="37">
        <v>2065</v>
      </c>
      <c r="I28" s="132">
        <v>280</v>
      </c>
      <c r="J28" s="37">
        <v>120</v>
      </c>
      <c r="K28" s="37">
        <v>260</v>
      </c>
      <c r="L28" s="37">
        <v>509</v>
      </c>
      <c r="M28" s="37">
        <v>531</v>
      </c>
      <c r="N28" s="37">
        <v>170</v>
      </c>
      <c r="O28" s="37">
        <v>690</v>
      </c>
      <c r="P28" s="102">
        <f>SUM(D28:O28)</f>
        <v>8325</v>
      </c>
      <c r="Q28" s="32"/>
    </row>
    <row r="29" spans="1:17" ht="20.100000000000001" customHeight="1" x14ac:dyDescent="0.25">
      <c r="A29" s="79">
        <v>25</v>
      </c>
      <c r="B29" s="20" t="s">
        <v>1</v>
      </c>
      <c r="C29" s="101" t="s">
        <v>2</v>
      </c>
      <c r="D29" s="37">
        <v>950</v>
      </c>
      <c r="E29" s="37">
        <v>645</v>
      </c>
      <c r="F29" s="37">
        <v>700</v>
      </c>
      <c r="G29" s="37">
        <v>1550</v>
      </c>
      <c r="H29" s="37">
        <v>1275</v>
      </c>
      <c r="I29" s="132">
        <v>620</v>
      </c>
      <c r="J29" s="37">
        <v>70</v>
      </c>
      <c r="K29" s="37">
        <v>1060</v>
      </c>
      <c r="L29" s="37">
        <v>245</v>
      </c>
      <c r="M29" s="37">
        <v>130</v>
      </c>
      <c r="N29" s="37">
        <v>150</v>
      </c>
      <c r="O29" s="37">
        <v>530</v>
      </c>
      <c r="P29" s="102">
        <f>SUM(D29:O29)</f>
        <v>7925</v>
      </c>
      <c r="Q29" s="32"/>
    </row>
    <row r="30" spans="1:17" ht="20.100000000000001" customHeight="1" x14ac:dyDescent="0.25">
      <c r="A30" s="79">
        <v>26</v>
      </c>
      <c r="B30" s="20" t="s">
        <v>59</v>
      </c>
      <c r="C30" s="101" t="s">
        <v>60</v>
      </c>
      <c r="D30" s="37">
        <v>750</v>
      </c>
      <c r="E30" s="37">
        <v>395</v>
      </c>
      <c r="F30" s="37">
        <v>475</v>
      </c>
      <c r="G30" s="37">
        <v>925</v>
      </c>
      <c r="H30" s="37">
        <v>840</v>
      </c>
      <c r="I30" s="132">
        <v>450</v>
      </c>
      <c r="J30" s="37">
        <v>120</v>
      </c>
      <c r="K30" s="37">
        <v>520</v>
      </c>
      <c r="L30" s="37">
        <v>190</v>
      </c>
      <c r="M30" s="37">
        <v>20</v>
      </c>
      <c r="N30" s="37">
        <v>260</v>
      </c>
      <c r="O30" s="37">
        <v>580</v>
      </c>
      <c r="P30" s="102">
        <f>SUM(D30:O30)</f>
        <v>5525</v>
      </c>
      <c r="Q30" s="32"/>
    </row>
    <row r="31" spans="1:17" ht="20.100000000000001" customHeight="1" x14ac:dyDescent="0.25">
      <c r="A31" s="79">
        <v>27</v>
      </c>
      <c r="B31" s="20" t="s">
        <v>69</v>
      </c>
      <c r="C31" s="101" t="s">
        <v>70</v>
      </c>
      <c r="D31" s="37">
        <v>170</v>
      </c>
      <c r="E31" s="37">
        <v>100</v>
      </c>
      <c r="F31" s="37">
        <v>40</v>
      </c>
      <c r="G31" s="37">
        <v>60</v>
      </c>
      <c r="H31" s="37">
        <v>330</v>
      </c>
      <c r="I31" s="132">
        <v>1624</v>
      </c>
      <c r="J31" s="37">
        <v>35</v>
      </c>
      <c r="K31" s="37">
        <v>590</v>
      </c>
      <c r="L31" s="37">
        <v>480</v>
      </c>
      <c r="M31" s="37">
        <v>470</v>
      </c>
      <c r="N31" s="37">
        <v>430</v>
      </c>
      <c r="O31" s="37">
        <v>300</v>
      </c>
      <c r="P31" s="102">
        <f>SUM(D31:O31)</f>
        <v>4629</v>
      </c>
      <c r="Q31" s="32"/>
    </row>
    <row r="32" spans="1:17" ht="20.100000000000001" customHeight="1" x14ac:dyDescent="0.25">
      <c r="A32" s="79">
        <v>28</v>
      </c>
      <c r="B32" s="20" t="s">
        <v>37</v>
      </c>
      <c r="C32" s="101" t="s">
        <v>38</v>
      </c>
      <c r="D32" s="37">
        <v>340</v>
      </c>
      <c r="E32" s="37"/>
      <c r="F32" s="37"/>
      <c r="G32" s="37">
        <v>20</v>
      </c>
      <c r="H32" s="37">
        <v>30</v>
      </c>
      <c r="I32" s="132">
        <v>20</v>
      </c>
      <c r="J32" s="37">
        <v>360</v>
      </c>
      <c r="K32" s="37">
        <v>20</v>
      </c>
      <c r="L32" s="37">
        <v>670</v>
      </c>
      <c r="M32" s="37">
        <v>1100</v>
      </c>
      <c r="N32" s="37">
        <v>860</v>
      </c>
      <c r="O32" s="37">
        <v>850</v>
      </c>
      <c r="P32" s="102">
        <f>SUM(D32:O32)</f>
        <v>4270</v>
      </c>
      <c r="Q32" s="32"/>
    </row>
    <row r="33" spans="1:17" ht="20.100000000000001" customHeight="1" x14ac:dyDescent="0.25">
      <c r="A33" s="79">
        <v>29</v>
      </c>
      <c r="B33" s="20" t="s">
        <v>19</v>
      </c>
      <c r="C33" s="101" t="s">
        <v>20</v>
      </c>
      <c r="D33" s="37">
        <v>260</v>
      </c>
      <c r="E33" s="37">
        <v>80</v>
      </c>
      <c r="F33" s="37">
        <v>300</v>
      </c>
      <c r="G33" s="37">
        <v>200</v>
      </c>
      <c r="H33" s="37">
        <v>120</v>
      </c>
      <c r="I33" s="132">
        <v>1420</v>
      </c>
      <c r="J33" s="37">
        <v>1020</v>
      </c>
      <c r="K33" s="37">
        <v>600</v>
      </c>
      <c r="L33" s="37"/>
      <c r="M33" s="37">
        <v>150</v>
      </c>
      <c r="N33" s="37"/>
      <c r="O33" s="37"/>
      <c r="P33" s="102">
        <f>SUM(D33:O33)</f>
        <v>4150</v>
      </c>
      <c r="Q33" s="32"/>
    </row>
    <row r="34" spans="1:17" ht="20.100000000000001" customHeight="1" x14ac:dyDescent="0.25">
      <c r="A34" s="79">
        <v>30</v>
      </c>
      <c r="B34" s="20" t="s">
        <v>63</v>
      </c>
      <c r="C34" s="131" t="s">
        <v>64</v>
      </c>
      <c r="D34" s="37">
        <v>190</v>
      </c>
      <c r="E34" s="37">
        <v>415</v>
      </c>
      <c r="F34" s="133">
        <v>60</v>
      </c>
      <c r="G34" s="37">
        <v>380</v>
      </c>
      <c r="H34" s="134">
        <v>310</v>
      </c>
      <c r="I34" s="132">
        <v>900</v>
      </c>
      <c r="J34" s="37">
        <v>45</v>
      </c>
      <c r="K34" s="37">
        <v>335</v>
      </c>
      <c r="L34" s="37">
        <v>60</v>
      </c>
      <c r="M34" s="37">
        <v>220</v>
      </c>
      <c r="N34" s="37">
        <v>390</v>
      </c>
      <c r="O34" s="37">
        <v>280</v>
      </c>
      <c r="P34" s="102">
        <f>SUM(D34:O34)</f>
        <v>3585</v>
      </c>
      <c r="Q34" s="32"/>
    </row>
    <row r="35" spans="1:17" ht="20.100000000000001" customHeight="1" x14ac:dyDescent="0.25">
      <c r="A35" s="79">
        <v>31</v>
      </c>
      <c r="B35" s="20" t="s">
        <v>39</v>
      </c>
      <c r="C35" s="131" t="s">
        <v>40</v>
      </c>
      <c r="D35" s="37">
        <v>130</v>
      </c>
      <c r="E35" s="37">
        <v>210</v>
      </c>
      <c r="F35" s="37">
        <v>300</v>
      </c>
      <c r="G35" s="37">
        <v>150</v>
      </c>
      <c r="H35" s="37">
        <v>400</v>
      </c>
      <c r="I35" s="132">
        <v>200</v>
      </c>
      <c r="J35" s="37">
        <v>100</v>
      </c>
      <c r="K35" s="37">
        <v>460</v>
      </c>
      <c r="L35" s="37">
        <v>100</v>
      </c>
      <c r="M35" s="37">
        <v>600</v>
      </c>
      <c r="N35" s="37">
        <v>230</v>
      </c>
      <c r="O35" s="37">
        <v>600</v>
      </c>
      <c r="P35" s="102">
        <f>SUM(D35:O35)</f>
        <v>3480</v>
      </c>
      <c r="Q35" s="32"/>
    </row>
    <row r="36" spans="1:17" ht="20.100000000000001" customHeight="1" x14ac:dyDescent="0.25">
      <c r="A36" s="79">
        <v>32</v>
      </c>
      <c r="B36" s="20" t="s">
        <v>3</v>
      </c>
      <c r="C36" s="131" t="s">
        <v>4</v>
      </c>
      <c r="D36" s="37">
        <v>210</v>
      </c>
      <c r="E36" s="37">
        <v>160</v>
      </c>
      <c r="F36" s="37">
        <v>145</v>
      </c>
      <c r="G36" s="37">
        <v>285</v>
      </c>
      <c r="H36" s="37">
        <v>225</v>
      </c>
      <c r="I36" s="132">
        <v>495</v>
      </c>
      <c r="J36" s="37">
        <v>20</v>
      </c>
      <c r="K36" s="37">
        <v>270</v>
      </c>
      <c r="L36" s="37">
        <v>100</v>
      </c>
      <c r="M36" s="37">
        <v>20</v>
      </c>
      <c r="N36" s="37">
        <v>10</v>
      </c>
      <c r="O36" s="37">
        <v>90</v>
      </c>
      <c r="P36" s="102">
        <f>SUM(D36:O36)</f>
        <v>2030</v>
      </c>
      <c r="Q36" s="32"/>
    </row>
    <row r="37" spans="1:17" ht="20.100000000000001" customHeight="1" x14ac:dyDescent="0.25">
      <c r="A37" s="79">
        <v>33</v>
      </c>
      <c r="B37" s="20" t="s">
        <v>65</v>
      </c>
      <c r="C37" s="131" t="s">
        <v>66</v>
      </c>
      <c r="D37" s="37">
        <v>190</v>
      </c>
      <c r="E37" s="37">
        <v>405</v>
      </c>
      <c r="F37" s="133">
        <v>60</v>
      </c>
      <c r="G37" s="37">
        <v>650</v>
      </c>
      <c r="H37" s="134">
        <v>420</v>
      </c>
      <c r="I37" s="132">
        <v>10</v>
      </c>
      <c r="J37" s="37"/>
      <c r="K37" s="37">
        <v>5</v>
      </c>
      <c r="L37" s="37">
        <v>10</v>
      </c>
      <c r="M37" s="37"/>
      <c r="N37" s="37"/>
      <c r="O37" s="37">
        <v>40</v>
      </c>
      <c r="P37" s="102">
        <f>SUM(D37:O37)</f>
        <v>1790</v>
      </c>
      <c r="Q37" s="32"/>
    </row>
    <row r="38" spans="1:17" ht="20.100000000000001" customHeight="1" x14ac:dyDescent="0.25">
      <c r="A38" s="79">
        <v>34</v>
      </c>
      <c r="B38" s="20" t="s">
        <v>67</v>
      </c>
      <c r="C38" s="131" t="s">
        <v>68</v>
      </c>
      <c r="D38" s="37">
        <v>30</v>
      </c>
      <c r="E38" s="37">
        <v>40</v>
      </c>
      <c r="F38" s="37">
        <v>20</v>
      </c>
      <c r="G38" s="37">
        <v>20</v>
      </c>
      <c r="H38" s="37">
        <v>320</v>
      </c>
      <c r="I38" s="132">
        <v>580</v>
      </c>
      <c r="J38" s="37"/>
      <c r="K38" s="37">
        <v>190</v>
      </c>
      <c r="L38" s="37">
        <v>180</v>
      </c>
      <c r="M38" s="37">
        <v>40</v>
      </c>
      <c r="N38" s="37">
        <v>30</v>
      </c>
      <c r="O38" s="37">
        <v>220</v>
      </c>
      <c r="P38" s="102">
        <f>SUM(D38:O38)</f>
        <v>1670</v>
      </c>
      <c r="Q38" s="32"/>
    </row>
    <row r="39" spans="1:17" ht="20.100000000000001" customHeight="1" x14ac:dyDescent="0.25">
      <c r="A39" s="79">
        <v>35</v>
      </c>
      <c r="B39" s="20" t="s">
        <v>73</v>
      </c>
      <c r="C39" s="131" t="s">
        <v>74</v>
      </c>
      <c r="D39" s="37">
        <v>20</v>
      </c>
      <c r="E39" s="37">
        <v>20</v>
      </c>
      <c r="F39" s="37"/>
      <c r="G39" s="37">
        <v>20</v>
      </c>
      <c r="H39" s="37">
        <v>230</v>
      </c>
      <c r="I39" s="132"/>
      <c r="J39" s="37">
        <v>50</v>
      </c>
      <c r="K39" s="37">
        <v>80</v>
      </c>
      <c r="L39" s="37"/>
      <c r="M39" s="37"/>
      <c r="N39" s="37">
        <v>60</v>
      </c>
      <c r="O39" s="37">
        <v>20</v>
      </c>
      <c r="P39" s="102">
        <f>SUM(D39:O39)</f>
        <v>500</v>
      </c>
      <c r="Q39" s="32"/>
    </row>
    <row r="40" spans="1:17" ht="20.100000000000001" customHeight="1" x14ac:dyDescent="0.25">
      <c r="A40" s="79">
        <v>36</v>
      </c>
      <c r="B40" s="20" t="s">
        <v>71</v>
      </c>
      <c r="C40" s="101" t="s">
        <v>72</v>
      </c>
      <c r="D40" s="37">
        <v>40</v>
      </c>
      <c r="E40" s="37">
        <v>40</v>
      </c>
      <c r="F40" s="37"/>
      <c r="G40" s="37"/>
      <c r="H40" s="37">
        <v>80</v>
      </c>
      <c r="I40" s="132"/>
      <c r="J40" s="37">
        <v>5</v>
      </c>
      <c r="K40" s="37">
        <v>40</v>
      </c>
      <c r="L40" s="37"/>
      <c r="M40" s="37">
        <v>20</v>
      </c>
      <c r="N40" s="37"/>
      <c r="O40" s="37">
        <v>20</v>
      </c>
      <c r="P40" s="102">
        <f>SUM(D40:O40)</f>
        <v>245</v>
      </c>
      <c r="Q40" s="32"/>
    </row>
    <row r="41" spans="1:17" ht="20.100000000000001" customHeight="1" x14ac:dyDescent="0.25">
      <c r="A41" s="79">
        <v>37</v>
      </c>
      <c r="B41" s="20" t="s">
        <v>75</v>
      </c>
      <c r="C41" s="101" t="s">
        <v>76</v>
      </c>
      <c r="D41" s="37">
        <v>20</v>
      </c>
      <c r="E41" s="37"/>
      <c r="F41" s="37"/>
      <c r="G41" s="37"/>
      <c r="H41" s="37">
        <v>10</v>
      </c>
      <c r="I41" s="132"/>
      <c r="J41" s="37"/>
      <c r="K41" s="37"/>
      <c r="L41" s="37"/>
      <c r="M41" s="37"/>
      <c r="N41" s="37"/>
      <c r="O41" s="37">
        <v>100</v>
      </c>
      <c r="P41" s="102">
        <f>SUM(D41:O41)</f>
        <v>130</v>
      </c>
      <c r="Q41" s="32"/>
    </row>
    <row r="42" spans="1:17" ht="20.100000000000001" customHeight="1" x14ac:dyDescent="0.25">
      <c r="A42" s="79">
        <v>38</v>
      </c>
      <c r="B42" s="20" t="s">
        <v>41</v>
      </c>
      <c r="C42" s="101" t="s">
        <v>42</v>
      </c>
      <c r="D42" s="37"/>
      <c r="E42" s="37"/>
      <c r="F42" s="37"/>
      <c r="G42" s="37">
        <v>20</v>
      </c>
      <c r="H42" s="37"/>
      <c r="I42" s="132"/>
      <c r="J42" s="37"/>
      <c r="K42" s="37"/>
      <c r="L42" s="37"/>
      <c r="M42" s="37"/>
      <c r="N42" s="37"/>
      <c r="O42" s="37"/>
      <c r="P42" s="102">
        <f>SUM(D42:O42)</f>
        <v>20</v>
      </c>
      <c r="Q42" s="32"/>
    </row>
    <row r="43" spans="1:17" s="93" customFormat="1" ht="20.100000000000001" customHeight="1" x14ac:dyDescent="0.25">
      <c r="A43" s="219" t="s">
        <v>289</v>
      </c>
      <c r="B43" s="219"/>
      <c r="C43" s="219"/>
      <c r="D43" s="135">
        <f>SUM(D5:D42)</f>
        <v>52482</v>
      </c>
      <c r="E43" s="135">
        <f>SUM(E5:E42)</f>
        <v>30760</v>
      </c>
      <c r="F43" s="135">
        <f>SUM(F5:F42)</f>
        <v>38810</v>
      </c>
      <c r="G43" s="135">
        <f>SUM(G5:G42)</f>
        <v>74725</v>
      </c>
      <c r="H43" s="135">
        <f>SUM(H5:H42)</f>
        <v>104008</v>
      </c>
      <c r="I43" s="135">
        <f>SUM(I5:I42)</f>
        <v>58202</v>
      </c>
      <c r="J43" s="135">
        <f>SUM(J5:J42)</f>
        <v>16895</v>
      </c>
      <c r="K43" s="135">
        <f>SUM(K5:K42)</f>
        <v>48465</v>
      </c>
      <c r="L43" s="135">
        <f>SUM(L5:L42)</f>
        <v>49747</v>
      </c>
      <c r="M43" s="135">
        <f>SUM(M5:M42)</f>
        <v>24137</v>
      </c>
      <c r="N43" s="135">
        <f>SUM(N5:N42)</f>
        <v>27030</v>
      </c>
      <c r="O43" s="135">
        <f>SUM(O5:O42)</f>
        <v>41310</v>
      </c>
      <c r="P43" s="135">
        <f>SUM(P5:P42)</f>
        <v>566571</v>
      </c>
    </row>
    <row r="44" spans="1:17" s="35" customFormat="1" ht="20.100000000000001" customHeight="1" x14ac:dyDescent="0.25">
      <c r="A44" s="220" t="s">
        <v>290</v>
      </c>
      <c r="B44" s="220"/>
      <c r="C44" s="220"/>
      <c r="D44" s="136">
        <f>MAX(D5:D42)</f>
        <v>4560</v>
      </c>
      <c r="E44" s="136">
        <f>MAX(E5:E42)</f>
        <v>3240</v>
      </c>
      <c r="F44" s="136">
        <f>MAX(F5:F42)</f>
        <v>3590</v>
      </c>
      <c r="G44" s="136">
        <f>MAX(G5:G42)</f>
        <v>9010</v>
      </c>
      <c r="H44" s="136">
        <f>MAX(H5:H42)</f>
        <v>9275</v>
      </c>
      <c r="I44" s="136">
        <f>MAX(I5:I42)</f>
        <v>6260</v>
      </c>
      <c r="J44" s="136">
        <f>MAX(J5:J42)</f>
        <v>2590</v>
      </c>
      <c r="K44" s="136">
        <f>MAX(K5:K42)</f>
        <v>6400</v>
      </c>
      <c r="L44" s="136">
        <f>MAX(L5:L42)</f>
        <v>5820</v>
      </c>
      <c r="M44" s="136">
        <f>MAX(M5:M42)</f>
        <v>2200</v>
      </c>
      <c r="N44" s="136">
        <f>MAX(N5:N42)</f>
        <v>3305</v>
      </c>
      <c r="O44" s="136">
        <f>MAX(O5:O42)</f>
        <v>4680</v>
      </c>
      <c r="P44" s="136">
        <f>MAX(P5:P42)</f>
        <v>57445</v>
      </c>
    </row>
    <row r="45" spans="1:17" s="35" customFormat="1" ht="20.100000000000001" customHeight="1" x14ac:dyDescent="0.25">
      <c r="A45" s="214" t="s">
        <v>291</v>
      </c>
      <c r="B45" s="214"/>
      <c r="C45" s="214"/>
      <c r="D45" s="137">
        <f>MIN(D5:D42)</f>
        <v>20</v>
      </c>
      <c r="E45" s="137">
        <f>MIN(E5:E42)</f>
        <v>20</v>
      </c>
      <c r="F45" s="137">
        <f>MIN(F5:F42)</f>
        <v>20</v>
      </c>
      <c r="G45" s="137">
        <f>MIN(G5:G42)</f>
        <v>20</v>
      </c>
      <c r="H45" s="137">
        <f>MIN(H5:H42)</f>
        <v>10</v>
      </c>
      <c r="I45" s="137">
        <f>MIN(I5:I42)</f>
        <v>10</v>
      </c>
      <c r="J45" s="137">
        <f>MIN(J5:J42)</f>
        <v>5</v>
      </c>
      <c r="K45" s="137">
        <f>MIN(K5:K42)</f>
        <v>5</v>
      </c>
      <c r="L45" s="137">
        <f>MIN(L5:L42)</f>
        <v>10</v>
      </c>
      <c r="M45" s="137">
        <f>MIN(M5:M42)</f>
        <v>20</v>
      </c>
      <c r="N45" s="137">
        <f>MIN(N5:N42)</f>
        <v>10</v>
      </c>
      <c r="O45" s="137">
        <f>MIN(O5:O42)</f>
        <v>20</v>
      </c>
      <c r="P45" s="137">
        <f>MIN(P5:P42)</f>
        <v>20</v>
      </c>
    </row>
    <row r="46" spans="1:17" s="35" customFormat="1" ht="20.100000000000001" customHeight="1" x14ac:dyDescent="0.25">
      <c r="A46" s="215" t="s">
        <v>292</v>
      </c>
      <c r="B46" s="215"/>
      <c r="C46" s="215"/>
      <c r="D46" s="138">
        <f>AVERAGE(D5:D42)</f>
        <v>1418.4324324324325</v>
      </c>
      <c r="E46" s="138">
        <f>AVERAGE(E5:E42)</f>
        <v>878.85714285714289</v>
      </c>
      <c r="F46" s="138">
        <f>AVERAGE(F5:F42)</f>
        <v>1176.060606060606</v>
      </c>
      <c r="G46" s="138">
        <f>AVERAGE(G5:G42)</f>
        <v>2075.6944444444443</v>
      </c>
      <c r="H46" s="138">
        <f>AVERAGE(H5:H42)</f>
        <v>2811.0270270270271</v>
      </c>
      <c r="I46" s="138">
        <f>AVERAGE(I5:I42)</f>
        <v>1711.8235294117646</v>
      </c>
      <c r="J46" s="138">
        <f>AVERAGE(J5:J42)</f>
        <v>496.91176470588238</v>
      </c>
      <c r="K46" s="138">
        <f>AVERAGE(K5:K42)</f>
        <v>1346.25</v>
      </c>
      <c r="L46" s="138">
        <f>AVERAGE(L5:L42)</f>
        <v>1507.4848484848485</v>
      </c>
      <c r="M46" s="138">
        <f>AVERAGE(M5:M42)</f>
        <v>709.91176470588232</v>
      </c>
      <c r="N46" s="138">
        <f>AVERAGE(N5:N42)</f>
        <v>819.09090909090912</v>
      </c>
      <c r="O46" s="138">
        <f>AVERAGE(O5:O42)</f>
        <v>1147.5</v>
      </c>
      <c r="P46" s="138">
        <f>AVERAGE(P5:P42)</f>
        <v>14909.763157894737</v>
      </c>
    </row>
    <row r="47" spans="1:17" s="35" customFormat="1" ht="20.100000000000001" customHeight="1" x14ac:dyDescent="0.25">
      <c r="A47" s="216" t="s">
        <v>293</v>
      </c>
      <c r="B47" s="216"/>
      <c r="C47" s="216"/>
      <c r="D47" s="139">
        <f>COUNT(D5:D42)</f>
        <v>37</v>
      </c>
      <c r="E47" s="139">
        <f>COUNT(E5:E42)</f>
        <v>35</v>
      </c>
      <c r="F47" s="139">
        <f>COUNT(F5:F42)</f>
        <v>33</v>
      </c>
      <c r="G47" s="139">
        <f>COUNT(G5:G42)</f>
        <v>36</v>
      </c>
      <c r="H47" s="139">
        <f>COUNT(H5:H42)</f>
        <v>37</v>
      </c>
      <c r="I47" s="139">
        <f>COUNT(I5:I42)</f>
        <v>34</v>
      </c>
      <c r="J47" s="139">
        <f>COUNT(J5:J42)</f>
        <v>34</v>
      </c>
      <c r="K47" s="139">
        <f>COUNT(K5:K42)</f>
        <v>36</v>
      </c>
      <c r="L47" s="139">
        <f>COUNT(L5:L42)</f>
        <v>33</v>
      </c>
      <c r="M47" s="139">
        <f>COUNT(M5:M42)</f>
        <v>34</v>
      </c>
      <c r="N47" s="139">
        <f>COUNT(N5:N42)</f>
        <v>33</v>
      </c>
      <c r="O47" s="139">
        <f>COUNT(O5:O42)</f>
        <v>36</v>
      </c>
      <c r="P47" s="139">
        <f>COUNT(P5:P42)</f>
        <v>38</v>
      </c>
    </row>
  </sheetData>
  <sortState ref="A5:P43">
    <sortCondition descending="1" ref="P5:P43"/>
  </sortState>
  <mergeCells count="11">
    <mergeCell ref="A45:C45"/>
    <mergeCell ref="A46:C46"/>
    <mergeCell ref="A47:C47"/>
    <mergeCell ref="A1:P1"/>
    <mergeCell ref="N2:P2"/>
    <mergeCell ref="A3:A4"/>
    <mergeCell ref="B3:B4"/>
    <mergeCell ref="C3:C4"/>
    <mergeCell ref="P3:P4"/>
    <mergeCell ref="A43:C43"/>
    <mergeCell ref="A44:C44"/>
  </mergeCells>
  <pageMargins left="0" right="0" top="0" bottom="0" header="0.3" footer="0.3"/>
  <pageSetup paperSize="9" orientation="landscape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00000"/>
  </sheetPr>
  <dimension ref="A1:U69"/>
  <sheetViews>
    <sheetView workbookViewId="0">
      <selection activeCell="D9" sqref="D9"/>
    </sheetView>
  </sheetViews>
  <sheetFormatPr defaultColWidth="9.140625" defaultRowHeight="17.25" x14ac:dyDescent="0.45"/>
  <cols>
    <col min="1" max="1" width="5.28515625" style="19" bestFit="1" customWidth="1"/>
    <col min="2" max="2" width="8.5703125" style="19" customWidth="1"/>
    <col min="3" max="3" width="32" style="19" bestFit="1" customWidth="1"/>
    <col min="4" max="4" width="7" style="30" bestFit="1" customWidth="1"/>
    <col min="5" max="5" width="6.85546875" style="30" bestFit="1" customWidth="1"/>
    <col min="6" max="6" width="7.140625" style="30" bestFit="1" customWidth="1"/>
    <col min="7" max="7" width="6.7109375" style="30" bestFit="1" customWidth="1"/>
    <col min="8" max="8" width="7.42578125" style="30" bestFit="1" customWidth="1"/>
    <col min="9" max="9" width="7" style="30" bestFit="1" customWidth="1"/>
    <col min="10" max="10" width="6.42578125" style="30" bestFit="1" customWidth="1"/>
    <col min="11" max="11" width="7.140625" style="30" bestFit="1" customWidth="1"/>
    <col min="12" max="12" width="7" style="30" bestFit="1" customWidth="1"/>
    <col min="13" max="13" width="6.85546875" style="30" bestFit="1" customWidth="1"/>
    <col min="14" max="14" width="7.28515625" style="30" bestFit="1" customWidth="1"/>
    <col min="15" max="15" width="7" style="30" bestFit="1" customWidth="1"/>
    <col min="16" max="16" width="12.7109375" style="30" customWidth="1"/>
    <col min="17" max="16384" width="9.140625" style="19"/>
  </cols>
  <sheetData>
    <row r="1" spans="1:21" s="63" customFormat="1" ht="25.5" customHeight="1" x14ac:dyDescent="0.25">
      <c r="A1" s="191" t="s">
        <v>302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</row>
    <row r="2" spans="1:21" s="4" customFormat="1" ht="27.75" customHeight="1" x14ac:dyDescent="0.25">
      <c r="A2" s="53"/>
      <c r="B2" s="54"/>
      <c r="C2" s="117"/>
      <c r="D2" s="118"/>
      <c r="E2" s="118"/>
      <c r="F2" s="118"/>
      <c r="G2" s="118"/>
      <c r="H2" s="118"/>
      <c r="I2" s="118"/>
      <c r="J2" s="118"/>
      <c r="K2" s="118"/>
      <c r="L2" s="55"/>
      <c r="M2" s="55"/>
      <c r="N2" s="192" t="s">
        <v>294</v>
      </c>
      <c r="O2" s="192"/>
      <c r="P2" s="192"/>
      <c r="Q2" s="57"/>
      <c r="R2" s="57"/>
      <c r="S2" s="57"/>
      <c r="T2" s="57"/>
      <c r="U2" s="5"/>
    </row>
    <row r="3" spans="1:21" s="66" customFormat="1" ht="25.5" customHeight="1" x14ac:dyDescent="0.25">
      <c r="A3" s="207" t="s">
        <v>211</v>
      </c>
      <c r="B3" s="180" t="s">
        <v>212</v>
      </c>
      <c r="C3" s="207" t="s">
        <v>186</v>
      </c>
      <c r="D3" s="107">
        <v>44197</v>
      </c>
      <c r="E3" s="107">
        <v>44228</v>
      </c>
      <c r="F3" s="107">
        <v>44256</v>
      </c>
      <c r="G3" s="107">
        <v>44287</v>
      </c>
      <c r="H3" s="107">
        <v>44317</v>
      </c>
      <c r="I3" s="107">
        <v>44348</v>
      </c>
      <c r="J3" s="107">
        <v>44378</v>
      </c>
      <c r="K3" s="107">
        <v>44409</v>
      </c>
      <c r="L3" s="107">
        <v>44440</v>
      </c>
      <c r="M3" s="107">
        <v>44470</v>
      </c>
      <c r="N3" s="107">
        <v>44501</v>
      </c>
      <c r="O3" s="107">
        <v>44531</v>
      </c>
      <c r="P3" s="208" t="s">
        <v>301</v>
      </c>
    </row>
    <row r="4" spans="1:21" s="66" customFormat="1" ht="25.5" customHeight="1" x14ac:dyDescent="0.25">
      <c r="A4" s="207"/>
      <c r="B4" s="181"/>
      <c r="C4" s="207"/>
      <c r="D4" s="67" t="s">
        <v>213</v>
      </c>
      <c r="E4" s="67" t="s">
        <v>213</v>
      </c>
      <c r="F4" s="67" t="s">
        <v>213</v>
      </c>
      <c r="G4" s="67" t="s">
        <v>213</v>
      </c>
      <c r="H4" s="67" t="s">
        <v>213</v>
      </c>
      <c r="I4" s="67" t="s">
        <v>213</v>
      </c>
      <c r="J4" s="67" t="s">
        <v>213</v>
      </c>
      <c r="K4" s="67" t="s">
        <v>213</v>
      </c>
      <c r="L4" s="67" t="s">
        <v>213</v>
      </c>
      <c r="M4" s="67" t="s">
        <v>213</v>
      </c>
      <c r="N4" s="67" t="s">
        <v>213</v>
      </c>
      <c r="O4" s="67" t="s">
        <v>213</v>
      </c>
      <c r="P4" s="209"/>
    </row>
    <row r="5" spans="1:21" s="11" customFormat="1" ht="28.5" customHeight="1" x14ac:dyDescent="0.25">
      <c r="A5" s="39">
        <v>1</v>
      </c>
      <c r="B5" s="3" t="s">
        <v>78</v>
      </c>
      <c r="C5" s="40" t="s">
        <v>79</v>
      </c>
      <c r="D5" s="22">
        <f>19350-3920</f>
        <v>15430</v>
      </c>
      <c r="E5" s="22">
        <f>7491-3271</f>
        <v>4220</v>
      </c>
      <c r="F5" s="48">
        <v>9970</v>
      </c>
      <c r="G5" s="22">
        <v>18360</v>
      </c>
      <c r="H5" s="22">
        <v>24400</v>
      </c>
      <c r="I5" s="22">
        <f>25227-2607</f>
        <v>22620</v>
      </c>
      <c r="J5" s="22">
        <v>7460</v>
      </c>
      <c r="K5" s="22">
        <v>12710</v>
      </c>
      <c r="L5" s="22">
        <v>8900</v>
      </c>
      <c r="M5" s="22">
        <v>3830</v>
      </c>
      <c r="N5" s="22">
        <v>7350</v>
      </c>
      <c r="O5" s="22">
        <v>10100</v>
      </c>
      <c r="P5" s="41">
        <f>I5+H5+G5+F5+E5+D5+J5+K5+L5+M5+N5+O5</f>
        <v>145350</v>
      </c>
    </row>
    <row r="6" spans="1:21" s="11" customFormat="1" ht="28.5" customHeight="1" x14ac:dyDescent="0.25">
      <c r="A6" s="42">
        <v>2</v>
      </c>
      <c r="B6" s="3" t="s">
        <v>80</v>
      </c>
      <c r="C6" s="40" t="s">
        <v>81</v>
      </c>
      <c r="D6" s="22">
        <f>10073-3878</f>
        <v>6195</v>
      </c>
      <c r="E6" s="22">
        <f>3027-1112</f>
        <v>1915</v>
      </c>
      <c r="F6" s="22">
        <f>6155</f>
        <v>6155</v>
      </c>
      <c r="G6" s="22">
        <f>14078-1368</f>
        <v>12710</v>
      </c>
      <c r="H6" s="22">
        <v>18366</v>
      </c>
      <c r="I6" s="22">
        <f>9849-945</f>
        <v>8904</v>
      </c>
      <c r="J6" s="22">
        <v>2360</v>
      </c>
      <c r="K6" s="22">
        <v>3545</v>
      </c>
      <c r="L6" s="22">
        <f>9995-1794</f>
        <v>8201</v>
      </c>
      <c r="M6" s="22">
        <f>8263-1619</f>
        <v>6644</v>
      </c>
      <c r="N6" s="22">
        <v>5440</v>
      </c>
      <c r="O6" s="22">
        <v>5805</v>
      </c>
      <c r="P6" s="41">
        <f>I6+H6+G6+F6+E6+D6+J6+K6+L6+M6+N6+O6</f>
        <v>86240</v>
      </c>
    </row>
    <row r="7" spans="1:21" s="11" customFormat="1" ht="28.5" customHeight="1" x14ac:dyDescent="0.25">
      <c r="A7" s="39">
        <v>3</v>
      </c>
      <c r="B7" s="3" t="s">
        <v>96</v>
      </c>
      <c r="C7" s="40" t="s">
        <v>97</v>
      </c>
      <c r="D7" s="22">
        <v>3650</v>
      </c>
      <c r="E7" s="22">
        <v>2595</v>
      </c>
      <c r="F7" s="48">
        <v>2710</v>
      </c>
      <c r="G7" s="22">
        <v>6625</v>
      </c>
      <c r="H7" s="22">
        <v>6070</v>
      </c>
      <c r="I7" s="22">
        <v>2750</v>
      </c>
      <c r="J7" s="22">
        <v>820</v>
      </c>
      <c r="K7" s="22">
        <v>4500</v>
      </c>
      <c r="L7" s="22">
        <v>4000</v>
      </c>
      <c r="M7" s="22">
        <v>1550</v>
      </c>
      <c r="N7" s="22">
        <v>3050</v>
      </c>
      <c r="O7" s="22">
        <v>4070</v>
      </c>
      <c r="P7" s="41">
        <f>I7+H7+G7+F7+E7+D7+J7+K7+L7+M7+N7+O7</f>
        <v>42390</v>
      </c>
    </row>
    <row r="8" spans="1:21" s="11" customFormat="1" ht="28.5" customHeight="1" x14ac:dyDescent="0.25">
      <c r="A8" s="42">
        <v>4</v>
      </c>
      <c r="B8" s="3" t="s">
        <v>94</v>
      </c>
      <c r="C8" s="43" t="s">
        <v>95</v>
      </c>
      <c r="D8" s="22">
        <v>3200</v>
      </c>
      <c r="E8" s="22">
        <v>3600</v>
      </c>
      <c r="F8" s="48">
        <v>1300</v>
      </c>
      <c r="G8" s="22">
        <v>6400</v>
      </c>
      <c r="H8" s="22">
        <v>7675</v>
      </c>
      <c r="I8" s="22">
        <v>3040</v>
      </c>
      <c r="J8" s="22"/>
      <c r="K8" s="22">
        <v>3200</v>
      </c>
      <c r="L8" s="22">
        <v>2000</v>
      </c>
      <c r="M8" s="22">
        <v>1100</v>
      </c>
      <c r="N8" s="22"/>
      <c r="O8" s="79">
        <v>5000</v>
      </c>
      <c r="P8" s="41">
        <f>I8+H8+G8+F8+E8+D8+J8+K8+L8+M8+N8+O8</f>
        <v>36515</v>
      </c>
    </row>
    <row r="9" spans="1:21" s="11" customFormat="1" ht="28.5" customHeight="1" x14ac:dyDescent="0.25">
      <c r="A9" s="39">
        <v>5</v>
      </c>
      <c r="B9" s="3" t="s">
        <v>82</v>
      </c>
      <c r="C9" s="43" t="s">
        <v>217</v>
      </c>
      <c r="D9" s="22">
        <v>1955</v>
      </c>
      <c r="E9" s="22">
        <v>2985</v>
      </c>
      <c r="F9" s="48">
        <v>2150</v>
      </c>
      <c r="G9" s="22">
        <v>6360</v>
      </c>
      <c r="H9" s="22">
        <v>2870</v>
      </c>
      <c r="I9" s="22">
        <v>2263</v>
      </c>
      <c r="J9" s="22">
        <v>535</v>
      </c>
      <c r="K9" s="22">
        <v>2300</v>
      </c>
      <c r="L9" s="22">
        <v>2360</v>
      </c>
      <c r="M9" s="22">
        <v>700</v>
      </c>
      <c r="N9" s="22">
        <v>1820</v>
      </c>
      <c r="O9" s="22">
        <v>1040</v>
      </c>
      <c r="P9" s="41">
        <f>I9+H9+G9+F9+E9+D9+J9+K9+L9+M9+N9+O9</f>
        <v>27338</v>
      </c>
    </row>
    <row r="10" spans="1:21" s="11" customFormat="1" ht="28.5" customHeight="1" x14ac:dyDescent="0.25">
      <c r="A10" s="42">
        <v>6</v>
      </c>
      <c r="B10" s="3" t="s">
        <v>84</v>
      </c>
      <c r="C10" s="40" t="s">
        <v>85</v>
      </c>
      <c r="D10" s="22">
        <v>3200</v>
      </c>
      <c r="E10" s="22">
        <v>1430</v>
      </c>
      <c r="F10" s="48">
        <v>1130</v>
      </c>
      <c r="G10" s="22">
        <v>2365</v>
      </c>
      <c r="H10" s="22">
        <v>4655</v>
      </c>
      <c r="I10" s="22">
        <v>3530</v>
      </c>
      <c r="J10" s="22"/>
      <c r="K10" s="22">
        <v>1700</v>
      </c>
      <c r="L10" s="22">
        <v>4160</v>
      </c>
      <c r="M10" s="22">
        <v>1350</v>
      </c>
      <c r="N10" s="22">
        <v>1100</v>
      </c>
      <c r="O10" s="22">
        <v>1130</v>
      </c>
      <c r="P10" s="41">
        <f>I10+H10+G10+F10+E10+D10+J10+K10+L10+M10+N10+O10</f>
        <v>25750</v>
      </c>
    </row>
    <row r="11" spans="1:21" s="11" customFormat="1" ht="28.5" customHeight="1" x14ac:dyDescent="0.25">
      <c r="A11" s="39">
        <v>7</v>
      </c>
      <c r="B11" s="3" t="s">
        <v>88</v>
      </c>
      <c r="C11" s="43" t="s">
        <v>89</v>
      </c>
      <c r="D11" s="22">
        <v>2000</v>
      </c>
      <c r="E11" s="22">
        <v>1500</v>
      </c>
      <c r="F11" s="48">
        <v>1400</v>
      </c>
      <c r="G11" s="22">
        <v>1860</v>
      </c>
      <c r="H11" s="22">
        <v>4145</v>
      </c>
      <c r="I11" s="22">
        <v>345</v>
      </c>
      <c r="J11" s="22"/>
      <c r="K11" s="22">
        <v>2000</v>
      </c>
      <c r="L11" s="22">
        <v>2000</v>
      </c>
      <c r="M11" s="22"/>
      <c r="N11" s="22"/>
      <c r="O11" s="22">
        <v>3000</v>
      </c>
      <c r="P11" s="41">
        <f>I11+H11+G11+F11+E11+D11+J11+K11+L11+M11+N11+O11</f>
        <v>18250</v>
      </c>
    </row>
    <row r="12" spans="1:21" s="11" customFormat="1" ht="28.5" customHeight="1" x14ac:dyDescent="0.25">
      <c r="A12" s="42">
        <v>8</v>
      </c>
      <c r="B12" s="3" t="s">
        <v>104</v>
      </c>
      <c r="C12" s="43" t="s">
        <v>105</v>
      </c>
      <c r="D12" s="22">
        <v>1810</v>
      </c>
      <c r="E12" s="22">
        <v>890</v>
      </c>
      <c r="F12" s="79">
        <v>650</v>
      </c>
      <c r="G12" s="22">
        <v>1360</v>
      </c>
      <c r="H12" s="22">
        <v>1700</v>
      </c>
      <c r="I12" s="22">
        <v>2099</v>
      </c>
      <c r="J12" s="22">
        <v>800</v>
      </c>
      <c r="K12" s="22">
        <v>800</v>
      </c>
      <c r="L12" s="22">
        <v>2700</v>
      </c>
      <c r="M12" s="22">
        <v>2250</v>
      </c>
      <c r="N12" s="22">
        <v>350</v>
      </c>
      <c r="O12" s="22">
        <v>1450</v>
      </c>
      <c r="P12" s="41">
        <f>I12+H12+G12+F12+E12+D12+J12+K12+L12+M12+N12+O12</f>
        <v>16859</v>
      </c>
    </row>
    <row r="13" spans="1:21" s="11" customFormat="1" ht="28.5" customHeight="1" x14ac:dyDescent="0.25">
      <c r="A13" s="39">
        <v>9</v>
      </c>
      <c r="B13" s="3" t="s">
        <v>136</v>
      </c>
      <c r="C13" s="45" t="s">
        <v>137</v>
      </c>
      <c r="D13" s="22">
        <v>1000</v>
      </c>
      <c r="E13" s="22">
        <v>1120</v>
      </c>
      <c r="F13" s="48">
        <v>505</v>
      </c>
      <c r="G13" s="22">
        <v>1165</v>
      </c>
      <c r="H13" s="22">
        <v>2692</v>
      </c>
      <c r="I13" s="22">
        <v>2025</v>
      </c>
      <c r="J13" s="22"/>
      <c r="K13" s="22">
        <v>1130</v>
      </c>
      <c r="L13" s="22">
        <v>2190</v>
      </c>
      <c r="M13" s="22"/>
      <c r="N13" s="22"/>
      <c r="O13" s="22">
        <v>1520</v>
      </c>
      <c r="P13" s="41">
        <f>I13+H13+G13+F13+E13+D13+J13+K13+L13+M13+N13+O13</f>
        <v>13347</v>
      </c>
    </row>
    <row r="14" spans="1:21" s="11" customFormat="1" ht="28.5" customHeight="1" x14ac:dyDescent="0.25">
      <c r="A14" s="42">
        <v>10</v>
      </c>
      <c r="B14" s="3" t="s">
        <v>100</v>
      </c>
      <c r="C14" s="44" t="s">
        <v>101</v>
      </c>
      <c r="D14" s="22">
        <v>525</v>
      </c>
      <c r="E14" s="22">
        <v>1000</v>
      </c>
      <c r="F14" s="48">
        <v>1500</v>
      </c>
      <c r="G14" s="22">
        <v>1000</v>
      </c>
      <c r="H14" s="22">
        <v>2750</v>
      </c>
      <c r="I14" s="22">
        <v>2250</v>
      </c>
      <c r="J14" s="22"/>
      <c r="K14" s="22">
        <v>1080</v>
      </c>
      <c r="L14" s="22">
        <v>2000</v>
      </c>
      <c r="M14" s="22"/>
      <c r="N14" s="22">
        <v>500</v>
      </c>
      <c r="O14" s="22"/>
      <c r="P14" s="41">
        <f>I14+H14+G14+F14+E14+D14+J14+K14+L14+M14+N14+O14</f>
        <v>12605</v>
      </c>
    </row>
    <row r="15" spans="1:21" s="11" customFormat="1" ht="28.5" customHeight="1" x14ac:dyDescent="0.25">
      <c r="A15" s="39">
        <v>11</v>
      </c>
      <c r="B15" s="47" t="s">
        <v>178</v>
      </c>
      <c r="C15" s="45" t="s">
        <v>179</v>
      </c>
      <c r="D15" s="22">
        <v>1905</v>
      </c>
      <c r="E15" s="22">
        <v>500</v>
      </c>
      <c r="F15" s="79">
        <v>1715</v>
      </c>
      <c r="G15" s="22">
        <v>2000</v>
      </c>
      <c r="H15" s="22">
        <v>5677</v>
      </c>
      <c r="I15" s="22">
        <v>403</v>
      </c>
      <c r="J15" s="22"/>
      <c r="K15" s="22"/>
      <c r="L15" s="22"/>
      <c r="M15" s="22"/>
      <c r="N15" s="22"/>
      <c r="O15" s="22"/>
      <c r="P15" s="41">
        <f>I15+H15+G15+F15+E15+D15+J15+K15+L15+M15+N15+O15</f>
        <v>12200</v>
      </c>
    </row>
    <row r="16" spans="1:21" s="11" customFormat="1" ht="28.5" customHeight="1" x14ac:dyDescent="0.25">
      <c r="A16" s="42">
        <v>12</v>
      </c>
      <c r="B16" s="3" t="s">
        <v>86</v>
      </c>
      <c r="C16" s="44" t="s">
        <v>87</v>
      </c>
      <c r="D16" s="22">
        <v>215</v>
      </c>
      <c r="E16" s="22">
        <v>800</v>
      </c>
      <c r="F16" s="48">
        <v>1800</v>
      </c>
      <c r="G16" s="22">
        <v>880</v>
      </c>
      <c r="H16" s="22">
        <v>2570</v>
      </c>
      <c r="I16" s="22">
        <v>1670</v>
      </c>
      <c r="J16" s="22"/>
      <c r="K16" s="22">
        <v>1050</v>
      </c>
      <c r="L16" s="22">
        <v>500</v>
      </c>
      <c r="M16" s="22">
        <v>200</v>
      </c>
      <c r="N16" s="22">
        <v>1160</v>
      </c>
      <c r="O16" s="22"/>
      <c r="P16" s="41">
        <f>I16+H16+G16+F16+E16+D16+J16+K16+L16+M16+N16+O16</f>
        <v>10845</v>
      </c>
    </row>
    <row r="17" spans="1:16" s="11" customFormat="1" ht="28.5" customHeight="1" x14ac:dyDescent="0.25">
      <c r="A17" s="39">
        <v>13</v>
      </c>
      <c r="B17" s="3" t="s">
        <v>130</v>
      </c>
      <c r="C17" s="44" t="s">
        <v>131</v>
      </c>
      <c r="D17" s="22">
        <v>670</v>
      </c>
      <c r="E17" s="22">
        <v>740</v>
      </c>
      <c r="F17" s="79">
        <v>1565</v>
      </c>
      <c r="G17" s="22">
        <v>915</v>
      </c>
      <c r="H17" s="22">
        <v>940</v>
      </c>
      <c r="I17" s="22">
        <v>2090</v>
      </c>
      <c r="J17" s="22"/>
      <c r="K17" s="22">
        <v>500</v>
      </c>
      <c r="L17" s="22">
        <v>750</v>
      </c>
      <c r="M17" s="22">
        <v>580</v>
      </c>
      <c r="N17" s="22">
        <v>580</v>
      </c>
      <c r="O17" s="22">
        <v>580</v>
      </c>
      <c r="P17" s="41">
        <f>I17+H17+G17+F17+E17+D17+J17+K17+L17+M17+N17+O17</f>
        <v>9910</v>
      </c>
    </row>
    <row r="18" spans="1:16" s="11" customFormat="1" ht="28.5" customHeight="1" x14ac:dyDescent="0.25">
      <c r="A18" s="42">
        <v>14</v>
      </c>
      <c r="B18" s="3" t="s">
        <v>92</v>
      </c>
      <c r="C18" s="44" t="s">
        <v>93</v>
      </c>
      <c r="D18" s="22">
        <v>505</v>
      </c>
      <c r="E18" s="22">
        <v>1005</v>
      </c>
      <c r="F18" s="22"/>
      <c r="G18" s="22">
        <v>1790</v>
      </c>
      <c r="H18" s="22">
        <v>2530</v>
      </c>
      <c r="I18" s="22">
        <v>690</v>
      </c>
      <c r="J18" s="22"/>
      <c r="K18" s="22">
        <v>700</v>
      </c>
      <c r="L18" s="22"/>
      <c r="M18" s="22"/>
      <c r="N18" s="22">
        <v>500</v>
      </c>
      <c r="O18" s="22">
        <v>1000</v>
      </c>
      <c r="P18" s="41">
        <f>I18+H18+G18+F18+E18+D18+J18+K18+L18+M18+N18+O18</f>
        <v>8720</v>
      </c>
    </row>
    <row r="19" spans="1:16" s="11" customFormat="1" ht="28.5" customHeight="1" x14ac:dyDescent="0.25">
      <c r="A19" s="39">
        <v>15</v>
      </c>
      <c r="B19" s="3" t="s">
        <v>128</v>
      </c>
      <c r="C19" s="44" t="s">
        <v>129</v>
      </c>
      <c r="D19" s="22">
        <v>1000</v>
      </c>
      <c r="E19" s="22">
        <v>1000</v>
      </c>
      <c r="F19" s="79">
        <v>1000</v>
      </c>
      <c r="G19" s="22">
        <v>1000</v>
      </c>
      <c r="H19" s="22">
        <v>1020</v>
      </c>
      <c r="I19" s="22"/>
      <c r="J19" s="22">
        <v>1000</v>
      </c>
      <c r="K19" s="22"/>
      <c r="L19" s="22">
        <v>1000</v>
      </c>
      <c r="M19" s="22">
        <v>1000</v>
      </c>
      <c r="N19" s="22"/>
      <c r="O19" s="22">
        <v>500</v>
      </c>
      <c r="P19" s="41">
        <f>I19+H19+G19+F19+E19+D19+J19+K19+L19+M19+N19+O19</f>
        <v>8520</v>
      </c>
    </row>
    <row r="20" spans="1:16" s="11" customFormat="1" ht="28.5" customHeight="1" x14ac:dyDescent="0.25">
      <c r="A20" s="42">
        <v>16</v>
      </c>
      <c r="B20" s="3" t="s">
        <v>112</v>
      </c>
      <c r="C20" s="44" t="s">
        <v>113</v>
      </c>
      <c r="D20" s="22">
        <v>550</v>
      </c>
      <c r="E20" s="22">
        <v>560</v>
      </c>
      <c r="F20" s="79">
        <v>740</v>
      </c>
      <c r="G20" s="22"/>
      <c r="H20" s="22">
        <v>1030</v>
      </c>
      <c r="I20" s="22">
        <v>190</v>
      </c>
      <c r="J20" s="22">
        <v>520</v>
      </c>
      <c r="K20" s="22">
        <v>2220</v>
      </c>
      <c r="L20" s="22">
        <v>500</v>
      </c>
      <c r="M20" s="22">
        <v>1300</v>
      </c>
      <c r="N20" s="22">
        <v>500</v>
      </c>
      <c r="O20" s="22"/>
      <c r="P20" s="41">
        <f>I20+H20+G20+F20+E20+D20+J20+K20+L20+M20+N20+O20</f>
        <v>8110</v>
      </c>
    </row>
    <row r="21" spans="1:16" s="11" customFormat="1" ht="28.5" customHeight="1" x14ac:dyDescent="0.25">
      <c r="A21" s="39">
        <v>17</v>
      </c>
      <c r="B21" s="3" t="s">
        <v>164</v>
      </c>
      <c r="C21" s="45" t="s">
        <v>165</v>
      </c>
      <c r="D21" s="22"/>
      <c r="E21" s="22">
        <v>500</v>
      </c>
      <c r="F21" s="48">
        <v>500</v>
      </c>
      <c r="G21" s="22">
        <v>750</v>
      </c>
      <c r="H21" s="22">
        <v>800</v>
      </c>
      <c r="I21" s="22"/>
      <c r="J21" s="22">
        <v>700</v>
      </c>
      <c r="K21" s="22"/>
      <c r="L21" s="22">
        <v>2000</v>
      </c>
      <c r="M21" s="22">
        <v>500</v>
      </c>
      <c r="N21" s="22">
        <v>610</v>
      </c>
      <c r="O21" s="22">
        <v>500</v>
      </c>
      <c r="P21" s="41">
        <f>I21+H21+G21+F21+E21+D21+J21+K21+L21+M21+N21+O21</f>
        <v>6860</v>
      </c>
    </row>
    <row r="22" spans="1:16" s="11" customFormat="1" ht="28.5" customHeight="1" x14ac:dyDescent="0.25">
      <c r="A22" s="42">
        <v>18</v>
      </c>
      <c r="B22" s="3" t="s">
        <v>138</v>
      </c>
      <c r="C22" s="45" t="s">
        <v>139</v>
      </c>
      <c r="D22" s="22"/>
      <c r="E22" s="22">
        <v>500</v>
      </c>
      <c r="F22" s="22"/>
      <c r="G22" s="22">
        <v>1200</v>
      </c>
      <c r="H22" s="22">
        <v>600</v>
      </c>
      <c r="I22" s="22"/>
      <c r="J22" s="22">
        <v>900</v>
      </c>
      <c r="K22" s="22">
        <v>500</v>
      </c>
      <c r="L22" s="22">
        <v>900</v>
      </c>
      <c r="M22" s="22">
        <v>700</v>
      </c>
      <c r="N22" s="22"/>
      <c r="O22" s="22">
        <v>600</v>
      </c>
      <c r="P22" s="41">
        <f>I22+H22+G22+F22+E22+D22+J22+K22+L22+M22+N22+O22</f>
        <v>5900</v>
      </c>
    </row>
    <row r="23" spans="1:16" s="11" customFormat="1" ht="28.5" customHeight="1" x14ac:dyDescent="0.25">
      <c r="A23" s="39">
        <v>19</v>
      </c>
      <c r="B23" s="3" t="s">
        <v>90</v>
      </c>
      <c r="C23" s="44" t="s">
        <v>91</v>
      </c>
      <c r="D23" s="22">
        <v>400</v>
      </c>
      <c r="E23" s="22">
        <v>470</v>
      </c>
      <c r="F23" s="48">
        <v>730</v>
      </c>
      <c r="G23" s="22">
        <v>350</v>
      </c>
      <c r="H23" s="22">
        <v>884</v>
      </c>
      <c r="I23" s="22">
        <v>348</v>
      </c>
      <c r="J23" s="22"/>
      <c r="K23" s="22">
        <v>400</v>
      </c>
      <c r="L23" s="22">
        <v>365</v>
      </c>
      <c r="M23" s="22">
        <v>903</v>
      </c>
      <c r="N23" s="22">
        <v>490</v>
      </c>
      <c r="O23" s="22">
        <v>525</v>
      </c>
      <c r="P23" s="41">
        <f>I23+H23+G23+F23+E23+D23+J23+K23+L23+M23+N23+O23</f>
        <v>5865</v>
      </c>
    </row>
    <row r="24" spans="1:16" s="11" customFormat="1" ht="28.5" customHeight="1" x14ac:dyDescent="0.25">
      <c r="A24" s="42">
        <v>20</v>
      </c>
      <c r="B24" s="3" t="s">
        <v>110</v>
      </c>
      <c r="C24" s="44" t="s">
        <v>111</v>
      </c>
      <c r="D24" s="22"/>
      <c r="E24" s="22">
        <v>735</v>
      </c>
      <c r="F24" s="48">
        <v>640</v>
      </c>
      <c r="G24" s="22">
        <v>660</v>
      </c>
      <c r="H24" s="22">
        <v>620</v>
      </c>
      <c r="I24" s="22">
        <v>500</v>
      </c>
      <c r="J24" s="22">
        <v>510</v>
      </c>
      <c r="K24" s="22"/>
      <c r="L24" s="22">
        <v>650</v>
      </c>
      <c r="M24" s="22">
        <v>650</v>
      </c>
      <c r="N24" s="22">
        <v>550</v>
      </c>
      <c r="O24" s="22"/>
      <c r="P24" s="41">
        <f>I24+H24+G24+F24+E24+D24+J24+K24+L24+M24+N24+O24</f>
        <v>5515</v>
      </c>
    </row>
    <row r="25" spans="1:16" s="11" customFormat="1" ht="28.5" customHeight="1" x14ac:dyDescent="0.25">
      <c r="A25" s="39">
        <v>21</v>
      </c>
      <c r="B25" s="3" t="s">
        <v>140</v>
      </c>
      <c r="C25" s="45" t="s">
        <v>141</v>
      </c>
      <c r="D25" s="22">
        <v>500</v>
      </c>
      <c r="E25" s="22">
        <v>500</v>
      </c>
      <c r="F25" s="22"/>
      <c r="G25" s="22">
        <v>600</v>
      </c>
      <c r="H25" s="22">
        <v>1895</v>
      </c>
      <c r="I25" s="22">
        <v>595</v>
      </c>
      <c r="J25" s="22"/>
      <c r="K25" s="22">
        <v>500</v>
      </c>
      <c r="L25" s="22"/>
      <c r="M25" s="22"/>
      <c r="N25" s="22"/>
      <c r="O25" s="22">
        <v>500</v>
      </c>
      <c r="P25" s="41">
        <f>I25+H25+G25+F25+E25+D25+J25+K25+L25+M25+N25+O25</f>
        <v>5090</v>
      </c>
    </row>
    <row r="26" spans="1:16" s="11" customFormat="1" ht="28.5" customHeight="1" x14ac:dyDescent="0.25">
      <c r="A26" s="42">
        <v>22</v>
      </c>
      <c r="B26" s="3" t="s">
        <v>114</v>
      </c>
      <c r="C26" s="44" t="s">
        <v>115</v>
      </c>
      <c r="D26" s="22">
        <v>1000</v>
      </c>
      <c r="E26" s="22"/>
      <c r="F26" s="48">
        <v>510</v>
      </c>
      <c r="G26" s="22">
        <v>1005</v>
      </c>
      <c r="H26" s="22">
        <v>600</v>
      </c>
      <c r="I26" s="22"/>
      <c r="J26" s="22"/>
      <c r="K26" s="22">
        <v>500</v>
      </c>
      <c r="L26" s="22">
        <v>550</v>
      </c>
      <c r="M26" s="22"/>
      <c r="N26" s="22">
        <v>250</v>
      </c>
      <c r="O26" s="22">
        <v>500</v>
      </c>
      <c r="P26" s="41">
        <f>I26+H26+G26+F26+E26+D26+J26+K26+L26+M26+N26+O26</f>
        <v>4915</v>
      </c>
    </row>
    <row r="27" spans="1:16" s="11" customFormat="1" ht="28.5" customHeight="1" x14ac:dyDescent="0.25">
      <c r="A27" s="39">
        <v>23</v>
      </c>
      <c r="B27" s="3" t="s">
        <v>126</v>
      </c>
      <c r="C27" s="44" t="s">
        <v>227</v>
      </c>
      <c r="D27" s="22">
        <v>210</v>
      </c>
      <c r="E27" s="22">
        <v>760</v>
      </c>
      <c r="F27" s="22"/>
      <c r="G27" s="22">
        <v>1005</v>
      </c>
      <c r="H27" s="22">
        <v>960</v>
      </c>
      <c r="I27" s="22"/>
      <c r="J27" s="22"/>
      <c r="K27" s="22">
        <v>840</v>
      </c>
      <c r="L27" s="22"/>
      <c r="M27" s="22"/>
      <c r="N27" s="22">
        <v>500</v>
      </c>
      <c r="O27" s="22"/>
      <c r="P27" s="41">
        <f>I27+H27+G27+F27+E27+D27+J27+K27+L27+M27+N27+O27</f>
        <v>4275</v>
      </c>
    </row>
    <row r="28" spans="1:16" s="11" customFormat="1" ht="28.5" customHeight="1" x14ac:dyDescent="0.25">
      <c r="A28" s="42">
        <v>24</v>
      </c>
      <c r="B28" s="3" t="s">
        <v>132</v>
      </c>
      <c r="C28" s="45" t="s">
        <v>262</v>
      </c>
      <c r="D28" s="22">
        <v>550</v>
      </c>
      <c r="E28" s="22">
        <v>50</v>
      </c>
      <c r="F28" s="48">
        <v>500</v>
      </c>
      <c r="G28" s="22">
        <v>500</v>
      </c>
      <c r="H28" s="22">
        <v>1110</v>
      </c>
      <c r="I28" s="22">
        <v>500</v>
      </c>
      <c r="J28" s="22"/>
      <c r="K28" s="22">
        <v>500</v>
      </c>
      <c r="L28" s="22"/>
      <c r="M28" s="22"/>
      <c r="N28" s="22"/>
      <c r="O28" s="22">
        <v>500</v>
      </c>
      <c r="P28" s="41">
        <f>I28+H28+G28+F28+E28+D28+J28+K28+L28+M28+N28+O28</f>
        <v>4210</v>
      </c>
    </row>
    <row r="29" spans="1:16" s="11" customFormat="1" ht="28.5" customHeight="1" x14ac:dyDescent="0.25">
      <c r="A29" s="39">
        <v>25</v>
      </c>
      <c r="B29" s="3" t="s">
        <v>146</v>
      </c>
      <c r="C29" s="44" t="s">
        <v>147</v>
      </c>
      <c r="D29" s="22">
        <v>360</v>
      </c>
      <c r="E29" s="22"/>
      <c r="F29" s="79">
        <v>500</v>
      </c>
      <c r="G29" s="22">
        <v>700</v>
      </c>
      <c r="H29" s="22">
        <v>1500</v>
      </c>
      <c r="I29" s="22"/>
      <c r="J29" s="22"/>
      <c r="K29" s="22">
        <v>650</v>
      </c>
      <c r="L29" s="22"/>
      <c r="M29" s="22"/>
      <c r="N29" s="22"/>
      <c r="O29" s="79">
        <v>500</v>
      </c>
      <c r="P29" s="41">
        <f>I29+H29+G29+F29+E29+D29+J29+K29+L29+M29+N29+O29</f>
        <v>4210</v>
      </c>
    </row>
    <row r="30" spans="1:16" s="11" customFormat="1" ht="28.5" customHeight="1" x14ac:dyDescent="0.25">
      <c r="A30" s="42">
        <v>26</v>
      </c>
      <c r="B30" s="3" t="s">
        <v>144</v>
      </c>
      <c r="C30" s="45" t="s">
        <v>263</v>
      </c>
      <c r="D30" s="22">
        <v>500</v>
      </c>
      <c r="E30" s="22"/>
      <c r="F30" s="48">
        <v>700</v>
      </c>
      <c r="G30" s="22"/>
      <c r="H30" s="22">
        <v>1600</v>
      </c>
      <c r="I30" s="22"/>
      <c r="J30" s="22"/>
      <c r="K30" s="22">
        <v>300</v>
      </c>
      <c r="L30" s="22">
        <v>200</v>
      </c>
      <c r="M30" s="22"/>
      <c r="N30" s="22">
        <v>500</v>
      </c>
      <c r="O30" s="22"/>
      <c r="P30" s="41">
        <f>I30+H30+G30+F30+E30+D30+J30+K30+L30+M30+N30+O30</f>
        <v>3800</v>
      </c>
    </row>
    <row r="31" spans="1:16" s="11" customFormat="1" ht="28.5" customHeight="1" x14ac:dyDescent="0.25">
      <c r="A31" s="39">
        <v>27</v>
      </c>
      <c r="B31" s="3" t="s">
        <v>142</v>
      </c>
      <c r="C31" s="45" t="s">
        <v>143</v>
      </c>
      <c r="D31" s="22">
        <v>500</v>
      </c>
      <c r="E31" s="22">
        <v>500</v>
      </c>
      <c r="F31" s="22"/>
      <c r="G31" s="22">
        <v>500</v>
      </c>
      <c r="H31" s="22">
        <v>1000</v>
      </c>
      <c r="I31" s="22"/>
      <c r="J31" s="22"/>
      <c r="K31" s="22">
        <v>1000</v>
      </c>
      <c r="L31" s="22"/>
      <c r="M31" s="22"/>
      <c r="N31" s="22"/>
      <c r="O31" s="22"/>
      <c r="P31" s="41">
        <f>I31+H31+G31+F31+E31+D31+J31+K31+L31+M31+N31+O31</f>
        <v>3500</v>
      </c>
    </row>
    <row r="32" spans="1:16" s="11" customFormat="1" ht="28.5" customHeight="1" x14ac:dyDescent="0.25">
      <c r="A32" s="42">
        <v>28</v>
      </c>
      <c r="B32" s="3" t="s">
        <v>124</v>
      </c>
      <c r="C32" s="46" t="s">
        <v>125</v>
      </c>
      <c r="D32" s="22">
        <v>20</v>
      </c>
      <c r="E32" s="22">
        <v>220</v>
      </c>
      <c r="F32" s="48">
        <v>260</v>
      </c>
      <c r="G32" s="22">
        <v>275</v>
      </c>
      <c r="H32" s="22">
        <v>270</v>
      </c>
      <c r="I32" s="22"/>
      <c r="J32" s="22">
        <v>360</v>
      </c>
      <c r="K32" s="22">
        <v>770</v>
      </c>
      <c r="L32" s="22">
        <v>500</v>
      </c>
      <c r="M32" s="22">
        <v>280</v>
      </c>
      <c r="N32" s="22">
        <v>280</v>
      </c>
      <c r="O32" s="79">
        <v>210</v>
      </c>
      <c r="P32" s="41">
        <f>I32+H32+G32+F32+E32+D32+J32+K32+L32+M32+N32+O32</f>
        <v>3445</v>
      </c>
    </row>
    <row r="33" spans="1:16" s="11" customFormat="1" ht="28.5" customHeight="1" x14ac:dyDescent="0.25">
      <c r="A33" s="39">
        <v>29</v>
      </c>
      <c r="B33" s="3" t="s">
        <v>108</v>
      </c>
      <c r="C33" s="44" t="s">
        <v>109</v>
      </c>
      <c r="D33" s="22">
        <v>500</v>
      </c>
      <c r="E33" s="22"/>
      <c r="F33" s="22"/>
      <c r="G33" s="22">
        <v>500</v>
      </c>
      <c r="H33" s="22"/>
      <c r="I33" s="22"/>
      <c r="J33" s="22">
        <v>500</v>
      </c>
      <c r="K33" s="22">
        <v>500</v>
      </c>
      <c r="L33" s="22">
        <v>500</v>
      </c>
      <c r="M33" s="22"/>
      <c r="N33" s="22"/>
      <c r="O33" s="22"/>
      <c r="P33" s="41">
        <f>I33+H33+G33+F33+E33+D33+J33+K33+L33+M33+N33+O33</f>
        <v>2500</v>
      </c>
    </row>
    <row r="34" spans="1:16" s="11" customFormat="1" ht="28.5" customHeight="1" x14ac:dyDescent="0.25">
      <c r="A34" s="42">
        <v>30</v>
      </c>
      <c r="B34" s="3" t="s">
        <v>154</v>
      </c>
      <c r="C34" s="45" t="s">
        <v>155</v>
      </c>
      <c r="D34" s="22"/>
      <c r="E34" s="22"/>
      <c r="F34" s="22"/>
      <c r="G34" s="22">
        <v>200</v>
      </c>
      <c r="H34" s="22"/>
      <c r="I34" s="22">
        <v>250</v>
      </c>
      <c r="J34" s="22">
        <v>230</v>
      </c>
      <c r="K34" s="22">
        <v>200</v>
      </c>
      <c r="L34" s="22">
        <v>490</v>
      </c>
      <c r="M34" s="22">
        <v>500</v>
      </c>
      <c r="N34" s="22"/>
      <c r="O34" s="22">
        <v>400</v>
      </c>
      <c r="P34" s="41">
        <f>I34+H34+G34+F34+E34+D34+J34+K34+L34+M34+N34+O34</f>
        <v>2270</v>
      </c>
    </row>
    <row r="35" spans="1:16" s="11" customFormat="1" ht="28.5" customHeight="1" x14ac:dyDescent="0.25">
      <c r="A35" s="39">
        <v>31</v>
      </c>
      <c r="B35" s="3" t="s">
        <v>116</v>
      </c>
      <c r="C35" s="45" t="s">
        <v>254</v>
      </c>
      <c r="D35" s="22"/>
      <c r="E35" s="22"/>
      <c r="F35" s="79"/>
      <c r="G35" s="22"/>
      <c r="H35" s="22"/>
      <c r="I35" s="22"/>
      <c r="J35" s="22"/>
      <c r="K35" s="22">
        <v>500</v>
      </c>
      <c r="L35" s="22">
        <v>700</v>
      </c>
      <c r="M35" s="22"/>
      <c r="N35" s="22"/>
      <c r="O35" s="22">
        <v>520</v>
      </c>
      <c r="P35" s="41">
        <f>I35+H35+G35+F35+E35+D35+J35+K35+L35+M35+N35+O35</f>
        <v>1720</v>
      </c>
    </row>
    <row r="36" spans="1:16" s="11" customFormat="1" ht="28.5" customHeight="1" x14ac:dyDescent="0.25">
      <c r="A36" s="42">
        <v>32</v>
      </c>
      <c r="B36" s="3" t="s">
        <v>172</v>
      </c>
      <c r="C36" s="45" t="s">
        <v>256</v>
      </c>
      <c r="D36" s="22">
        <v>500</v>
      </c>
      <c r="E36" s="22"/>
      <c r="F36" s="22"/>
      <c r="G36" s="22">
        <v>500</v>
      </c>
      <c r="H36" s="22">
        <v>600</v>
      </c>
      <c r="I36" s="22"/>
      <c r="J36" s="22"/>
      <c r="K36" s="22"/>
      <c r="L36" s="22"/>
      <c r="M36" s="22"/>
      <c r="N36" s="22"/>
      <c r="O36" s="22"/>
      <c r="P36" s="41">
        <f>I36+H36+G36+F36+E36+D36+J36+K36+L36+M36+N36+O36</f>
        <v>1600</v>
      </c>
    </row>
    <row r="37" spans="1:16" s="11" customFormat="1" ht="28.5" customHeight="1" x14ac:dyDescent="0.25">
      <c r="A37" s="39">
        <v>33</v>
      </c>
      <c r="B37" s="3" t="s">
        <v>98</v>
      </c>
      <c r="C37" s="44" t="s">
        <v>261</v>
      </c>
      <c r="D37" s="22">
        <v>500</v>
      </c>
      <c r="E37" s="22"/>
      <c r="F37" s="22"/>
      <c r="G37" s="22"/>
      <c r="H37" s="22">
        <v>500</v>
      </c>
      <c r="I37" s="22"/>
      <c r="J37" s="22"/>
      <c r="K37" s="22">
        <v>500</v>
      </c>
      <c r="L37" s="22"/>
      <c r="M37" s="22"/>
      <c r="N37" s="22"/>
      <c r="O37" s="22"/>
      <c r="P37" s="41">
        <f>I37+H37+G37+F37+E37+D37+J37+K37+L37+M37+N37+O37</f>
        <v>1500</v>
      </c>
    </row>
    <row r="38" spans="1:16" s="11" customFormat="1" ht="28.5" customHeight="1" x14ac:dyDescent="0.25">
      <c r="A38" s="42">
        <v>34</v>
      </c>
      <c r="B38" s="3" t="s">
        <v>118</v>
      </c>
      <c r="C38" s="45" t="s">
        <v>119</v>
      </c>
      <c r="D38" s="22"/>
      <c r="E38" s="22"/>
      <c r="F38" s="26"/>
      <c r="G38" s="22"/>
      <c r="H38" s="22"/>
      <c r="I38" s="22"/>
      <c r="J38" s="22"/>
      <c r="K38" s="22">
        <v>500</v>
      </c>
      <c r="L38" s="22">
        <v>500</v>
      </c>
      <c r="M38" s="22"/>
      <c r="N38" s="22">
        <v>500</v>
      </c>
      <c r="O38" s="22"/>
      <c r="P38" s="41">
        <f>I38+H38+G38+F38+E38+D38+J38+K38+L38+M38+N38+O38</f>
        <v>1500</v>
      </c>
    </row>
    <row r="39" spans="1:16" s="11" customFormat="1" ht="28.5" customHeight="1" x14ac:dyDescent="0.25">
      <c r="A39" s="39">
        <v>35</v>
      </c>
      <c r="B39" s="3" t="s">
        <v>120</v>
      </c>
      <c r="C39" s="45" t="s">
        <v>121</v>
      </c>
      <c r="D39" s="22"/>
      <c r="E39" s="22"/>
      <c r="F39" s="48"/>
      <c r="G39" s="22"/>
      <c r="H39" s="22"/>
      <c r="I39" s="22"/>
      <c r="J39" s="22"/>
      <c r="K39" s="22">
        <v>500</v>
      </c>
      <c r="L39" s="22">
        <v>500</v>
      </c>
      <c r="M39" s="22"/>
      <c r="N39" s="22"/>
      <c r="O39" s="22">
        <v>500</v>
      </c>
      <c r="P39" s="41">
        <f>I39+H39+G39+F39+E39+D39+J39+K39+L39+M39+N39+O39</f>
        <v>1500</v>
      </c>
    </row>
    <row r="40" spans="1:16" s="11" customFormat="1" ht="28.5" customHeight="1" x14ac:dyDescent="0.25">
      <c r="A40" s="42">
        <v>36</v>
      </c>
      <c r="B40" s="3" t="s">
        <v>148</v>
      </c>
      <c r="C40" s="45" t="s">
        <v>149</v>
      </c>
      <c r="D40" s="22">
        <v>260</v>
      </c>
      <c r="E40" s="22"/>
      <c r="F40" s="48">
        <v>180</v>
      </c>
      <c r="G40" s="22">
        <v>380</v>
      </c>
      <c r="H40" s="22"/>
      <c r="I40" s="22">
        <v>200</v>
      </c>
      <c r="J40" s="22"/>
      <c r="K40" s="22">
        <v>140</v>
      </c>
      <c r="L40" s="22"/>
      <c r="M40" s="22"/>
      <c r="N40" s="22"/>
      <c r="O40" s="22">
        <v>140</v>
      </c>
      <c r="P40" s="41">
        <f>I40+H40+G40+F40+E40+D40+J40+K40+L40+M40+N40+O40</f>
        <v>1300</v>
      </c>
    </row>
    <row r="41" spans="1:16" s="11" customFormat="1" ht="28.5" customHeight="1" x14ac:dyDescent="0.25">
      <c r="A41" s="39">
        <v>37</v>
      </c>
      <c r="B41" s="3" t="s">
        <v>134</v>
      </c>
      <c r="C41" s="45" t="s">
        <v>135</v>
      </c>
      <c r="D41" s="22"/>
      <c r="E41" s="22">
        <v>285</v>
      </c>
      <c r="F41" s="22"/>
      <c r="G41" s="22"/>
      <c r="H41" s="22">
        <v>290</v>
      </c>
      <c r="I41" s="22"/>
      <c r="J41" s="22"/>
      <c r="K41" s="22">
        <v>560</v>
      </c>
      <c r="L41" s="22"/>
      <c r="M41" s="22"/>
      <c r="N41" s="22"/>
      <c r="O41" s="22"/>
      <c r="P41" s="41">
        <f>I41+H41+G41+F41+E41+D41+J41+K41+L41+M41+N41+O41</f>
        <v>1135</v>
      </c>
    </row>
    <row r="42" spans="1:16" s="11" customFormat="1" ht="28.5" customHeight="1" x14ac:dyDescent="0.25">
      <c r="A42" s="42">
        <v>38</v>
      </c>
      <c r="B42" s="3" t="s">
        <v>102</v>
      </c>
      <c r="C42" s="44" t="s">
        <v>103</v>
      </c>
      <c r="D42" s="22">
        <v>800</v>
      </c>
      <c r="E42" s="22"/>
      <c r="F42" s="22"/>
      <c r="G42" s="22"/>
      <c r="H42" s="22">
        <v>300</v>
      </c>
      <c r="I42" s="22"/>
      <c r="J42" s="22"/>
      <c r="K42" s="22"/>
      <c r="L42" s="22"/>
      <c r="M42" s="22"/>
      <c r="N42" s="22"/>
      <c r="O42" s="22"/>
      <c r="P42" s="41">
        <f>I42+H42+G42+F42+E42+D42+J42+K42+L42+M42+N42+O42</f>
        <v>1100</v>
      </c>
    </row>
    <row r="43" spans="1:16" s="11" customFormat="1" ht="28.5" customHeight="1" x14ac:dyDescent="0.25">
      <c r="A43" s="39">
        <v>39</v>
      </c>
      <c r="B43" s="3" t="s">
        <v>170</v>
      </c>
      <c r="C43" s="45" t="s">
        <v>171</v>
      </c>
      <c r="D43" s="22">
        <v>205</v>
      </c>
      <c r="E43" s="22">
        <v>100</v>
      </c>
      <c r="F43" s="22"/>
      <c r="G43" s="22">
        <v>160</v>
      </c>
      <c r="H43" s="22">
        <v>509</v>
      </c>
      <c r="I43" s="22"/>
      <c r="J43" s="22"/>
      <c r="K43" s="22"/>
      <c r="L43" s="22">
        <v>91</v>
      </c>
      <c r="M43" s="22"/>
      <c r="N43" s="22"/>
      <c r="O43" s="22"/>
      <c r="P43" s="41">
        <f>I43+H43+G43+F43+E43+D43+J43+K43+L43+M43+N43+O43</f>
        <v>1065</v>
      </c>
    </row>
    <row r="44" spans="1:16" s="11" customFormat="1" ht="28.5" customHeight="1" x14ac:dyDescent="0.25">
      <c r="A44" s="42">
        <v>40</v>
      </c>
      <c r="B44" s="3" t="s">
        <v>162</v>
      </c>
      <c r="C44" s="46" t="s">
        <v>163</v>
      </c>
      <c r="D44" s="22"/>
      <c r="E44" s="22">
        <v>160</v>
      </c>
      <c r="F44" s="22"/>
      <c r="G44" s="22"/>
      <c r="H44" s="22">
        <v>200</v>
      </c>
      <c r="I44" s="22"/>
      <c r="J44" s="22">
        <v>200</v>
      </c>
      <c r="K44" s="22">
        <v>500</v>
      </c>
      <c r="L44" s="22"/>
      <c r="M44" s="22"/>
      <c r="N44" s="22"/>
      <c r="O44" s="22"/>
      <c r="P44" s="41">
        <f>I44+H44+G44+F44+E44+D44+J44+K44+L44+M44+N44+O44</f>
        <v>1060</v>
      </c>
    </row>
    <row r="45" spans="1:16" s="11" customFormat="1" ht="28.5" customHeight="1" x14ac:dyDescent="0.25">
      <c r="A45" s="39">
        <v>41</v>
      </c>
      <c r="B45" s="3" t="s">
        <v>152</v>
      </c>
      <c r="C45" s="45" t="s">
        <v>153</v>
      </c>
      <c r="D45" s="22"/>
      <c r="E45" s="22"/>
      <c r="F45" s="22"/>
      <c r="G45" s="22"/>
      <c r="H45" s="22"/>
      <c r="I45" s="22">
        <v>240</v>
      </c>
      <c r="J45" s="22"/>
      <c r="K45" s="22">
        <v>260</v>
      </c>
      <c r="L45" s="22">
        <v>540</v>
      </c>
      <c r="M45" s="22"/>
      <c r="N45" s="22"/>
      <c r="O45" s="22"/>
      <c r="P45" s="41">
        <f>I45+H45+G45+F45+E45+D45+J45+K45+L45+M45+N45+O45</f>
        <v>1040</v>
      </c>
    </row>
    <row r="46" spans="1:16" s="11" customFormat="1" ht="28.5" customHeight="1" x14ac:dyDescent="0.25">
      <c r="A46" s="42">
        <v>42</v>
      </c>
      <c r="B46" s="3" t="s">
        <v>174</v>
      </c>
      <c r="C46" s="45" t="s">
        <v>257</v>
      </c>
      <c r="D46" s="22"/>
      <c r="E46" s="22"/>
      <c r="F46" s="79"/>
      <c r="G46" s="22"/>
      <c r="H46" s="22"/>
      <c r="I46" s="22">
        <v>500</v>
      </c>
      <c r="J46" s="22"/>
      <c r="K46" s="22"/>
      <c r="L46" s="22"/>
      <c r="M46" s="22"/>
      <c r="N46" s="22">
        <v>500</v>
      </c>
      <c r="O46" s="22"/>
      <c r="P46" s="41">
        <f>I46+H46+G46+F46+E46+D46+J46+K46+L46+M46+N46+O46</f>
        <v>1000</v>
      </c>
    </row>
    <row r="47" spans="1:16" s="11" customFormat="1" ht="28.5" customHeight="1" x14ac:dyDescent="0.25">
      <c r="A47" s="39">
        <v>43</v>
      </c>
      <c r="B47" s="3" t="s">
        <v>150</v>
      </c>
      <c r="C47" s="45" t="s">
        <v>151</v>
      </c>
      <c r="D47" s="22">
        <v>315</v>
      </c>
      <c r="E47" s="22"/>
      <c r="F47" s="22"/>
      <c r="G47" s="22"/>
      <c r="H47" s="22">
        <v>300</v>
      </c>
      <c r="I47" s="22"/>
      <c r="J47" s="22"/>
      <c r="K47" s="22"/>
      <c r="L47" s="22"/>
      <c r="M47" s="22"/>
      <c r="N47" s="22"/>
      <c r="O47" s="22">
        <v>220</v>
      </c>
      <c r="P47" s="41">
        <f>I47+H47+G47+F47+E47+D47+J47+K47+L47+M47+N47+O47</f>
        <v>835</v>
      </c>
    </row>
    <row r="48" spans="1:16" s="11" customFormat="1" ht="28.5" customHeight="1" x14ac:dyDescent="0.25">
      <c r="A48" s="42">
        <v>44</v>
      </c>
      <c r="B48" s="3" t="s">
        <v>156</v>
      </c>
      <c r="C48" s="45" t="s">
        <v>157</v>
      </c>
      <c r="D48" s="22">
        <v>260</v>
      </c>
      <c r="E48" s="22"/>
      <c r="F48" s="22"/>
      <c r="G48" s="22"/>
      <c r="H48" s="22"/>
      <c r="I48" s="22">
        <v>200</v>
      </c>
      <c r="J48" s="22"/>
      <c r="K48" s="22">
        <v>300</v>
      </c>
      <c r="L48" s="22"/>
      <c r="M48" s="22"/>
      <c r="N48" s="22"/>
      <c r="O48" s="22"/>
      <c r="P48" s="41">
        <f>I48+H48+G48+F48+E48+D48+J48+K48+L48+M48+N48+O48</f>
        <v>760</v>
      </c>
    </row>
    <row r="49" spans="1:16" s="11" customFormat="1" ht="28.5" customHeight="1" x14ac:dyDescent="0.25">
      <c r="A49" s="39">
        <v>45</v>
      </c>
      <c r="B49" s="3" t="s">
        <v>158</v>
      </c>
      <c r="C49" s="45" t="s">
        <v>245</v>
      </c>
      <c r="D49" s="22">
        <v>50</v>
      </c>
      <c r="E49" s="22"/>
      <c r="F49" s="22"/>
      <c r="G49" s="22">
        <v>500</v>
      </c>
      <c r="H49" s="22"/>
      <c r="I49" s="22"/>
      <c r="J49" s="22"/>
      <c r="K49" s="22">
        <v>200</v>
      </c>
      <c r="L49" s="22"/>
      <c r="M49" s="22"/>
      <c r="N49" s="22"/>
      <c r="O49" s="22"/>
      <c r="P49" s="41">
        <f>I49+H49+G49+F49+E49+D49+J49+K49+L49+M49+N49+O49</f>
        <v>750</v>
      </c>
    </row>
    <row r="50" spans="1:16" s="11" customFormat="1" ht="28.5" customHeight="1" x14ac:dyDescent="0.25">
      <c r="A50" s="42">
        <v>46</v>
      </c>
      <c r="B50" s="3" t="s">
        <v>106</v>
      </c>
      <c r="C50" s="44" t="s">
        <v>107</v>
      </c>
      <c r="D50" s="22">
        <v>500</v>
      </c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41">
        <f>I50+H50+G50+F50+E50+D50+J50+K50+L50+M50+N50+O50</f>
        <v>500</v>
      </c>
    </row>
    <row r="51" spans="1:16" s="11" customFormat="1" ht="28.5" customHeight="1" x14ac:dyDescent="0.25">
      <c r="A51" s="39">
        <v>47</v>
      </c>
      <c r="B51" s="3" t="s">
        <v>122</v>
      </c>
      <c r="C51" s="45" t="s">
        <v>123</v>
      </c>
      <c r="D51" s="22"/>
      <c r="E51" s="22"/>
      <c r="F51" s="79"/>
      <c r="G51" s="22"/>
      <c r="H51" s="22"/>
      <c r="I51" s="22"/>
      <c r="J51" s="22"/>
      <c r="K51" s="22"/>
      <c r="L51" s="22"/>
      <c r="M51" s="22"/>
      <c r="N51" s="22">
        <v>500</v>
      </c>
      <c r="O51" s="22"/>
      <c r="P51" s="41">
        <f>I51+H51+G51+F51+E51+D51+J51+K51+L51+M51+N51+O51</f>
        <v>500</v>
      </c>
    </row>
    <row r="52" spans="1:16" s="11" customFormat="1" ht="28.5" customHeight="1" x14ac:dyDescent="0.25">
      <c r="A52" s="42">
        <v>48</v>
      </c>
      <c r="B52" s="3" t="s">
        <v>168</v>
      </c>
      <c r="C52" s="45" t="s">
        <v>169</v>
      </c>
      <c r="D52" s="22">
        <v>500</v>
      </c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41">
        <f>I52+H52+G52+F52+E52+D52+J52+K52+L52+M52+N52+O52</f>
        <v>500</v>
      </c>
    </row>
    <row r="53" spans="1:16" s="11" customFormat="1" ht="28.5" customHeight="1" x14ac:dyDescent="0.25">
      <c r="A53" s="39">
        <v>49</v>
      </c>
      <c r="B53" s="3" t="s">
        <v>176</v>
      </c>
      <c r="C53" s="45" t="s">
        <v>177</v>
      </c>
      <c r="D53" s="22"/>
      <c r="E53" s="22"/>
      <c r="F53" s="48"/>
      <c r="G53" s="22"/>
      <c r="H53" s="22"/>
      <c r="I53" s="22"/>
      <c r="J53" s="22"/>
      <c r="K53" s="22"/>
      <c r="L53" s="22"/>
      <c r="M53" s="22"/>
      <c r="N53" s="22"/>
      <c r="O53" s="22">
        <v>500</v>
      </c>
      <c r="P53" s="41">
        <f>I53+H53+G53+F53+E53+D53+J53+K53+L53+M53+N53+O53</f>
        <v>500</v>
      </c>
    </row>
    <row r="54" spans="1:16" s="11" customFormat="1" ht="28.5" customHeight="1" x14ac:dyDescent="0.25">
      <c r="A54" s="42">
        <v>50</v>
      </c>
      <c r="B54" s="3" t="s">
        <v>160</v>
      </c>
      <c r="C54" s="44" t="s">
        <v>228</v>
      </c>
      <c r="D54" s="22">
        <v>42</v>
      </c>
      <c r="E54" s="22"/>
      <c r="F54" s="22"/>
      <c r="G54" s="22"/>
      <c r="H54" s="22"/>
      <c r="I54" s="22"/>
      <c r="J54" s="22"/>
      <c r="K54" s="22">
        <v>410</v>
      </c>
      <c r="L54" s="22"/>
      <c r="M54" s="22"/>
      <c r="N54" s="22"/>
      <c r="O54" s="22"/>
      <c r="P54" s="41">
        <f>I54+H54+G54+F54+E54+D54+J54+K54+L54+M54+N54+O54</f>
        <v>452</v>
      </c>
    </row>
    <row r="55" spans="1:16" s="11" customFormat="1" ht="28.5" customHeight="1" x14ac:dyDescent="0.25">
      <c r="A55" s="39">
        <v>51</v>
      </c>
      <c r="B55" s="47" t="s">
        <v>180</v>
      </c>
      <c r="C55" s="45" t="s">
        <v>239</v>
      </c>
      <c r="D55" s="22"/>
      <c r="E55" s="22"/>
      <c r="F55" s="22"/>
      <c r="G55" s="22"/>
      <c r="H55" s="22">
        <v>380</v>
      </c>
      <c r="I55" s="22"/>
      <c r="J55" s="22"/>
      <c r="K55" s="22"/>
      <c r="L55" s="22"/>
      <c r="M55" s="22"/>
      <c r="N55" s="22"/>
      <c r="O55" s="22"/>
      <c r="P55" s="41">
        <f>I55+H55+G55+F55+E55+D55+J55+K55+L55+M55+N55+O55</f>
        <v>380</v>
      </c>
    </row>
    <row r="56" spans="1:16" s="11" customFormat="1" ht="28.5" customHeight="1" x14ac:dyDescent="0.25">
      <c r="A56" s="42">
        <v>52</v>
      </c>
      <c r="B56" s="47" t="s">
        <v>182</v>
      </c>
      <c r="C56" s="45" t="s">
        <v>183</v>
      </c>
      <c r="D56" s="22"/>
      <c r="E56" s="22">
        <v>120</v>
      </c>
      <c r="F56" s="22"/>
      <c r="G56" s="22">
        <v>150</v>
      </c>
      <c r="H56" s="22"/>
      <c r="I56" s="22"/>
      <c r="J56" s="22"/>
      <c r="K56" s="22"/>
      <c r="L56" s="22"/>
      <c r="M56" s="22"/>
      <c r="N56" s="22"/>
      <c r="O56" s="22"/>
      <c r="P56" s="41">
        <f>I56+H56+G56+F56+E56+D56+J56+K56+L56+M56+N56+O56</f>
        <v>270</v>
      </c>
    </row>
    <row r="57" spans="1:16" s="11" customFormat="1" ht="28.5" customHeight="1" x14ac:dyDescent="0.25">
      <c r="A57" s="39">
        <v>53</v>
      </c>
      <c r="B57" s="47" t="s">
        <v>184</v>
      </c>
      <c r="C57" s="45" t="s">
        <v>185</v>
      </c>
      <c r="D57" s="22">
        <v>200</v>
      </c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41">
        <f>I57+H57+G57+F57+E57+D57+J57+K57+L57+M57+N57+O57</f>
        <v>200</v>
      </c>
    </row>
    <row r="58" spans="1:16" s="11" customFormat="1" ht="28.5" customHeight="1" x14ac:dyDescent="0.25">
      <c r="A58" s="42">
        <v>54</v>
      </c>
      <c r="B58" s="3" t="s">
        <v>166</v>
      </c>
      <c r="C58" s="45" t="s">
        <v>167</v>
      </c>
      <c r="D58" s="22"/>
      <c r="E58" s="22"/>
      <c r="F58" s="79"/>
      <c r="G58" s="22"/>
      <c r="H58" s="22"/>
      <c r="I58" s="22"/>
      <c r="J58" s="22"/>
      <c r="K58" s="22"/>
      <c r="L58" s="22"/>
      <c r="M58" s="22">
        <v>100</v>
      </c>
      <c r="N58" s="22"/>
      <c r="O58" s="22"/>
      <c r="P58" s="41">
        <f>I58+H58+G58+F58+E58+D58+J58+K58+L58+M58+N58+O58</f>
        <v>100</v>
      </c>
    </row>
    <row r="59" spans="1:16" s="2" customFormat="1" ht="20.100000000000001" customHeight="1" x14ac:dyDescent="0.25">
      <c r="A59" s="186" t="s">
        <v>289</v>
      </c>
      <c r="B59" s="186"/>
      <c r="C59" s="186"/>
      <c r="D59" s="86">
        <f>SUM(D5:D58)</f>
        <v>52482</v>
      </c>
      <c r="E59" s="86">
        <f t="shared" ref="E59:P59" si="0">SUM(E5:E58)</f>
        <v>30760</v>
      </c>
      <c r="F59" s="86">
        <f t="shared" si="0"/>
        <v>38810</v>
      </c>
      <c r="G59" s="86">
        <f t="shared" si="0"/>
        <v>74725</v>
      </c>
      <c r="H59" s="86">
        <f t="shared" si="0"/>
        <v>104008</v>
      </c>
      <c r="I59" s="86">
        <f t="shared" si="0"/>
        <v>58202</v>
      </c>
      <c r="J59" s="86">
        <f t="shared" si="0"/>
        <v>16895</v>
      </c>
      <c r="K59" s="86">
        <f t="shared" si="0"/>
        <v>48465</v>
      </c>
      <c r="L59" s="86">
        <f t="shared" si="0"/>
        <v>49747</v>
      </c>
      <c r="M59" s="86">
        <f t="shared" si="0"/>
        <v>24137</v>
      </c>
      <c r="N59" s="86">
        <f t="shared" si="0"/>
        <v>27030</v>
      </c>
      <c r="O59" s="86">
        <f t="shared" si="0"/>
        <v>41310</v>
      </c>
      <c r="P59" s="86">
        <f t="shared" si="0"/>
        <v>566571</v>
      </c>
    </row>
    <row r="60" spans="1:16" s="75" customFormat="1" ht="20.100000000000001" customHeight="1" x14ac:dyDescent="0.25">
      <c r="A60" s="187" t="s">
        <v>290</v>
      </c>
      <c r="B60" s="187"/>
      <c r="C60" s="187"/>
      <c r="D60" s="87">
        <f>MAX(D5:D58)</f>
        <v>15430</v>
      </c>
      <c r="E60" s="87">
        <f t="shared" ref="E60:P60" si="1">MAX(E5:E58)</f>
        <v>4220</v>
      </c>
      <c r="F60" s="87">
        <f t="shared" si="1"/>
        <v>9970</v>
      </c>
      <c r="G60" s="87">
        <f t="shared" si="1"/>
        <v>18360</v>
      </c>
      <c r="H60" s="87">
        <f t="shared" si="1"/>
        <v>24400</v>
      </c>
      <c r="I60" s="87">
        <f t="shared" si="1"/>
        <v>22620</v>
      </c>
      <c r="J60" s="87">
        <f t="shared" si="1"/>
        <v>7460</v>
      </c>
      <c r="K60" s="87">
        <f t="shared" si="1"/>
        <v>12710</v>
      </c>
      <c r="L60" s="87">
        <f t="shared" si="1"/>
        <v>8900</v>
      </c>
      <c r="M60" s="87">
        <f t="shared" si="1"/>
        <v>6644</v>
      </c>
      <c r="N60" s="87">
        <f t="shared" si="1"/>
        <v>7350</v>
      </c>
      <c r="O60" s="87">
        <f t="shared" si="1"/>
        <v>10100</v>
      </c>
      <c r="P60" s="87">
        <f t="shared" si="1"/>
        <v>145350</v>
      </c>
    </row>
    <row r="61" spans="1:16" s="75" customFormat="1" ht="20.100000000000001" customHeight="1" x14ac:dyDescent="0.25">
      <c r="A61" s="188" t="s">
        <v>291</v>
      </c>
      <c r="B61" s="188"/>
      <c r="C61" s="188"/>
      <c r="D61" s="88">
        <f>MIN(D5:D58)</f>
        <v>20</v>
      </c>
      <c r="E61" s="88">
        <f t="shared" ref="E61:P61" si="2">MIN(E5:E58)</f>
        <v>50</v>
      </c>
      <c r="F61" s="88">
        <f t="shared" si="2"/>
        <v>180</v>
      </c>
      <c r="G61" s="88">
        <f t="shared" si="2"/>
        <v>150</v>
      </c>
      <c r="H61" s="88">
        <f t="shared" si="2"/>
        <v>200</v>
      </c>
      <c r="I61" s="88">
        <f t="shared" si="2"/>
        <v>190</v>
      </c>
      <c r="J61" s="88">
        <f t="shared" si="2"/>
        <v>200</v>
      </c>
      <c r="K61" s="88">
        <f t="shared" si="2"/>
        <v>140</v>
      </c>
      <c r="L61" s="88">
        <f t="shared" si="2"/>
        <v>91</v>
      </c>
      <c r="M61" s="88">
        <f t="shared" si="2"/>
        <v>100</v>
      </c>
      <c r="N61" s="88">
        <f t="shared" si="2"/>
        <v>250</v>
      </c>
      <c r="O61" s="88">
        <f t="shared" si="2"/>
        <v>140</v>
      </c>
      <c r="P61" s="88">
        <f t="shared" si="2"/>
        <v>100</v>
      </c>
    </row>
    <row r="62" spans="1:16" s="75" customFormat="1" ht="20.100000000000001" customHeight="1" x14ac:dyDescent="0.25">
      <c r="A62" s="189" t="s">
        <v>292</v>
      </c>
      <c r="B62" s="189"/>
      <c r="C62" s="189"/>
      <c r="D62" s="89">
        <f>AVERAGE(D5:D58)</f>
        <v>1381.1052631578948</v>
      </c>
      <c r="E62" s="89">
        <f t="shared" ref="E62:P62" si="3">AVERAGE(E5:E58)</f>
        <v>1060.6896551724137</v>
      </c>
      <c r="F62" s="89">
        <f t="shared" si="3"/>
        <v>1617.0833333333333</v>
      </c>
      <c r="G62" s="89">
        <f t="shared" si="3"/>
        <v>2264.3939393939395</v>
      </c>
      <c r="H62" s="89">
        <f t="shared" si="3"/>
        <v>2889.1111111111113</v>
      </c>
      <c r="I62" s="89">
        <f t="shared" si="3"/>
        <v>2425.0833333333335</v>
      </c>
      <c r="J62" s="89">
        <f t="shared" si="3"/>
        <v>1206.7857142857142</v>
      </c>
      <c r="K62" s="89">
        <f t="shared" si="3"/>
        <v>1309.8648648648648</v>
      </c>
      <c r="L62" s="89">
        <f t="shared" si="3"/>
        <v>1776.6785714285713</v>
      </c>
      <c r="M62" s="89">
        <f t="shared" si="3"/>
        <v>1340.9444444444443</v>
      </c>
      <c r="N62" s="89">
        <f t="shared" si="3"/>
        <v>1287.1428571428571</v>
      </c>
      <c r="O62" s="89">
        <f t="shared" si="3"/>
        <v>1588.8461538461538</v>
      </c>
      <c r="P62" s="89">
        <f t="shared" si="3"/>
        <v>10492.055555555555</v>
      </c>
    </row>
    <row r="63" spans="1:16" s="75" customFormat="1" ht="20.100000000000001" customHeight="1" x14ac:dyDescent="0.25">
      <c r="A63" s="190" t="s">
        <v>293</v>
      </c>
      <c r="B63" s="190"/>
      <c r="C63" s="190"/>
      <c r="D63" s="90">
        <f>COUNT(D5:D58)</f>
        <v>38</v>
      </c>
      <c r="E63" s="90">
        <f t="shared" ref="E63:P63" si="4">COUNT(E5:E58)</f>
        <v>29</v>
      </c>
      <c r="F63" s="90">
        <f t="shared" si="4"/>
        <v>24</v>
      </c>
      <c r="G63" s="90">
        <f t="shared" si="4"/>
        <v>33</v>
      </c>
      <c r="H63" s="90">
        <f t="shared" si="4"/>
        <v>36</v>
      </c>
      <c r="I63" s="90">
        <f t="shared" si="4"/>
        <v>24</v>
      </c>
      <c r="J63" s="90">
        <f t="shared" si="4"/>
        <v>14</v>
      </c>
      <c r="K63" s="90">
        <f t="shared" si="4"/>
        <v>37</v>
      </c>
      <c r="L63" s="90">
        <f t="shared" si="4"/>
        <v>28</v>
      </c>
      <c r="M63" s="90">
        <f t="shared" si="4"/>
        <v>18</v>
      </c>
      <c r="N63" s="90">
        <f t="shared" si="4"/>
        <v>21</v>
      </c>
      <c r="O63" s="90">
        <f t="shared" si="4"/>
        <v>26</v>
      </c>
      <c r="P63" s="90">
        <f t="shared" si="4"/>
        <v>54</v>
      </c>
    </row>
    <row r="66" spans="4:16" x14ac:dyDescent="0.45"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</row>
    <row r="67" spans="4:16" x14ac:dyDescent="0.45"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</row>
    <row r="68" spans="4:16" x14ac:dyDescent="0.45"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</row>
    <row r="69" spans="4:16" x14ac:dyDescent="0.45"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</row>
  </sheetData>
  <sortState ref="A5:P58">
    <sortCondition descending="1" ref="P5:P58"/>
  </sortState>
  <mergeCells count="11">
    <mergeCell ref="A60:C60"/>
    <mergeCell ref="A61:C61"/>
    <mergeCell ref="A62:C62"/>
    <mergeCell ref="A63:C63"/>
    <mergeCell ref="N2:P2"/>
    <mergeCell ref="A59:C59"/>
    <mergeCell ref="A1:P1"/>
    <mergeCell ref="A3:A4"/>
    <mergeCell ref="B3:B4"/>
    <mergeCell ref="C3:C4"/>
    <mergeCell ref="P3:P4"/>
  </mergeCells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U53"/>
  <sheetViews>
    <sheetView workbookViewId="0">
      <selection activeCell="D9" sqref="D9"/>
    </sheetView>
  </sheetViews>
  <sheetFormatPr defaultColWidth="3.7109375" defaultRowHeight="15" customHeight="1" x14ac:dyDescent="0.25"/>
  <cols>
    <col min="1" max="1" width="3.5703125" style="21" bestFit="1" customWidth="1"/>
    <col min="2" max="2" width="7" style="23" customWidth="1"/>
    <col min="3" max="3" width="25.42578125" style="23" customWidth="1"/>
    <col min="4" max="4" width="8.28515625" style="129" customWidth="1"/>
    <col min="5" max="15" width="8.28515625" style="119" customWidth="1"/>
    <col min="16" max="16" width="11.5703125" style="140" customWidth="1"/>
    <col min="17" max="43" width="3" style="21" customWidth="1"/>
    <col min="44" max="44" width="6.7109375" style="21" bestFit="1" customWidth="1"/>
    <col min="45" max="16384" width="3.7109375" style="21"/>
  </cols>
  <sheetData>
    <row r="1" spans="1:21" s="58" customFormat="1" ht="25.5" customHeight="1" x14ac:dyDescent="0.25">
      <c r="A1" s="191" t="s">
        <v>303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</row>
    <row r="2" spans="1:21" s="4" customFormat="1" ht="27.75" customHeight="1" x14ac:dyDescent="0.25">
      <c r="A2" s="95"/>
      <c r="B2" s="96"/>
      <c r="C2" s="117"/>
      <c r="D2" s="146"/>
      <c r="E2" s="146"/>
      <c r="F2" s="146"/>
      <c r="G2" s="146"/>
      <c r="H2" s="146"/>
      <c r="I2" s="146"/>
      <c r="J2" s="146"/>
      <c r="K2" s="146"/>
      <c r="L2" s="64"/>
      <c r="M2" s="64"/>
      <c r="N2" s="192" t="s">
        <v>294</v>
      </c>
      <c r="O2" s="192"/>
      <c r="P2" s="192"/>
      <c r="Q2" s="57"/>
      <c r="R2" s="57"/>
      <c r="S2" s="57"/>
      <c r="T2" s="57"/>
      <c r="U2" s="5"/>
    </row>
    <row r="3" spans="1:21" s="128" customFormat="1" ht="25.5" customHeight="1" x14ac:dyDescent="0.25">
      <c r="A3" s="207" t="s">
        <v>211</v>
      </c>
      <c r="B3" s="217" t="s">
        <v>249</v>
      </c>
      <c r="C3" s="207" t="s">
        <v>295</v>
      </c>
      <c r="D3" s="107">
        <v>44562</v>
      </c>
      <c r="E3" s="107">
        <v>44593</v>
      </c>
      <c r="F3" s="107">
        <v>44621</v>
      </c>
      <c r="G3" s="107">
        <v>44652</v>
      </c>
      <c r="H3" s="107">
        <v>44682</v>
      </c>
      <c r="I3" s="107">
        <v>44713</v>
      </c>
      <c r="J3" s="107">
        <v>44743</v>
      </c>
      <c r="K3" s="107">
        <v>44774</v>
      </c>
      <c r="L3" s="107">
        <v>44805</v>
      </c>
      <c r="M3" s="107">
        <v>44835</v>
      </c>
      <c r="N3" s="107">
        <v>44866</v>
      </c>
      <c r="O3" s="107">
        <v>44896</v>
      </c>
      <c r="P3" s="208" t="s">
        <v>305</v>
      </c>
    </row>
    <row r="4" spans="1:21" s="128" customFormat="1" ht="25.5" customHeight="1" x14ac:dyDescent="0.25">
      <c r="A4" s="207"/>
      <c r="B4" s="218"/>
      <c r="C4" s="207"/>
      <c r="D4" s="67" t="s">
        <v>213</v>
      </c>
      <c r="E4" s="67" t="s">
        <v>213</v>
      </c>
      <c r="F4" s="67" t="s">
        <v>213</v>
      </c>
      <c r="G4" s="67" t="s">
        <v>213</v>
      </c>
      <c r="H4" s="67" t="s">
        <v>213</v>
      </c>
      <c r="I4" s="67" t="s">
        <v>213</v>
      </c>
      <c r="J4" s="67" t="s">
        <v>213</v>
      </c>
      <c r="K4" s="67" t="s">
        <v>213</v>
      </c>
      <c r="L4" s="67" t="s">
        <v>213</v>
      </c>
      <c r="M4" s="67" t="s">
        <v>213</v>
      </c>
      <c r="N4" s="67" t="s">
        <v>213</v>
      </c>
      <c r="O4" s="67" t="s">
        <v>213</v>
      </c>
      <c r="P4" s="209"/>
    </row>
    <row r="5" spans="1:21" ht="20.100000000000001" customHeight="1" x14ac:dyDescent="0.25">
      <c r="A5" s="79">
        <v>1</v>
      </c>
      <c r="B5" s="31" t="s">
        <v>45</v>
      </c>
      <c r="C5" s="145" t="s">
        <v>46</v>
      </c>
      <c r="D5" s="22">
        <v>6608</v>
      </c>
      <c r="E5" s="22">
        <v>2925</v>
      </c>
      <c r="F5" s="22">
        <v>4725</v>
      </c>
      <c r="G5" s="22">
        <v>4605</v>
      </c>
      <c r="H5" s="22">
        <v>5680</v>
      </c>
      <c r="I5" s="22">
        <v>4745</v>
      </c>
      <c r="J5" s="22">
        <v>7515</v>
      </c>
      <c r="K5" s="22">
        <v>6635</v>
      </c>
      <c r="L5" s="22">
        <v>2940</v>
      </c>
      <c r="M5" s="22">
        <v>2440</v>
      </c>
      <c r="N5" s="22">
        <v>4190</v>
      </c>
      <c r="O5" s="22">
        <v>2460</v>
      </c>
      <c r="P5" s="41">
        <f>SUM(D5:O5)</f>
        <v>55468</v>
      </c>
    </row>
    <row r="6" spans="1:21" ht="20.100000000000001" customHeight="1" x14ac:dyDescent="0.25">
      <c r="A6" s="79">
        <v>2</v>
      </c>
      <c r="B6" s="31" t="s">
        <v>57</v>
      </c>
      <c r="C6" s="145" t="s">
        <v>58</v>
      </c>
      <c r="D6" s="22">
        <v>5370</v>
      </c>
      <c r="E6" s="22">
        <v>1525</v>
      </c>
      <c r="F6" s="22">
        <v>4540</v>
      </c>
      <c r="G6" s="22">
        <v>4255</v>
      </c>
      <c r="H6" s="22">
        <v>4845</v>
      </c>
      <c r="I6" s="22">
        <v>2825</v>
      </c>
      <c r="J6" s="22">
        <v>6810</v>
      </c>
      <c r="K6" s="22">
        <v>4380</v>
      </c>
      <c r="L6" s="22">
        <v>1950</v>
      </c>
      <c r="M6" s="22">
        <v>2240</v>
      </c>
      <c r="N6" s="22">
        <v>2680</v>
      </c>
      <c r="O6" s="22">
        <v>1900</v>
      </c>
      <c r="P6" s="41">
        <f>SUM(D6:O6)</f>
        <v>43320</v>
      </c>
    </row>
    <row r="7" spans="1:21" ht="20.100000000000001" customHeight="1" x14ac:dyDescent="0.25">
      <c r="A7" s="79">
        <v>3</v>
      </c>
      <c r="B7" s="31" t="s">
        <v>13</v>
      </c>
      <c r="C7" s="145" t="s">
        <v>14</v>
      </c>
      <c r="D7" s="22">
        <v>6825</v>
      </c>
      <c r="E7" s="22">
        <v>1960</v>
      </c>
      <c r="F7" s="22">
        <v>2930</v>
      </c>
      <c r="G7" s="22">
        <v>3910</v>
      </c>
      <c r="H7" s="22">
        <v>4810</v>
      </c>
      <c r="I7" s="22">
        <v>2450</v>
      </c>
      <c r="J7" s="22">
        <v>6180</v>
      </c>
      <c r="K7" s="22">
        <v>2890</v>
      </c>
      <c r="L7" s="22">
        <v>990</v>
      </c>
      <c r="M7" s="22">
        <v>2660</v>
      </c>
      <c r="N7" s="22">
        <v>1825</v>
      </c>
      <c r="O7" s="22">
        <v>2260</v>
      </c>
      <c r="P7" s="41">
        <f>SUM(D7:O7)</f>
        <v>39690</v>
      </c>
    </row>
    <row r="8" spans="1:21" ht="20.100000000000001" customHeight="1" x14ac:dyDescent="0.25">
      <c r="A8" s="79">
        <v>4</v>
      </c>
      <c r="B8" s="31" t="s">
        <v>23</v>
      </c>
      <c r="C8" s="145" t="s">
        <v>24</v>
      </c>
      <c r="D8" s="22">
        <v>3666</v>
      </c>
      <c r="E8" s="22">
        <v>2165</v>
      </c>
      <c r="F8" s="22">
        <v>3730</v>
      </c>
      <c r="G8" s="22">
        <v>3790</v>
      </c>
      <c r="H8" s="22">
        <v>4070</v>
      </c>
      <c r="I8" s="22">
        <v>2190</v>
      </c>
      <c r="J8" s="22">
        <v>4715</v>
      </c>
      <c r="K8" s="22">
        <v>6075</v>
      </c>
      <c r="L8" s="22">
        <v>1810</v>
      </c>
      <c r="M8" s="22">
        <v>1710</v>
      </c>
      <c r="N8" s="22">
        <v>2090</v>
      </c>
      <c r="O8" s="22">
        <v>1660</v>
      </c>
      <c r="P8" s="41">
        <f>SUM(D8:O8)</f>
        <v>37671</v>
      </c>
    </row>
    <row r="9" spans="1:21" ht="20.100000000000001" customHeight="1" x14ac:dyDescent="0.25">
      <c r="A9" s="79">
        <v>5</v>
      </c>
      <c r="B9" s="31" t="s">
        <v>51</v>
      </c>
      <c r="C9" s="145" t="s">
        <v>52</v>
      </c>
      <c r="D9" s="22">
        <v>5754</v>
      </c>
      <c r="E9" s="22">
        <v>1200</v>
      </c>
      <c r="F9" s="22">
        <v>2470</v>
      </c>
      <c r="G9" s="22">
        <v>2340</v>
      </c>
      <c r="H9" s="22">
        <v>4685</v>
      </c>
      <c r="I9" s="22">
        <v>4855</v>
      </c>
      <c r="J9" s="22">
        <v>5890</v>
      </c>
      <c r="K9" s="22">
        <v>4790</v>
      </c>
      <c r="L9" s="22">
        <v>1160</v>
      </c>
      <c r="M9" s="22">
        <v>1600</v>
      </c>
      <c r="N9" s="22">
        <v>980</v>
      </c>
      <c r="O9" s="22">
        <v>1840</v>
      </c>
      <c r="P9" s="41">
        <f>SUM(D9:O9)</f>
        <v>37564</v>
      </c>
    </row>
    <row r="10" spans="1:21" ht="20.100000000000001" customHeight="1" x14ac:dyDescent="0.25">
      <c r="A10" s="79">
        <v>6</v>
      </c>
      <c r="B10" s="31" t="s">
        <v>49</v>
      </c>
      <c r="C10" s="145" t="s">
        <v>50</v>
      </c>
      <c r="D10" s="22">
        <v>2474</v>
      </c>
      <c r="E10" s="22">
        <v>1420</v>
      </c>
      <c r="F10" s="22">
        <v>2790</v>
      </c>
      <c r="G10" s="22">
        <v>1630</v>
      </c>
      <c r="H10" s="22">
        <v>1795</v>
      </c>
      <c r="I10" s="22">
        <v>2825</v>
      </c>
      <c r="J10" s="22">
        <v>3205</v>
      </c>
      <c r="K10" s="22">
        <v>3089</v>
      </c>
      <c r="L10" s="22">
        <v>450</v>
      </c>
      <c r="M10" s="22">
        <v>1300</v>
      </c>
      <c r="N10" s="22">
        <v>2640</v>
      </c>
      <c r="O10" s="22">
        <v>2831</v>
      </c>
      <c r="P10" s="41">
        <f>SUM(D10:O10)</f>
        <v>26449</v>
      </c>
    </row>
    <row r="11" spans="1:21" ht="20.100000000000001" customHeight="1" x14ac:dyDescent="0.25">
      <c r="A11" s="79">
        <v>7</v>
      </c>
      <c r="B11" s="31" t="s">
        <v>43</v>
      </c>
      <c r="C11" s="145" t="s">
        <v>44</v>
      </c>
      <c r="D11" s="22">
        <v>2934</v>
      </c>
      <c r="E11" s="22">
        <v>1070</v>
      </c>
      <c r="F11" s="22">
        <v>2805</v>
      </c>
      <c r="G11" s="22">
        <v>3205</v>
      </c>
      <c r="H11" s="22">
        <v>2250</v>
      </c>
      <c r="I11" s="22">
        <v>1935</v>
      </c>
      <c r="J11" s="22">
        <v>3045</v>
      </c>
      <c r="K11" s="22">
        <v>3325</v>
      </c>
      <c r="L11" s="22">
        <v>940</v>
      </c>
      <c r="M11" s="22">
        <v>910</v>
      </c>
      <c r="N11" s="22">
        <v>2300</v>
      </c>
      <c r="O11" s="22">
        <v>990</v>
      </c>
      <c r="P11" s="41">
        <f>SUM(D11:O11)</f>
        <v>25709</v>
      </c>
    </row>
    <row r="12" spans="1:21" ht="20.100000000000001" customHeight="1" x14ac:dyDescent="0.25">
      <c r="A12" s="79">
        <v>8</v>
      </c>
      <c r="B12" s="31" t="s">
        <v>55</v>
      </c>
      <c r="C12" s="145" t="s">
        <v>56</v>
      </c>
      <c r="D12" s="22">
        <v>2744</v>
      </c>
      <c r="E12" s="22">
        <v>970</v>
      </c>
      <c r="F12" s="22">
        <v>3060</v>
      </c>
      <c r="G12" s="22">
        <v>1940</v>
      </c>
      <c r="H12" s="22">
        <v>2795</v>
      </c>
      <c r="I12" s="22">
        <v>3595</v>
      </c>
      <c r="J12" s="22">
        <v>3570</v>
      </c>
      <c r="K12" s="22">
        <v>1850</v>
      </c>
      <c r="L12" s="22">
        <v>160</v>
      </c>
      <c r="M12" s="22">
        <v>740</v>
      </c>
      <c r="N12" s="22">
        <v>1220</v>
      </c>
      <c r="O12" s="22">
        <v>850</v>
      </c>
      <c r="P12" s="41">
        <f>SUM(D12:O12)</f>
        <v>23494</v>
      </c>
    </row>
    <row r="13" spans="1:21" ht="20.100000000000001" customHeight="1" x14ac:dyDescent="0.25">
      <c r="A13" s="79">
        <v>9</v>
      </c>
      <c r="B13" s="31" t="s">
        <v>27</v>
      </c>
      <c r="C13" s="145" t="s">
        <v>28</v>
      </c>
      <c r="D13" s="22">
        <v>3126</v>
      </c>
      <c r="E13" s="22">
        <v>630</v>
      </c>
      <c r="F13" s="22">
        <v>2380</v>
      </c>
      <c r="G13" s="22">
        <v>1660</v>
      </c>
      <c r="H13" s="22">
        <v>2430</v>
      </c>
      <c r="I13" s="22">
        <v>1770</v>
      </c>
      <c r="J13" s="22">
        <v>3130</v>
      </c>
      <c r="K13" s="22">
        <v>2250</v>
      </c>
      <c r="L13" s="22">
        <v>680</v>
      </c>
      <c r="M13" s="22">
        <v>2070</v>
      </c>
      <c r="N13" s="22">
        <v>860</v>
      </c>
      <c r="O13" s="22">
        <v>1530</v>
      </c>
      <c r="P13" s="41">
        <f>SUM(D13:O13)</f>
        <v>22516</v>
      </c>
    </row>
    <row r="14" spans="1:21" ht="20.100000000000001" customHeight="1" x14ac:dyDescent="0.25">
      <c r="A14" s="79">
        <v>10</v>
      </c>
      <c r="B14" s="31" t="s">
        <v>17</v>
      </c>
      <c r="C14" s="145" t="s">
        <v>18</v>
      </c>
      <c r="D14" s="22">
        <v>2430</v>
      </c>
      <c r="E14" s="22">
        <v>1240</v>
      </c>
      <c r="F14" s="22">
        <v>1470</v>
      </c>
      <c r="G14" s="22">
        <v>2230</v>
      </c>
      <c r="H14" s="22">
        <v>1500</v>
      </c>
      <c r="I14" s="22">
        <v>1850</v>
      </c>
      <c r="J14" s="22">
        <v>3035</v>
      </c>
      <c r="K14" s="22">
        <v>2745</v>
      </c>
      <c r="L14" s="22">
        <v>710</v>
      </c>
      <c r="M14" s="22">
        <v>1560</v>
      </c>
      <c r="N14" s="22">
        <v>1700</v>
      </c>
      <c r="O14" s="22">
        <v>1130</v>
      </c>
      <c r="P14" s="41">
        <f>SUM(D14:O14)</f>
        <v>21600</v>
      </c>
    </row>
    <row r="15" spans="1:21" ht="20.100000000000001" customHeight="1" x14ac:dyDescent="0.25">
      <c r="A15" s="79">
        <v>11</v>
      </c>
      <c r="B15" s="31" t="s">
        <v>7</v>
      </c>
      <c r="C15" s="145" t="s">
        <v>8</v>
      </c>
      <c r="D15" s="22">
        <v>1760</v>
      </c>
      <c r="E15" s="22">
        <v>1500</v>
      </c>
      <c r="F15" s="22">
        <v>1640</v>
      </c>
      <c r="G15" s="22">
        <v>1420</v>
      </c>
      <c r="H15" s="22">
        <v>1410</v>
      </c>
      <c r="I15" s="22">
        <v>685</v>
      </c>
      <c r="J15" s="22">
        <v>3595</v>
      </c>
      <c r="K15" s="22">
        <v>1560</v>
      </c>
      <c r="L15" s="22">
        <v>550</v>
      </c>
      <c r="M15" s="22">
        <v>780</v>
      </c>
      <c r="N15" s="22">
        <v>1140</v>
      </c>
      <c r="O15" s="22">
        <v>585</v>
      </c>
      <c r="P15" s="41">
        <f>SUM(D15:O15)</f>
        <v>16625</v>
      </c>
    </row>
    <row r="16" spans="1:21" ht="20.100000000000001" customHeight="1" x14ac:dyDescent="0.25">
      <c r="A16" s="79">
        <v>12</v>
      </c>
      <c r="B16" s="31" t="s">
        <v>47</v>
      </c>
      <c r="C16" s="145" t="s">
        <v>48</v>
      </c>
      <c r="D16" s="22">
        <v>1530</v>
      </c>
      <c r="E16" s="22">
        <v>690</v>
      </c>
      <c r="F16" s="22">
        <v>1540</v>
      </c>
      <c r="G16" s="22">
        <v>1740</v>
      </c>
      <c r="H16" s="22">
        <v>1480</v>
      </c>
      <c r="I16" s="22">
        <v>1530</v>
      </c>
      <c r="J16" s="22">
        <v>2850</v>
      </c>
      <c r="K16" s="22">
        <v>800</v>
      </c>
      <c r="L16" s="22">
        <v>670</v>
      </c>
      <c r="M16" s="22">
        <v>1370</v>
      </c>
      <c r="N16" s="22">
        <v>1460</v>
      </c>
      <c r="O16" s="22">
        <v>870</v>
      </c>
      <c r="P16" s="41">
        <f>SUM(D16:O16)</f>
        <v>16530</v>
      </c>
    </row>
    <row r="17" spans="1:16" ht="20.100000000000001" customHeight="1" x14ac:dyDescent="0.25">
      <c r="A17" s="79">
        <v>13</v>
      </c>
      <c r="B17" s="31" t="s">
        <v>21</v>
      </c>
      <c r="C17" s="145" t="s">
        <v>22</v>
      </c>
      <c r="D17" s="22">
        <v>930</v>
      </c>
      <c r="E17" s="22">
        <v>170</v>
      </c>
      <c r="F17" s="22">
        <v>1640</v>
      </c>
      <c r="G17" s="22">
        <v>1700</v>
      </c>
      <c r="H17" s="22">
        <v>2480</v>
      </c>
      <c r="I17" s="22">
        <v>4120</v>
      </c>
      <c r="J17" s="22">
        <v>1830</v>
      </c>
      <c r="K17" s="22">
        <v>450</v>
      </c>
      <c r="L17" s="22">
        <v>110</v>
      </c>
      <c r="M17" s="22">
        <v>950</v>
      </c>
      <c r="N17" s="22">
        <v>330</v>
      </c>
      <c r="O17" s="22">
        <v>610</v>
      </c>
      <c r="P17" s="41">
        <f>SUM(D17:O17)</f>
        <v>15320</v>
      </c>
    </row>
    <row r="18" spans="1:16" ht="20.100000000000001" customHeight="1" x14ac:dyDescent="0.25">
      <c r="A18" s="79">
        <v>14</v>
      </c>
      <c r="B18" s="31" t="s">
        <v>15</v>
      </c>
      <c r="C18" s="145" t="s">
        <v>16</v>
      </c>
      <c r="D18" s="22">
        <v>1234</v>
      </c>
      <c r="E18" s="22">
        <v>870</v>
      </c>
      <c r="F18" s="22">
        <v>1360</v>
      </c>
      <c r="G18" s="22">
        <v>930</v>
      </c>
      <c r="H18" s="22">
        <v>1150</v>
      </c>
      <c r="I18" s="22">
        <v>1470</v>
      </c>
      <c r="J18" s="22">
        <v>2150</v>
      </c>
      <c r="K18" s="22">
        <v>1040</v>
      </c>
      <c r="L18" s="22">
        <v>680</v>
      </c>
      <c r="M18" s="22">
        <v>460</v>
      </c>
      <c r="N18" s="22">
        <v>1120</v>
      </c>
      <c r="O18" s="22">
        <v>1590</v>
      </c>
      <c r="P18" s="41">
        <f>SUM(D18:O18)</f>
        <v>14054</v>
      </c>
    </row>
    <row r="19" spans="1:16" ht="20.100000000000001" customHeight="1" x14ac:dyDescent="0.25">
      <c r="A19" s="79">
        <v>15</v>
      </c>
      <c r="B19" s="31" t="s">
        <v>33</v>
      </c>
      <c r="C19" s="145" t="s">
        <v>34</v>
      </c>
      <c r="D19" s="22">
        <v>1097</v>
      </c>
      <c r="E19" s="22">
        <v>890</v>
      </c>
      <c r="F19" s="22">
        <v>1710</v>
      </c>
      <c r="G19" s="22">
        <v>260</v>
      </c>
      <c r="H19" s="22">
        <v>1470</v>
      </c>
      <c r="I19" s="22">
        <v>915</v>
      </c>
      <c r="J19" s="22">
        <v>1620</v>
      </c>
      <c r="K19" s="22">
        <v>1210</v>
      </c>
      <c r="L19" s="22">
        <v>460</v>
      </c>
      <c r="M19" s="22">
        <v>610</v>
      </c>
      <c r="N19" s="22">
        <v>730</v>
      </c>
      <c r="O19" s="22">
        <v>605</v>
      </c>
      <c r="P19" s="41">
        <f>SUM(D19:O19)</f>
        <v>11577</v>
      </c>
    </row>
    <row r="20" spans="1:16" ht="20.100000000000001" customHeight="1" x14ac:dyDescent="0.25">
      <c r="A20" s="79">
        <v>16</v>
      </c>
      <c r="B20" s="31" t="s">
        <v>35</v>
      </c>
      <c r="C20" s="145" t="s">
        <v>36</v>
      </c>
      <c r="D20" s="22">
        <v>1526</v>
      </c>
      <c r="E20" s="22">
        <v>680</v>
      </c>
      <c r="F20" s="22">
        <v>1110</v>
      </c>
      <c r="G20" s="22">
        <v>300</v>
      </c>
      <c r="H20" s="22">
        <v>530</v>
      </c>
      <c r="I20" s="22">
        <v>1655</v>
      </c>
      <c r="J20" s="22">
        <v>1780</v>
      </c>
      <c r="K20" s="22">
        <v>1430</v>
      </c>
      <c r="L20" s="22">
        <v>450</v>
      </c>
      <c r="M20" s="22">
        <v>440</v>
      </c>
      <c r="N20" s="22">
        <v>590</v>
      </c>
      <c r="O20" s="22">
        <v>155</v>
      </c>
      <c r="P20" s="41">
        <f>SUM(D20:O20)</f>
        <v>10646</v>
      </c>
    </row>
    <row r="21" spans="1:16" ht="20.100000000000001" customHeight="1" x14ac:dyDescent="0.25">
      <c r="A21" s="79">
        <v>17</v>
      </c>
      <c r="B21" s="31" t="s">
        <v>9</v>
      </c>
      <c r="C21" s="145" t="s">
        <v>10</v>
      </c>
      <c r="D21" s="22">
        <v>1472</v>
      </c>
      <c r="E21" s="22">
        <v>180</v>
      </c>
      <c r="F21" s="22">
        <v>850</v>
      </c>
      <c r="G21" s="22">
        <v>960</v>
      </c>
      <c r="H21" s="22">
        <v>650</v>
      </c>
      <c r="I21" s="22">
        <v>870</v>
      </c>
      <c r="J21" s="22">
        <v>1580</v>
      </c>
      <c r="K21" s="22">
        <v>490</v>
      </c>
      <c r="L21" s="22">
        <v>460</v>
      </c>
      <c r="M21" s="22">
        <v>290</v>
      </c>
      <c r="N21" s="22">
        <v>960</v>
      </c>
      <c r="O21" s="22">
        <v>560</v>
      </c>
      <c r="P21" s="41">
        <f>SUM(D21:O21)</f>
        <v>9322</v>
      </c>
    </row>
    <row r="22" spans="1:16" ht="20.100000000000001" customHeight="1" x14ac:dyDescent="0.25">
      <c r="A22" s="79">
        <v>18</v>
      </c>
      <c r="B22" s="31" t="s">
        <v>61</v>
      </c>
      <c r="C22" s="145" t="s">
        <v>62</v>
      </c>
      <c r="D22" s="22">
        <v>992</v>
      </c>
      <c r="E22" s="22">
        <v>210</v>
      </c>
      <c r="F22" s="22">
        <v>870</v>
      </c>
      <c r="G22" s="22">
        <v>600</v>
      </c>
      <c r="H22" s="22">
        <v>1155</v>
      </c>
      <c r="I22" s="22">
        <v>1040</v>
      </c>
      <c r="J22" s="22">
        <v>1375</v>
      </c>
      <c r="K22" s="22">
        <v>910</v>
      </c>
      <c r="L22" s="22">
        <v>70</v>
      </c>
      <c r="M22" s="22">
        <v>160</v>
      </c>
      <c r="N22" s="22">
        <v>690</v>
      </c>
      <c r="O22" s="22">
        <v>40</v>
      </c>
      <c r="P22" s="41">
        <f>SUM(D22:O22)</f>
        <v>8112</v>
      </c>
    </row>
    <row r="23" spans="1:16" ht="20.100000000000001" customHeight="1" x14ac:dyDescent="0.25">
      <c r="A23" s="79">
        <v>19</v>
      </c>
      <c r="B23" s="31" t="s">
        <v>25</v>
      </c>
      <c r="C23" s="145" t="s">
        <v>26</v>
      </c>
      <c r="D23" s="22">
        <v>714</v>
      </c>
      <c r="E23" s="22">
        <v>670</v>
      </c>
      <c r="F23" s="22">
        <v>860</v>
      </c>
      <c r="G23" s="22">
        <v>1130</v>
      </c>
      <c r="H23" s="22">
        <v>1070</v>
      </c>
      <c r="I23" s="22">
        <v>130</v>
      </c>
      <c r="J23" s="22">
        <v>1375</v>
      </c>
      <c r="K23" s="22">
        <v>370</v>
      </c>
      <c r="L23" s="22">
        <v>250</v>
      </c>
      <c r="M23" s="22">
        <v>170</v>
      </c>
      <c r="N23" s="22">
        <v>480</v>
      </c>
      <c r="O23" s="22">
        <v>170</v>
      </c>
      <c r="P23" s="41">
        <f>SUM(D23:O23)</f>
        <v>7389</v>
      </c>
    </row>
    <row r="24" spans="1:16" ht="20.100000000000001" customHeight="1" x14ac:dyDescent="0.25">
      <c r="A24" s="79">
        <v>20</v>
      </c>
      <c r="B24" s="31" t="s">
        <v>29</v>
      </c>
      <c r="C24" s="145" t="s">
        <v>30</v>
      </c>
      <c r="D24" s="22">
        <v>847</v>
      </c>
      <c r="E24" s="22">
        <v>200</v>
      </c>
      <c r="F24" s="22">
        <v>320</v>
      </c>
      <c r="G24" s="22">
        <v>490</v>
      </c>
      <c r="H24" s="22">
        <v>330</v>
      </c>
      <c r="I24" s="22">
        <v>375</v>
      </c>
      <c r="J24" s="22">
        <v>1090</v>
      </c>
      <c r="K24" s="22">
        <v>340</v>
      </c>
      <c r="L24" s="22">
        <v>430</v>
      </c>
      <c r="M24" s="22">
        <v>250</v>
      </c>
      <c r="N24" s="22">
        <v>280</v>
      </c>
      <c r="O24" s="22">
        <v>460</v>
      </c>
      <c r="P24" s="41">
        <f>SUM(D24:O24)</f>
        <v>5412</v>
      </c>
    </row>
    <row r="25" spans="1:16" ht="20.100000000000001" customHeight="1" x14ac:dyDescent="0.25">
      <c r="A25" s="79">
        <v>21</v>
      </c>
      <c r="B25" s="31" t="s">
        <v>31</v>
      </c>
      <c r="C25" s="145" t="s">
        <v>32</v>
      </c>
      <c r="D25" s="22">
        <v>1735</v>
      </c>
      <c r="E25" s="22">
        <v>820</v>
      </c>
      <c r="F25" s="22">
        <v>750</v>
      </c>
      <c r="G25" s="22">
        <v>530</v>
      </c>
      <c r="H25" s="22"/>
      <c r="I25" s="22">
        <v>5</v>
      </c>
      <c r="J25" s="22">
        <v>380</v>
      </c>
      <c r="K25" s="22">
        <v>200</v>
      </c>
      <c r="L25" s="22">
        <v>250</v>
      </c>
      <c r="M25" s="22">
        <v>220</v>
      </c>
      <c r="N25" s="22">
        <v>120</v>
      </c>
      <c r="O25" s="22">
        <v>205</v>
      </c>
      <c r="P25" s="41">
        <f>SUM(D25:O25)</f>
        <v>5215</v>
      </c>
    </row>
    <row r="26" spans="1:16" ht="20.100000000000001" customHeight="1" x14ac:dyDescent="0.25">
      <c r="A26" s="79">
        <v>22</v>
      </c>
      <c r="B26" s="31" t="s">
        <v>1</v>
      </c>
      <c r="C26" s="145" t="s">
        <v>2</v>
      </c>
      <c r="D26" s="22">
        <v>330</v>
      </c>
      <c r="E26" s="22">
        <v>550</v>
      </c>
      <c r="F26" s="22">
        <v>690</v>
      </c>
      <c r="G26" s="22">
        <v>610</v>
      </c>
      <c r="H26" s="22">
        <v>600</v>
      </c>
      <c r="I26" s="22">
        <v>395</v>
      </c>
      <c r="J26" s="22">
        <v>720</v>
      </c>
      <c r="K26" s="22">
        <v>350</v>
      </c>
      <c r="L26" s="22">
        <v>130</v>
      </c>
      <c r="M26" s="22">
        <v>200</v>
      </c>
      <c r="N26" s="22">
        <v>340</v>
      </c>
      <c r="O26" s="22">
        <v>210</v>
      </c>
      <c r="P26" s="41">
        <f>SUM(D26:O26)</f>
        <v>5125</v>
      </c>
    </row>
    <row r="27" spans="1:16" ht="20.100000000000001" customHeight="1" x14ac:dyDescent="0.25">
      <c r="A27" s="79">
        <v>23</v>
      </c>
      <c r="B27" s="31" t="s">
        <v>11</v>
      </c>
      <c r="C27" s="145" t="s">
        <v>12</v>
      </c>
      <c r="D27" s="22">
        <v>515</v>
      </c>
      <c r="E27" s="22">
        <v>210</v>
      </c>
      <c r="F27" s="22">
        <v>670</v>
      </c>
      <c r="G27" s="22">
        <v>450</v>
      </c>
      <c r="H27" s="22">
        <v>910</v>
      </c>
      <c r="I27" s="22">
        <v>130</v>
      </c>
      <c r="J27" s="22">
        <v>710</v>
      </c>
      <c r="K27" s="22">
        <v>420</v>
      </c>
      <c r="L27" s="22">
        <v>90</v>
      </c>
      <c r="M27" s="22">
        <v>200</v>
      </c>
      <c r="N27" s="22">
        <v>490</v>
      </c>
      <c r="O27" s="22">
        <v>160</v>
      </c>
      <c r="P27" s="41">
        <f>SUM(D27:O27)</f>
        <v>4955</v>
      </c>
    </row>
    <row r="28" spans="1:16" ht="20.100000000000001" customHeight="1" x14ac:dyDescent="0.25">
      <c r="A28" s="79">
        <v>24</v>
      </c>
      <c r="B28" s="31" t="s">
        <v>53</v>
      </c>
      <c r="C28" s="145" t="s">
        <v>54</v>
      </c>
      <c r="D28" s="22">
        <v>315</v>
      </c>
      <c r="E28" s="22">
        <v>100</v>
      </c>
      <c r="F28" s="22">
        <v>950</v>
      </c>
      <c r="G28" s="22">
        <v>560</v>
      </c>
      <c r="H28" s="22">
        <v>730</v>
      </c>
      <c r="I28" s="22">
        <v>1330</v>
      </c>
      <c r="J28" s="22">
        <v>560</v>
      </c>
      <c r="K28" s="22">
        <v>130</v>
      </c>
      <c r="L28" s="22">
        <v>60</v>
      </c>
      <c r="M28" s="22">
        <v>20</v>
      </c>
      <c r="N28" s="22">
        <v>60</v>
      </c>
      <c r="O28" s="22">
        <v>100</v>
      </c>
      <c r="P28" s="41">
        <f>SUM(D28:O28)</f>
        <v>4915</v>
      </c>
    </row>
    <row r="29" spans="1:16" ht="20.100000000000001" customHeight="1" x14ac:dyDescent="0.25">
      <c r="A29" s="79">
        <v>25</v>
      </c>
      <c r="B29" s="31" t="s">
        <v>5</v>
      </c>
      <c r="C29" s="145" t="s">
        <v>6</v>
      </c>
      <c r="D29" s="22">
        <v>289</v>
      </c>
      <c r="E29" s="22">
        <v>130</v>
      </c>
      <c r="F29" s="22">
        <v>640</v>
      </c>
      <c r="G29" s="22">
        <v>640</v>
      </c>
      <c r="H29" s="22">
        <v>490</v>
      </c>
      <c r="I29" s="22">
        <v>210</v>
      </c>
      <c r="J29" s="22">
        <v>860</v>
      </c>
      <c r="K29" s="22">
        <v>350</v>
      </c>
      <c r="L29" s="22">
        <v>390</v>
      </c>
      <c r="M29" s="22">
        <v>170</v>
      </c>
      <c r="N29" s="22">
        <v>165</v>
      </c>
      <c r="O29" s="22">
        <v>55</v>
      </c>
      <c r="P29" s="41">
        <f>SUM(D29:O29)</f>
        <v>4389</v>
      </c>
    </row>
    <row r="30" spans="1:16" ht="20.100000000000001" customHeight="1" x14ac:dyDescent="0.25">
      <c r="A30" s="79">
        <v>26</v>
      </c>
      <c r="B30" s="31" t="s">
        <v>63</v>
      </c>
      <c r="C30" s="145" t="s">
        <v>64</v>
      </c>
      <c r="D30" s="22">
        <v>218</v>
      </c>
      <c r="E30" s="22">
        <v>100</v>
      </c>
      <c r="F30" s="22">
        <v>660</v>
      </c>
      <c r="G30" s="22">
        <v>310</v>
      </c>
      <c r="H30" s="22">
        <v>335</v>
      </c>
      <c r="I30" s="22">
        <v>190</v>
      </c>
      <c r="J30" s="22">
        <v>90</v>
      </c>
      <c r="K30" s="22">
        <v>690</v>
      </c>
      <c r="L30" s="22">
        <v>345</v>
      </c>
      <c r="M30" s="22">
        <v>540</v>
      </c>
      <c r="N30" s="22">
        <v>500</v>
      </c>
      <c r="O30" s="22">
        <v>250</v>
      </c>
      <c r="P30" s="41">
        <f>SUM(D30:O30)</f>
        <v>4228</v>
      </c>
    </row>
    <row r="31" spans="1:16" ht="20.100000000000001" customHeight="1" x14ac:dyDescent="0.25">
      <c r="A31" s="79">
        <v>27</v>
      </c>
      <c r="B31" s="31" t="s">
        <v>39</v>
      </c>
      <c r="C31" s="145" t="s">
        <v>40</v>
      </c>
      <c r="D31" s="22">
        <v>350</v>
      </c>
      <c r="E31" s="22">
        <v>300</v>
      </c>
      <c r="F31" s="22"/>
      <c r="G31" s="22">
        <v>200</v>
      </c>
      <c r="H31" s="22">
        <v>150</v>
      </c>
      <c r="I31" s="22">
        <v>640</v>
      </c>
      <c r="J31" s="22">
        <v>670</v>
      </c>
      <c r="K31" s="22">
        <v>200</v>
      </c>
      <c r="L31" s="22">
        <v>40</v>
      </c>
      <c r="M31" s="22"/>
      <c r="N31" s="22">
        <v>800</v>
      </c>
      <c r="O31" s="22">
        <v>505</v>
      </c>
      <c r="P31" s="41">
        <f>SUM(D31:O31)</f>
        <v>3855</v>
      </c>
    </row>
    <row r="32" spans="1:16" ht="20.100000000000001" customHeight="1" x14ac:dyDescent="0.25">
      <c r="A32" s="79">
        <v>28</v>
      </c>
      <c r="B32" s="31" t="s">
        <v>59</v>
      </c>
      <c r="C32" s="145" t="s">
        <v>60</v>
      </c>
      <c r="D32" s="22">
        <v>337</v>
      </c>
      <c r="E32" s="22">
        <v>120</v>
      </c>
      <c r="F32" s="22">
        <v>470</v>
      </c>
      <c r="G32" s="22">
        <v>280</v>
      </c>
      <c r="H32" s="22">
        <v>320</v>
      </c>
      <c r="I32" s="22">
        <v>550</v>
      </c>
      <c r="J32" s="22">
        <v>690</v>
      </c>
      <c r="K32" s="22">
        <v>130</v>
      </c>
      <c r="L32" s="22">
        <v>330</v>
      </c>
      <c r="M32" s="22">
        <v>90</v>
      </c>
      <c r="N32" s="22">
        <v>80</v>
      </c>
      <c r="O32" s="22">
        <v>160</v>
      </c>
      <c r="P32" s="41">
        <f>SUM(D32:O32)</f>
        <v>3557</v>
      </c>
    </row>
    <row r="33" spans="1:16" ht="20.100000000000001" customHeight="1" x14ac:dyDescent="0.25">
      <c r="A33" s="79">
        <v>29</v>
      </c>
      <c r="B33" s="31" t="s">
        <v>65</v>
      </c>
      <c r="C33" s="145" t="s">
        <v>66</v>
      </c>
      <c r="D33" s="22">
        <v>7</v>
      </c>
      <c r="E33" s="22"/>
      <c r="F33" s="22"/>
      <c r="G33" s="22"/>
      <c r="H33" s="22">
        <v>310</v>
      </c>
      <c r="I33" s="22">
        <v>450</v>
      </c>
      <c r="J33" s="22">
        <v>90</v>
      </c>
      <c r="K33" s="22">
        <v>570</v>
      </c>
      <c r="L33" s="22">
        <v>395</v>
      </c>
      <c r="M33" s="22">
        <v>500</v>
      </c>
      <c r="N33" s="22">
        <v>480</v>
      </c>
      <c r="O33" s="22">
        <v>740</v>
      </c>
      <c r="P33" s="41">
        <f>SUM(D33:O33)</f>
        <v>3542</v>
      </c>
    </row>
    <row r="34" spans="1:16" ht="20.100000000000001" customHeight="1" x14ac:dyDescent="0.25">
      <c r="A34" s="79">
        <v>30</v>
      </c>
      <c r="B34" s="31" t="s">
        <v>73</v>
      </c>
      <c r="C34" s="145" t="s">
        <v>74</v>
      </c>
      <c r="D34" s="22">
        <v>295</v>
      </c>
      <c r="E34" s="22">
        <v>1150</v>
      </c>
      <c r="F34" s="22">
        <v>590</v>
      </c>
      <c r="G34" s="22">
        <v>650</v>
      </c>
      <c r="H34" s="22">
        <v>100</v>
      </c>
      <c r="I34" s="22">
        <v>310</v>
      </c>
      <c r="J34" s="22">
        <v>25</v>
      </c>
      <c r="K34" s="22">
        <v>40</v>
      </c>
      <c r="L34" s="22">
        <v>40</v>
      </c>
      <c r="M34" s="22">
        <v>10</v>
      </c>
      <c r="N34" s="22">
        <v>160</v>
      </c>
      <c r="O34" s="22">
        <v>110</v>
      </c>
      <c r="P34" s="41">
        <f>SUM(D34:O34)</f>
        <v>3480</v>
      </c>
    </row>
    <row r="35" spans="1:16" ht="20.100000000000001" customHeight="1" x14ac:dyDescent="0.25">
      <c r="A35" s="79">
        <v>31</v>
      </c>
      <c r="B35" s="31" t="s">
        <v>37</v>
      </c>
      <c r="C35" s="145" t="s">
        <v>38</v>
      </c>
      <c r="D35" s="22">
        <v>802</v>
      </c>
      <c r="E35" s="22">
        <v>710</v>
      </c>
      <c r="F35" s="22">
        <v>850</v>
      </c>
      <c r="G35" s="22"/>
      <c r="H35" s="22">
        <v>70</v>
      </c>
      <c r="I35" s="22">
        <v>10</v>
      </c>
      <c r="J35" s="22"/>
      <c r="K35" s="22"/>
      <c r="L35" s="22"/>
      <c r="M35" s="22"/>
      <c r="N35" s="22">
        <v>30</v>
      </c>
      <c r="O35" s="22"/>
      <c r="P35" s="41">
        <f>SUM(D35:O35)</f>
        <v>2472</v>
      </c>
    </row>
    <row r="36" spans="1:16" ht="20.100000000000001" customHeight="1" x14ac:dyDescent="0.25">
      <c r="A36" s="79">
        <v>32</v>
      </c>
      <c r="B36" s="31" t="s">
        <v>69</v>
      </c>
      <c r="C36" s="145" t="s">
        <v>70</v>
      </c>
      <c r="D36" s="22">
        <v>246</v>
      </c>
      <c r="E36" s="22">
        <v>40</v>
      </c>
      <c r="F36" s="22"/>
      <c r="G36" s="22"/>
      <c r="H36" s="22">
        <v>15</v>
      </c>
      <c r="I36" s="22"/>
      <c r="J36" s="22">
        <v>270</v>
      </c>
      <c r="K36" s="22">
        <v>705</v>
      </c>
      <c r="L36" s="22">
        <v>110</v>
      </c>
      <c r="M36" s="22">
        <v>160</v>
      </c>
      <c r="N36" s="22">
        <v>320</v>
      </c>
      <c r="O36" s="22">
        <v>190</v>
      </c>
      <c r="P36" s="41">
        <f>SUM(D36:O36)</f>
        <v>2056</v>
      </c>
    </row>
    <row r="37" spans="1:16" ht="20.100000000000001" customHeight="1" x14ac:dyDescent="0.25">
      <c r="A37" s="79">
        <v>33</v>
      </c>
      <c r="B37" s="31" t="s">
        <v>3</v>
      </c>
      <c r="C37" s="145" t="s">
        <v>4</v>
      </c>
      <c r="D37" s="22">
        <v>287</v>
      </c>
      <c r="E37" s="22">
        <v>60</v>
      </c>
      <c r="F37" s="22">
        <v>150</v>
      </c>
      <c r="G37" s="22">
        <v>330</v>
      </c>
      <c r="H37" s="22">
        <v>120</v>
      </c>
      <c r="I37" s="22">
        <v>160</v>
      </c>
      <c r="J37" s="22">
        <v>180</v>
      </c>
      <c r="K37" s="22">
        <v>110</v>
      </c>
      <c r="L37" s="22">
        <v>60</v>
      </c>
      <c r="M37" s="22">
        <v>40</v>
      </c>
      <c r="N37" s="22">
        <v>180</v>
      </c>
      <c r="O37" s="22">
        <v>140</v>
      </c>
      <c r="P37" s="41">
        <f>SUM(D37:O37)</f>
        <v>1817</v>
      </c>
    </row>
    <row r="38" spans="1:16" ht="20.100000000000001" customHeight="1" x14ac:dyDescent="0.25">
      <c r="A38" s="79">
        <v>34</v>
      </c>
      <c r="B38" s="31" t="s">
        <v>67</v>
      </c>
      <c r="C38" s="145" t="s">
        <v>68</v>
      </c>
      <c r="D38" s="22">
        <v>206</v>
      </c>
      <c r="E38" s="22">
        <v>50</v>
      </c>
      <c r="F38" s="22">
        <v>20</v>
      </c>
      <c r="G38" s="22">
        <v>140</v>
      </c>
      <c r="H38" s="22">
        <v>160</v>
      </c>
      <c r="I38" s="22">
        <v>270</v>
      </c>
      <c r="J38" s="22">
        <v>50</v>
      </c>
      <c r="K38" s="22">
        <v>270</v>
      </c>
      <c r="L38" s="22">
        <v>210</v>
      </c>
      <c r="M38" s="22">
        <v>70</v>
      </c>
      <c r="N38" s="22">
        <v>190</v>
      </c>
      <c r="O38" s="22">
        <v>160</v>
      </c>
      <c r="P38" s="41">
        <f>SUM(D38:O38)</f>
        <v>1796</v>
      </c>
    </row>
    <row r="39" spans="1:16" ht="20.100000000000001" customHeight="1" x14ac:dyDescent="0.25">
      <c r="A39" s="79">
        <v>35</v>
      </c>
      <c r="B39" s="31" t="s">
        <v>71</v>
      </c>
      <c r="C39" s="145" t="s">
        <v>72</v>
      </c>
      <c r="D39" s="22">
        <v>150</v>
      </c>
      <c r="E39" s="22">
        <v>870</v>
      </c>
      <c r="F39" s="22">
        <v>150</v>
      </c>
      <c r="G39" s="22">
        <v>150</v>
      </c>
      <c r="H39" s="22">
        <v>40</v>
      </c>
      <c r="I39" s="22">
        <v>30</v>
      </c>
      <c r="J39" s="22"/>
      <c r="K39" s="22">
        <v>30</v>
      </c>
      <c r="L39" s="22">
        <v>20</v>
      </c>
      <c r="M39" s="22"/>
      <c r="N39" s="22">
        <v>110</v>
      </c>
      <c r="O39" s="22">
        <v>50</v>
      </c>
      <c r="P39" s="41">
        <f>SUM(D39:O39)</f>
        <v>1600</v>
      </c>
    </row>
    <row r="40" spans="1:16" ht="20.100000000000001" customHeight="1" x14ac:dyDescent="0.25">
      <c r="A40" s="79">
        <v>36</v>
      </c>
      <c r="B40" s="31" t="s">
        <v>75</v>
      </c>
      <c r="C40" s="145" t="s">
        <v>76</v>
      </c>
      <c r="D40" s="22"/>
      <c r="E40" s="22"/>
      <c r="F40" s="22">
        <v>15</v>
      </c>
      <c r="G40" s="22"/>
      <c r="H40" s="22"/>
      <c r="I40" s="22">
        <v>10</v>
      </c>
      <c r="J40" s="22"/>
      <c r="K40" s="22"/>
      <c r="L40" s="22"/>
      <c r="M40" s="22"/>
      <c r="N40" s="22">
        <v>130</v>
      </c>
      <c r="O40" s="22"/>
      <c r="P40" s="41">
        <f>SUM(D40:O40)</f>
        <v>155</v>
      </c>
    </row>
    <row r="41" spans="1:16" ht="20.100000000000001" customHeight="1" x14ac:dyDescent="0.25">
      <c r="A41" s="79">
        <v>37</v>
      </c>
      <c r="B41" s="31" t="s">
        <v>41</v>
      </c>
      <c r="C41" s="145" t="s">
        <v>42</v>
      </c>
      <c r="D41" s="22"/>
      <c r="E41" s="22"/>
      <c r="F41" s="22"/>
      <c r="G41" s="22"/>
      <c r="H41" s="22"/>
      <c r="I41" s="22"/>
      <c r="J41" s="22"/>
      <c r="K41" s="22"/>
      <c r="L41" s="22">
        <v>141</v>
      </c>
      <c r="M41" s="22"/>
      <c r="N41" s="22"/>
      <c r="O41" s="22"/>
      <c r="P41" s="41">
        <f>SUM(D41:O41)</f>
        <v>141</v>
      </c>
    </row>
    <row r="42" spans="1:16" ht="20.100000000000001" customHeight="1" x14ac:dyDescent="0.25">
      <c r="A42" s="79">
        <v>38</v>
      </c>
      <c r="B42" s="31" t="s">
        <v>19</v>
      </c>
      <c r="C42" s="145" t="s">
        <v>20</v>
      </c>
      <c r="D42" s="22">
        <v>3</v>
      </c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41">
        <f>SUM(D42:O42)</f>
        <v>3</v>
      </c>
    </row>
    <row r="43" spans="1:16" s="2" customFormat="1" ht="20.100000000000001" customHeight="1" x14ac:dyDescent="0.25">
      <c r="A43" s="186" t="s">
        <v>289</v>
      </c>
      <c r="B43" s="186"/>
      <c r="C43" s="186"/>
      <c r="D43" s="86">
        <f>SUM(D5:D42)</f>
        <v>60118</v>
      </c>
      <c r="E43" s="86">
        <f>SUM(E5:E42)</f>
        <v>26375</v>
      </c>
      <c r="F43" s="86">
        <f>SUM(F5:F42)</f>
        <v>49405</v>
      </c>
      <c r="G43" s="86">
        <f>SUM(G5:G42)</f>
        <v>43945</v>
      </c>
      <c r="H43" s="86">
        <f>SUM(H5:H42)</f>
        <v>50935</v>
      </c>
      <c r="I43" s="86">
        <f>SUM(I5:I42)</f>
        <v>46520</v>
      </c>
      <c r="J43" s="86">
        <f>SUM(J5:J42)</f>
        <v>71635</v>
      </c>
      <c r="K43" s="86">
        <f>SUM(K5:K42)</f>
        <v>50824</v>
      </c>
      <c r="L43" s="86">
        <f>SUM(L5:L42)</f>
        <v>18531</v>
      </c>
      <c r="M43" s="86">
        <f>SUM(M5:M42)</f>
        <v>24930</v>
      </c>
      <c r="N43" s="86">
        <f>SUM(N5:N42)</f>
        <v>32420</v>
      </c>
      <c r="O43" s="86">
        <f>SUM(O5:O42)</f>
        <v>26131</v>
      </c>
      <c r="P43" s="86">
        <f>SUM(P5:P42)</f>
        <v>501769</v>
      </c>
    </row>
    <row r="44" spans="1:16" s="75" customFormat="1" ht="20.100000000000001" customHeight="1" x14ac:dyDescent="0.25">
      <c r="A44" s="187" t="s">
        <v>290</v>
      </c>
      <c r="B44" s="187"/>
      <c r="C44" s="187"/>
      <c r="D44" s="87">
        <f>MAX(D5:D42)</f>
        <v>6825</v>
      </c>
      <c r="E44" s="87">
        <f>MAX(E5:E42)</f>
        <v>2925</v>
      </c>
      <c r="F44" s="87">
        <f>MAX(F5:F42)</f>
        <v>4725</v>
      </c>
      <c r="G44" s="87">
        <f>MAX(G5:G42)</f>
        <v>4605</v>
      </c>
      <c r="H44" s="87">
        <f>MAX(H5:H42)</f>
        <v>5680</v>
      </c>
      <c r="I44" s="87">
        <f>MAX(I5:I42)</f>
        <v>4855</v>
      </c>
      <c r="J44" s="87">
        <f>MAX(J5:J42)</f>
        <v>7515</v>
      </c>
      <c r="K44" s="87">
        <f>MAX(K5:K42)</f>
        <v>6635</v>
      </c>
      <c r="L44" s="87">
        <f>MAX(L5:L42)</f>
        <v>2940</v>
      </c>
      <c r="M44" s="87">
        <f>MAX(M5:M42)</f>
        <v>2660</v>
      </c>
      <c r="N44" s="87">
        <f>MAX(N5:N42)</f>
        <v>4190</v>
      </c>
      <c r="O44" s="87">
        <f>MAX(O5:O42)</f>
        <v>2831</v>
      </c>
      <c r="P44" s="87">
        <f>MAX(P5:P42)</f>
        <v>55468</v>
      </c>
    </row>
    <row r="45" spans="1:16" s="75" customFormat="1" ht="20.100000000000001" customHeight="1" x14ac:dyDescent="0.25">
      <c r="A45" s="188" t="s">
        <v>291</v>
      </c>
      <c r="B45" s="188"/>
      <c r="C45" s="188"/>
      <c r="D45" s="88">
        <f>MIN(D5:D42)</f>
        <v>3</v>
      </c>
      <c r="E45" s="88">
        <f>MIN(E5:E42)</f>
        <v>40</v>
      </c>
      <c r="F45" s="88">
        <f>MIN(F5:F42)</f>
        <v>15</v>
      </c>
      <c r="G45" s="88">
        <f>MIN(G5:G42)</f>
        <v>140</v>
      </c>
      <c r="H45" s="88">
        <f>MIN(H5:H42)</f>
        <v>15</v>
      </c>
      <c r="I45" s="88">
        <f>MIN(I5:I42)</f>
        <v>5</v>
      </c>
      <c r="J45" s="88">
        <f>MIN(J5:J42)</f>
        <v>25</v>
      </c>
      <c r="K45" s="88">
        <f>MIN(K5:K42)</f>
        <v>30</v>
      </c>
      <c r="L45" s="88">
        <f>MIN(L5:L42)</f>
        <v>20</v>
      </c>
      <c r="M45" s="88">
        <f>MIN(M5:M42)</f>
        <v>10</v>
      </c>
      <c r="N45" s="88">
        <f>MIN(N5:N42)</f>
        <v>30</v>
      </c>
      <c r="O45" s="88">
        <f>MIN(O5:O42)</f>
        <v>40</v>
      </c>
      <c r="P45" s="88">
        <f>MIN(P5:P42)</f>
        <v>3</v>
      </c>
    </row>
    <row r="46" spans="1:16" s="75" customFormat="1" ht="20.100000000000001" customHeight="1" x14ac:dyDescent="0.25">
      <c r="A46" s="189" t="s">
        <v>292</v>
      </c>
      <c r="B46" s="189"/>
      <c r="C46" s="189"/>
      <c r="D46" s="89">
        <f>AVERAGE(D5:D42)</f>
        <v>1669.9444444444443</v>
      </c>
      <c r="E46" s="89">
        <f>AVERAGE(E5:E42)</f>
        <v>775.73529411764707</v>
      </c>
      <c r="F46" s="89">
        <f>AVERAGE(F5:F42)</f>
        <v>1497.121212121212</v>
      </c>
      <c r="G46" s="89">
        <f>AVERAGE(G5:G42)</f>
        <v>1373.28125</v>
      </c>
      <c r="H46" s="89">
        <f>AVERAGE(H5:H42)</f>
        <v>1498.0882352941176</v>
      </c>
      <c r="I46" s="89">
        <f>AVERAGE(I5:I42)</f>
        <v>1329.1428571428571</v>
      </c>
      <c r="J46" s="89">
        <f>AVERAGE(J5:J42)</f>
        <v>2170.757575757576</v>
      </c>
      <c r="K46" s="89">
        <f>AVERAGE(K5:K42)</f>
        <v>1494.8235294117646</v>
      </c>
      <c r="L46" s="89">
        <f>AVERAGE(L5:L42)</f>
        <v>529.45714285714291</v>
      </c>
      <c r="M46" s="89">
        <f>AVERAGE(M5:M42)</f>
        <v>779.0625</v>
      </c>
      <c r="N46" s="89">
        <f>AVERAGE(N5:N42)</f>
        <v>900.55555555555554</v>
      </c>
      <c r="O46" s="89">
        <f>AVERAGE(O5:O42)</f>
        <v>768.55882352941171</v>
      </c>
      <c r="P46" s="89">
        <f>AVERAGE(P5:P42)</f>
        <v>13204.447368421053</v>
      </c>
    </row>
    <row r="47" spans="1:16" s="75" customFormat="1" ht="20.100000000000001" customHeight="1" x14ac:dyDescent="0.25">
      <c r="A47" s="190" t="s">
        <v>293</v>
      </c>
      <c r="B47" s="190"/>
      <c r="C47" s="190"/>
      <c r="D47" s="90">
        <f>COUNT(D5:D42)</f>
        <v>36</v>
      </c>
      <c r="E47" s="90">
        <f>COUNT(E5:E42)</f>
        <v>34</v>
      </c>
      <c r="F47" s="90">
        <f>COUNT(F5:F42)</f>
        <v>33</v>
      </c>
      <c r="G47" s="90">
        <f>COUNT(G5:G42)</f>
        <v>32</v>
      </c>
      <c r="H47" s="90">
        <f>COUNT(H5:H42)</f>
        <v>34</v>
      </c>
      <c r="I47" s="90">
        <f>COUNT(I5:I42)</f>
        <v>35</v>
      </c>
      <c r="J47" s="90">
        <f>COUNT(J5:J42)</f>
        <v>33</v>
      </c>
      <c r="K47" s="90">
        <f>COUNT(K5:K42)</f>
        <v>34</v>
      </c>
      <c r="L47" s="90">
        <f>COUNT(L5:L42)</f>
        <v>35</v>
      </c>
      <c r="M47" s="90">
        <f>COUNT(M5:M42)</f>
        <v>32</v>
      </c>
      <c r="N47" s="90">
        <f>COUNT(N5:N42)</f>
        <v>36</v>
      </c>
      <c r="O47" s="90">
        <f>COUNT(O5:O42)</f>
        <v>34</v>
      </c>
      <c r="P47" s="90">
        <f>COUNT(P5:P42)</f>
        <v>38</v>
      </c>
    </row>
    <row r="53" spans="5:17" ht="15" customHeight="1" x14ac:dyDescent="0.25"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</row>
  </sheetData>
  <sortState ref="A5:P43">
    <sortCondition descending="1" ref="P5:P43"/>
  </sortState>
  <mergeCells count="11">
    <mergeCell ref="A43:C43"/>
    <mergeCell ref="A44:C44"/>
    <mergeCell ref="A45:C45"/>
    <mergeCell ref="A46:C46"/>
    <mergeCell ref="A47:C47"/>
    <mergeCell ref="A1:P1"/>
    <mergeCell ref="N2:P2"/>
    <mergeCell ref="A3:A4"/>
    <mergeCell ref="B3:B4"/>
    <mergeCell ref="C3:C4"/>
    <mergeCell ref="P3:P4"/>
  </mergeCells>
  <pageMargins left="0" right="0" top="0" bottom="0" header="0.3" footer="0.3"/>
  <pageSetup paperSize="9" orientation="landscape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39997558519241921"/>
  </sheetPr>
  <dimension ref="A1:U65"/>
  <sheetViews>
    <sheetView workbookViewId="0">
      <selection activeCell="D9" sqref="D9"/>
    </sheetView>
  </sheetViews>
  <sheetFormatPr defaultColWidth="9.140625" defaultRowHeight="17.25" x14ac:dyDescent="0.45"/>
  <cols>
    <col min="1" max="1" width="5.28515625" style="19" bestFit="1" customWidth="1"/>
    <col min="2" max="2" width="8.7109375" style="29" customWidth="1"/>
    <col min="3" max="3" width="32" style="19" bestFit="1" customWidth="1"/>
    <col min="4" max="4" width="7.28515625" style="30" bestFit="1" customWidth="1"/>
    <col min="5" max="5" width="7.140625" style="30" bestFit="1" customWidth="1"/>
    <col min="6" max="6" width="7.42578125" style="30" bestFit="1" customWidth="1"/>
    <col min="7" max="7" width="7" style="30" bestFit="1" customWidth="1"/>
    <col min="8" max="8" width="7.7109375" style="30" bestFit="1" customWidth="1"/>
    <col min="9" max="9" width="7.28515625" style="30" bestFit="1" customWidth="1"/>
    <col min="10" max="10" width="6.7109375" style="30" bestFit="1" customWidth="1"/>
    <col min="11" max="11" width="7.42578125" style="30" bestFit="1" customWidth="1"/>
    <col min="12" max="12" width="7.28515625" style="30" bestFit="1" customWidth="1"/>
    <col min="13" max="13" width="7.140625" style="30" bestFit="1" customWidth="1"/>
    <col min="14" max="14" width="7.5703125" style="30" bestFit="1" customWidth="1"/>
    <col min="15" max="15" width="7.28515625" style="19" bestFit="1" customWidth="1"/>
    <col min="16" max="16" width="11.140625" style="30" bestFit="1" customWidth="1"/>
    <col min="17" max="17" width="9.140625" style="19" customWidth="1"/>
    <col min="18" max="16384" width="9.140625" style="19"/>
  </cols>
  <sheetData>
    <row r="1" spans="1:21" s="63" customFormat="1" ht="25.5" customHeight="1" x14ac:dyDescent="0.25">
      <c r="A1" s="191" t="s">
        <v>303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</row>
    <row r="2" spans="1:21" s="4" customFormat="1" ht="27.75" customHeight="1" x14ac:dyDescent="0.25">
      <c r="A2" s="53"/>
      <c r="B2" s="54"/>
      <c r="C2" s="117"/>
      <c r="D2" s="118"/>
      <c r="E2" s="118"/>
      <c r="F2" s="118"/>
      <c r="G2" s="118"/>
      <c r="H2" s="118"/>
      <c r="I2" s="118"/>
      <c r="J2" s="118"/>
      <c r="K2" s="118"/>
      <c r="L2" s="55"/>
      <c r="M2" s="55"/>
      <c r="N2" s="192" t="s">
        <v>294</v>
      </c>
      <c r="O2" s="192"/>
      <c r="P2" s="192"/>
      <c r="Q2" s="57"/>
      <c r="R2" s="57"/>
      <c r="S2" s="57"/>
      <c r="T2" s="57"/>
      <c r="U2" s="5"/>
    </row>
    <row r="3" spans="1:21" s="128" customFormat="1" ht="25.5" customHeight="1" x14ac:dyDescent="0.25">
      <c r="A3" s="207" t="s">
        <v>211</v>
      </c>
      <c r="B3" s="180" t="s">
        <v>212</v>
      </c>
      <c r="C3" s="207" t="s">
        <v>186</v>
      </c>
      <c r="D3" s="107">
        <v>44562</v>
      </c>
      <c r="E3" s="107">
        <v>44593</v>
      </c>
      <c r="F3" s="107">
        <v>44621</v>
      </c>
      <c r="G3" s="107">
        <v>44652</v>
      </c>
      <c r="H3" s="107">
        <v>44682</v>
      </c>
      <c r="I3" s="107">
        <v>44713</v>
      </c>
      <c r="J3" s="107">
        <v>44743</v>
      </c>
      <c r="K3" s="107">
        <v>44774</v>
      </c>
      <c r="L3" s="107">
        <v>44805</v>
      </c>
      <c r="M3" s="107">
        <v>44835</v>
      </c>
      <c r="N3" s="107">
        <v>44866</v>
      </c>
      <c r="O3" s="107">
        <v>44896</v>
      </c>
      <c r="P3" s="208" t="s">
        <v>305</v>
      </c>
    </row>
    <row r="4" spans="1:21" s="128" customFormat="1" ht="25.5" customHeight="1" x14ac:dyDescent="0.25">
      <c r="A4" s="207"/>
      <c r="B4" s="181"/>
      <c r="C4" s="207"/>
      <c r="D4" s="67" t="s">
        <v>213</v>
      </c>
      <c r="E4" s="67" t="s">
        <v>213</v>
      </c>
      <c r="F4" s="67" t="s">
        <v>213</v>
      </c>
      <c r="G4" s="67" t="s">
        <v>213</v>
      </c>
      <c r="H4" s="67" t="s">
        <v>213</v>
      </c>
      <c r="I4" s="67" t="s">
        <v>213</v>
      </c>
      <c r="J4" s="67" t="s">
        <v>213</v>
      </c>
      <c r="K4" s="67" t="s">
        <v>213</v>
      </c>
      <c r="L4" s="67" t="s">
        <v>213</v>
      </c>
      <c r="M4" s="67" t="s">
        <v>213</v>
      </c>
      <c r="N4" s="67" t="s">
        <v>213</v>
      </c>
      <c r="O4" s="67" t="s">
        <v>213</v>
      </c>
      <c r="P4" s="209"/>
    </row>
    <row r="5" spans="1:21" s="11" customFormat="1" x14ac:dyDescent="0.25">
      <c r="A5" s="24">
        <v>1</v>
      </c>
      <c r="B5" s="7" t="s">
        <v>78</v>
      </c>
      <c r="C5" s="25" t="s">
        <v>79</v>
      </c>
      <c r="D5" s="22">
        <v>23530</v>
      </c>
      <c r="E5" s="22">
        <f>7191-3216</f>
        <v>3975</v>
      </c>
      <c r="F5" s="22">
        <v>11640</v>
      </c>
      <c r="G5" s="22">
        <v>14265</v>
      </c>
      <c r="H5" s="22">
        <v>17900</v>
      </c>
      <c r="I5" s="22">
        <v>9505</v>
      </c>
      <c r="J5" s="22">
        <v>25450</v>
      </c>
      <c r="K5" s="22">
        <v>20240</v>
      </c>
      <c r="L5" s="22">
        <v>3580</v>
      </c>
      <c r="M5" s="22">
        <v>7000</v>
      </c>
      <c r="N5" s="22">
        <v>3250</v>
      </c>
      <c r="O5" s="9">
        <v>4200</v>
      </c>
      <c r="P5" s="22">
        <f>SUM(D5:O5)</f>
        <v>144535</v>
      </c>
    </row>
    <row r="6" spans="1:21" s="11" customFormat="1" x14ac:dyDescent="0.25">
      <c r="A6" s="24">
        <v>2</v>
      </c>
      <c r="B6" s="7" t="s">
        <v>80</v>
      </c>
      <c r="C6" s="141" t="s">
        <v>81</v>
      </c>
      <c r="D6" s="22">
        <v>8710</v>
      </c>
      <c r="E6" s="22">
        <v>5035</v>
      </c>
      <c r="F6" s="22">
        <v>7400</v>
      </c>
      <c r="G6" s="22">
        <v>8900</v>
      </c>
      <c r="H6" s="22">
        <v>6350</v>
      </c>
      <c r="I6" s="22">
        <v>8910</v>
      </c>
      <c r="J6" s="22">
        <v>12885</v>
      </c>
      <c r="K6" s="22">
        <v>10310</v>
      </c>
      <c r="L6" s="22">
        <v>2650</v>
      </c>
      <c r="M6" s="22">
        <v>1860</v>
      </c>
      <c r="N6" s="22">
        <v>4740</v>
      </c>
      <c r="O6" s="27">
        <v>4650</v>
      </c>
      <c r="P6" s="22">
        <f>SUM(D6:O6)</f>
        <v>82400</v>
      </c>
    </row>
    <row r="7" spans="1:21" s="11" customFormat="1" x14ac:dyDescent="0.25">
      <c r="A7" s="24">
        <v>3</v>
      </c>
      <c r="B7" s="7" t="s">
        <v>96</v>
      </c>
      <c r="C7" s="10" t="s">
        <v>97</v>
      </c>
      <c r="D7" s="22">
        <v>4770</v>
      </c>
      <c r="E7" s="22">
        <v>3000</v>
      </c>
      <c r="F7" s="22">
        <v>5250</v>
      </c>
      <c r="G7" s="22">
        <v>3060</v>
      </c>
      <c r="H7" s="22">
        <v>4470</v>
      </c>
      <c r="I7" s="22">
        <v>5880</v>
      </c>
      <c r="J7" s="22">
        <v>7400</v>
      </c>
      <c r="K7" s="22">
        <v>3000</v>
      </c>
      <c r="L7" s="22">
        <v>1781</v>
      </c>
      <c r="M7" s="22">
        <v>4000</v>
      </c>
      <c r="N7" s="22">
        <v>3940</v>
      </c>
      <c r="O7" s="27">
        <v>4060</v>
      </c>
      <c r="P7" s="22">
        <f>SUM(D7:O7)</f>
        <v>50611</v>
      </c>
    </row>
    <row r="8" spans="1:21" s="11" customFormat="1" x14ac:dyDescent="0.25">
      <c r="A8" s="24">
        <v>4</v>
      </c>
      <c r="B8" s="7" t="s">
        <v>94</v>
      </c>
      <c r="C8" s="10" t="s">
        <v>95</v>
      </c>
      <c r="D8" s="22">
        <v>600</v>
      </c>
      <c r="E8" s="22">
        <v>2050</v>
      </c>
      <c r="F8" s="22">
        <v>3950</v>
      </c>
      <c r="G8" s="22">
        <v>2600</v>
      </c>
      <c r="H8" s="22">
        <v>4000</v>
      </c>
      <c r="I8" s="22">
        <v>4400</v>
      </c>
      <c r="J8" s="22">
        <v>2300</v>
      </c>
      <c r="K8" s="22">
        <v>500</v>
      </c>
      <c r="L8" s="22">
        <v>1000</v>
      </c>
      <c r="M8" s="22"/>
      <c r="N8" s="22">
        <v>4700</v>
      </c>
      <c r="O8" s="9">
        <v>800</v>
      </c>
      <c r="P8" s="22">
        <f>SUM(D8:O8)</f>
        <v>26900</v>
      </c>
    </row>
    <row r="9" spans="1:21" s="11" customFormat="1" x14ac:dyDescent="0.25">
      <c r="A9" s="24">
        <v>5</v>
      </c>
      <c r="B9" s="7" t="s">
        <v>82</v>
      </c>
      <c r="C9" s="10" t="s">
        <v>217</v>
      </c>
      <c r="D9" s="22">
        <v>1210</v>
      </c>
      <c r="E9" s="22">
        <v>1900</v>
      </c>
      <c r="F9" s="22">
        <v>1520</v>
      </c>
      <c r="G9" s="22">
        <v>1590</v>
      </c>
      <c r="H9" s="22">
        <v>1660</v>
      </c>
      <c r="I9" s="22">
        <v>1430</v>
      </c>
      <c r="J9" s="22">
        <v>1710</v>
      </c>
      <c r="K9" s="22">
        <v>2640</v>
      </c>
      <c r="L9" s="22">
        <v>970</v>
      </c>
      <c r="M9" s="22">
        <v>1430</v>
      </c>
      <c r="N9" s="22">
        <v>1000</v>
      </c>
      <c r="O9" s="9">
        <v>1040</v>
      </c>
      <c r="P9" s="22">
        <f>SUM(D9:O9)</f>
        <v>18100</v>
      </c>
    </row>
    <row r="10" spans="1:21" s="11" customFormat="1" x14ac:dyDescent="0.25">
      <c r="A10" s="24">
        <v>6</v>
      </c>
      <c r="B10" s="7" t="s">
        <v>104</v>
      </c>
      <c r="C10" s="10" t="s">
        <v>105</v>
      </c>
      <c r="D10" s="22">
        <v>1900</v>
      </c>
      <c r="E10" s="22">
        <v>2850</v>
      </c>
      <c r="F10" s="22"/>
      <c r="G10" s="22">
        <v>850</v>
      </c>
      <c r="H10" s="22">
        <v>1250</v>
      </c>
      <c r="I10" s="22">
        <v>1500</v>
      </c>
      <c r="J10" s="79">
        <v>900</v>
      </c>
      <c r="K10" s="22">
        <v>1300</v>
      </c>
      <c r="L10" s="22">
        <v>800</v>
      </c>
      <c r="M10" s="22">
        <v>1200</v>
      </c>
      <c r="N10" s="22">
        <v>500</v>
      </c>
      <c r="O10" s="9">
        <v>1600</v>
      </c>
      <c r="P10" s="22">
        <f>SUM(D10:O10)</f>
        <v>14650</v>
      </c>
    </row>
    <row r="11" spans="1:21" s="11" customFormat="1" x14ac:dyDescent="0.25">
      <c r="A11" s="24">
        <v>7</v>
      </c>
      <c r="B11" s="7" t="s">
        <v>142</v>
      </c>
      <c r="C11" s="8" t="s">
        <v>143</v>
      </c>
      <c r="D11" s="22">
        <v>500</v>
      </c>
      <c r="E11" s="22"/>
      <c r="F11" s="22"/>
      <c r="G11" s="22">
        <v>350</v>
      </c>
      <c r="H11" s="22"/>
      <c r="I11" s="22">
        <v>950</v>
      </c>
      <c r="J11" s="22">
        <v>3880</v>
      </c>
      <c r="K11" s="22">
        <v>810</v>
      </c>
      <c r="L11" s="22">
        <v>1930</v>
      </c>
      <c r="M11" s="22">
        <v>1500</v>
      </c>
      <c r="N11" s="22">
        <v>2000</v>
      </c>
      <c r="O11" s="9">
        <v>740</v>
      </c>
      <c r="P11" s="22">
        <f>SUM(D11:O11)</f>
        <v>12660</v>
      </c>
    </row>
    <row r="12" spans="1:21" s="11" customFormat="1" x14ac:dyDescent="0.25">
      <c r="A12" s="24">
        <v>8</v>
      </c>
      <c r="B12" s="7" t="s">
        <v>88</v>
      </c>
      <c r="C12" s="10" t="s">
        <v>89</v>
      </c>
      <c r="D12" s="22">
        <v>1000</v>
      </c>
      <c r="E12" s="22"/>
      <c r="F12" s="22">
        <v>2000</v>
      </c>
      <c r="G12" s="22">
        <v>1100</v>
      </c>
      <c r="H12" s="22">
        <v>1600</v>
      </c>
      <c r="I12" s="22">
        <v>2300</v>
      </c>
      <c r="J12" s="22">
        <v>600</v>
      </c>
      <c r="K12" s="22">
        <v>600</v>
      </c>
      <c r="L12" s="22"/>
      <c r="M12" s="22">
        <v>1800</v>
      </c>
      <c r="N12" s="22"/>
      <c r="O12" s="9">
        <v>1560</v>
      </c>
      <c r="P12" s="22">
        <f>SUM(D12:O12)</f>
        <v>12560</v>
      </c>
    </row>
    <row r="13" spans="1:21" s="11" customFormat="1" x14ac:dyDescent="0.25">
      <c r="A13" s="24">
        <v>9</v>
      </c>
      <c r="B13" s="7" t="s">
        <v>187</v>
      </c>
      <c r="C13" s="8" t="s">
        <v>253</v>
      </c>
      <c r="D13" s="22">
        <v>610</v>
      </c>
      <c r="E13" s="22">
        <v>660</v>
      </c>
      <c r="F13" s="22">
        <v>610</v>
      </c>
      <c r="G13" s="22">
        <v>1160</v>
      </c>
      <c r="H13" s="22">
        <v>780</v>
      </c>
      <c r="I13" s="22">
        <v>1070</v>
      </c>
      <c r="J13" s="22">
        <v>1570</v>
      </c>
      <c r="K13" s="22">
        <v>1540</v>
      </c>
      <c r="L13" s="22">
        <v>790</v>
      </c>
      <c r="M13" s="22"/>
      <c r="N13" s="22">
        <v>1210</v>
      </c>
      <c r="O13" s="9"/>
      <c r="P13" s="22">
        <f>SUM(D13:O13)</f>
        <v>10000</v>
      </c>
    </row>
    <row r="14" spans="1:21" s="11" customFormat="1" x14ac:dyDescent="0.25">
      <c r="A14" s="24">
        <v>10</v>
      </c>
      <c r="B14" s="7" t="s">
        <v>136</v>
      </c>
      <c r="C14" s="14" t="s">
        <v>137</v>
      </c>
      <c r="D14" s="22">
        <v>570</v>
      </c>
      <c r="E14" s="22">
        <v>620</v>
      </c>
      <c r="F14" s="22">
        <v>690</v>
      </c>
      <c r="G14" s="22">
        <v>1120</v>
      </c>
      <c r="H14" s="22">
        <v>1180</v>
      </c>
      <c r="I14" s="22">
        <v>880</v>
      </c>
      <c r="J14" s="22"/>
      <c r="K14" s="22">
        <v>1040</v>
      </c>
      <c r="L14" s="22"/>
      <c r="M14" s="22"/>
      <c r="N14" s="22">
        <v>1970</v>
      </c>
      <c r="O14" s="9">
        <v>860</v>
      </c>
      <c r="P14" s="22">
        <f>SUM(D14:O14)</f>
        <v>8930</v>
      </c>
    </row>
    <row r="15" spans="1:21" s="11" customFormat="1" x14ac:dyDescent="0.25">
      <c r="A15" s="24">
        <v>11</v>
      </c>
      <c r="B15" s="7" t="s">
        <v>138</v>
      </c>
      <c r="C15" s="14" t="s">
        <v>139</v>
      </c>
      <c r="D15" s="22">
        <v>1800</v>
      </c>
      <c r="E15" s="22"/>
      <c r="F15" s="22">
        <v>1200</v>
      </c>
      <c r="G15" s="22"/>
      <c r="H15" s="22">
        <v>1000</v>
      </c>
      <c r="I15" s="22">
        <v>500</v>
      </c>
      <c r="J15" s="22">
        <v>1100</v>
      </c>
      <c r="K15" s="22">
        <v>600</v>
      </c>
      <c r="L15" s="22"/>
      <c r="M15" s="22">
        <v>600</v>
      </c>
      <c r="N15" s="22">
        <v>800</v>
      </c>
      <c r="O15" s="9">
        <v>500</v>
      </c>
      <c r="P15" s="22">
        <f>SUM(D15:O15)</f>
        <v>8100</v>
      </c>
    </row>
    <row r="16" spans="1:21" s="11" customFormat="1" x14ac:dyDescent="0.25">
      <c r="A16" s="24">
        <v>12</v>
      </c>
      <c r="B16" s="7" t="s">
        <v>112</v>
      </c>
      <c r="C16" s="10" t="s">
        <v>113</v>
      </c>
      <c r="D16" s="22">
        <v>500</v>
      </c>
      <c r="E16" s="22">
        <v>1100</v>
      </c>
      <c r="F16" s="22">
        <v>1400</v>
      </c>
      <c r="G16" s="22"/>
      <c r="H16" s="22">
        <v>855</v>
      </c>
      <c r="I16" s="22">
        <v>645</v>
      </c>
      <c r="J16" s="22">
        <v>500</v>
      </c>
      <c r="K16" s="22">
        <v>500</v>
      </c>
      <c r="L16" s="22"/>
      <c r="M16" s="22">
        <v>850</v>
      </c>
      <c r="N16" s="22"/>
      <c r="O16" s="9">
        <v>850</v>
      </c>
      <c r="P16" s="22">
        <f>SUM(D16:O16)</f>
        <v>7200</v>
      </c>
    </row>
    <row r="17" spans="1:16" s="11" customFormat="1" x14ac:dyDescent="0.25">
      <c r="A17" s="24">
        <v>13</v>
      </c>
      <c r="B17" s="7" t="s">
        <v>130</v>
      </c>
      <c r="C17" s="10" t="s">
        <v>131</v>
      </c>
      <c r="D17" s="22">
        <v>1540</v>
      </c>
      <c r="E17" s="22"/>
      <c r="F17" s="22">
        <v>1480</v>
      </c>
      <c r="G17" s="22"/>
      <c r="H17" s="22">
        <v>1000</v>
      </c>
      <c r="I17" s="22"/>
      <c r="J17" s="22">
        <v>1000</v>
      </c>
      <c r="K17" s="22">
        <v>999</v>
      </c>
      <c r="L17" s="22"/>
      <c r="M17" s="22"/>
      <c r="N17" s="22"/>
      <c r="O17" s="9">
        <v>1001</v>
      </c>
      <c r="P17" s="22">
        <f>SUM(D17:O17)</f>
        <v>7020</v>
      </c>
    </row>
    <row r="18" spans="1:16" s="11" customFormat="1" x14ac:dyDescent="0.25">
      <c r="A18" s="24">
        <v>14</v>
      </c>
      <c r="B18" s="7" t="s">
        <v>100</v>
      </c>
      <c r="C18" s="28" t="s">
        <v>101</v>
      </c>
      <c r="D18" s="22">
        <v>500</v>
      </c>
      <c r="E18" s="22"/>
      <c r="F18" s="22">
        <v>2500</v>
      </c>
      <c r="G18" s="22">
        <v>1000</v>
      </c>
      <c r="H18" s="22"/>
      <c r="I18" s="22"/>
      <c r="J18" s="22">
        <v>2000</v>
      </c>
      <c r="K18" s="22">
        <v>500</v>
      </c>
      <c r="L18" s="22">
        <v>500</v>
      </c>
      <c r="M18" s="22"/>
      <c r="N18" s="22"/>
      <c r="O18" s="9"/>
      <c r="P18" s="22">
        <f>SUM(D18:O18)</f>
        <v>7000</v>
      </c>
    </row>
    <row r="19" spans="1:16" s="11" customFormat="1" x14ac:dyDescent="0.25">
      <c r="A19" s="24">
        <v>15</v>
      </c>
      <c r="B19" s="7" t="s">
        <v>124</v>
      </c>
      <c r="C19" s="28" t="s">
        <v>125</v>
      </c>
      <c r="D19" s="22">
        <v>580</v>
      </c>
      <c r="E19" s="22">
        <v>680</v>
      </c>
      <c r="F19" s="22"/>
      <c r="G19" s="22">
        <v>1040</v>
      </c>
      <c r="H19" s="22">
        <v>500</v>
      </c>
      <c r="I19" s="22">
        <v>1460</v>
      </c>
      <c r="J19" s="22"/>
      <c r="K19" s="22">
        <v>700</v>
      </c>
      <c r="L19" s="22">
        <v>500</v>
      </c>
      <c r="M19" s="22">
        <v>500</v>
      </c>
      <c r="N19" s="22">
        <v>500</v>
      </c>
      <c r="O19" s="9">
        <v>500</v>
      </c>
      <c r="P19" s="22">
        <f>SUM(D19:O19)</f>
        <v>6960</v>
      </c>
    </row>
    <row r="20" spans="1:16" s="11" customFormat="1" x14ac:dyDescent="0.25">
      <c r="A20" s="24">
        <v>16</v>
      </c>
      <c r="B20" s="7" t="s">
        <v>86</v>
      </c>
      <c r="C20" s="28" t="s">
        <v>87</v>
      </c>
      <c r="D20" s="22">
        <f>2313-1113</f>
        <v>1200</v>
      </c>
      <c r="E20" s="22">
        <v>100</v>
      </c>
      <c r="F20" s="22">
        <v>1550</v>
      </c>
      <c r="G20" s="22">
        <v>1210</v>
      </c>
      <c r="H20" s="22">
        <v>1140</v>
      </c>
      <c r="I20" s="22">
        <v>650</v>
      </c>
      <c r="J20" s="22"/>
      <c r="K20" s="22">
        <v>200</v>
      </c>
      <c r="L20" s="22">
        <v>100</v>
      </c>
      <c r="M20" s="22"/>
      <c r="N20" s="22">
        <v>510</v>
      </c>
      <c r="O20" s="9"/>
      <c r="P20" s="22">
        <f>SUM(D20:O20)</f>
        <v>6660</v>
      </c>
    </row>
    <row r="21" spans="1:16" s="11" customFormat="1" x14ac:dyDescent="0.25">
      <c r="A21" s="24">
        <v>17</v>
      </c>
      <c r="B21" s="7" t="s">
        <v>92</v>
      </c>
      <c r="C21" s="28" t="s">
        <v>93</v>
      </c>
      <c r="D21" s="22"/>
      <c r="E21" s="22">
        <v>500</v>
      </c>
      <c r="F21" s="22">
        <v>500</v>
      </c>
      <c r="G21" s="22">
        <v>1000</v>
      </c>
      <c r="H21" s="22"/>
      <c r="I21" s="22">
        <v>2000</v>
      </c>
      <c r="J21" s="22">
        <v>500</v>
      </c>
      <c r="K21" s="22">
        <v>500</v>
      </c>
      <c r="L21" s="22"/>
      <c r="M21" s="22">
        <v>1000</v>
      </c>
      <c r="N21" s="22"/>
      <c r="O21" s="9">
        <v>500</v>
      </c>
      <c r="P21" s="22">
        <f>SUM(D21:O21)</f>
        <v>6500</v>
      </c>
    </row>
    <row r="22" spans="1:16" s="11" customFormat="1" x14ac:dyDescent="0.25">
      <c r="A22" s="24">
        <v>18</v>
      </c>
      <c r="B22" s="7" t="s">
        <v>116</v>
      </c>
      <c r="C22" s="8" t="s">
        <v>254</v>
      </c>
      <c r="D22" s="22">
        <v>500</v>
      </c>
      <c r="E22" s="22">
        <v>500</v>
      </c>
      <c r="F22" s="22"/>
      <c r="G22" s="22">
        <v>600</v>
      </c>
      <c r="H22" s="22">
        <v>1100</v>
      </c>
      <c r="I22" s="22"/>
      <c r="J22" s="79">
        <v>510</v>
      </c>
      <c r="K22" s="22">
        <v>1000</v>
      </c>
      <c r="L22" s="22">
        <v>500</v>
      </c>
      <c r="M22" s="22"/>
      <c r="N22" s="22">
        <v>1040</v>
      </c>
      <c r="O22" s="9">
        <v>500</v>
      </c>
      <c r="P22" s="22">
        <f>SUM(D22:O22)</f>
        <v>6250</v>
      </c>
    </row>
    <row r="23" spans="1:16" s="11" customFormat="1" x14ac:dyDescent="0.25">
      <c r="A23" s="24">
        <v>19</v>
      </c>
      <c r="B23" s="7" t="s">
        <v>118</v>
      </c>
      <c r="C23" s="25" t="s">
        <v>119</v>
      </c>
      <c r="D23" s="22">
        <v>1000</v>
      </c>
      <c r="E23" s="22"/>
      <c r="F23" s="22">
        <v>500</v>
      </c>
      <c r="G23" s="22">
        <v>550</v>
      </c>
      <c r="H23" s="22">
        <v>500</v>
      </c>
      <c r="I23" s="22">
        <v>500</v>
      </c>
      <c r="J23" s="79">
        <v>500</v>
      </c>
      <c r="K23" s="22">
        <v>500</v>
      </c>
      <c r="L23" s="22">
        <v>500</v>
      </c>
      <c r="M23" s="22">
        <v>500</v>
      </c>
      <c r="N23" s="22">
        <v>500</v>
      </c>
      <c r="O23" s="9">
        <v>500</v>
      </c>
      <c r="P23" s="22">
        <f>SUM(D23:O23)</f>
        <v>6050</v>
      </c>
    </row>
    <row r="24" spans="1:16" s="11" customFormat="1" x14ac:dyDescent="0.25">
      <c r="A24" s="24">
        <v>20</v>
      </c>
      <c r="B24" s="7" t="s">
        <v>128</v>
      </c>
      <c r="C24" s="28" t="s">
        <v>129</v>
      </c>
      <c r="D24" s="22">
        <v>2000</v>
      </c>
      <c r="E24" s="22"/>
      <c r="F24" s="22"/>
      <c r="G24" s="22"/>
      <c r="H24" s="22">
        <v>500</v>
      </c>
      <c r="I24" s="22">
        <v>500</v>
      </c>
      <c r="J24" s="79">
        <v>500</v>
      </c>
      <c r="K24" s="22"/>
      <c r="L24" s="22">
        <v>500</v>
      </c>
      <c r="M24" s="22"/>
      <c r="N24" s="22">
        <v>1000</v>
      </c>
      <c r="O24" s="15">
        <v>500</v>
      </c>
      <c r="P24" s="22">
        <f>SUM(D24:O24)</f>
        <v>5500</v>
      </c>
    </row>
    <row r="25" spans="1:16" s="11" customFormat="1" x14ac:dyDescent="0.25">
      <c r="A25" s="24">
        <v>21</v>
      </c>
      <c r="B25" s="7" t="s">
        <v>154</v>
      </c>
      <c r="C25" s="25" t="s">
        <v>155</v>
      </c>
      <c r="D25" s="22">
        <v>200</v>
      </c>
      <c r="E25" s="22">
        <v>510</v>
      </c>
      <c r="F25" s="22">
        <v>220</v>
      </c>
      <c r="G25" s="22">
        <v>850</v>
      </c>
      <c r="H25" s="22"/>
      <c r="I25" s="22">
        <v>510</v>
      </c>
      <c r="J25" s="79">
        <v>1500</v>
      </c>
      <c r="K25" s="22"/>
      <c r="L25" s="22">
        <v>500</v>
      </c>
      <c r="M25" s="22">
        <v>500</v>
      </c>
      <c r="N25" s="22">
        <v>500</v>
      </c>
      <c r="O25" s="9"/>
      <c r="P25" s="22">
        <f>SUM(D25:O25)</f>
        <v>5290</v>
      </c>
    </row>
    <row r="26" spans="1:16" s="11" customFormat="1" x14ac:dyDescent="0.25">
      <c r="A26" s="24">
        <v>22</v>
      </c>
      <c r="B26" s="7" t="s">
        <v>84</v>
      </c>
      <c r="C26" s="8" t="s">
        <v>85</v>
      </c>
      <c r="D26" s="22">
        <v>930</v>
      </c>
      <c r="E26" s="22"/>
      <c r="F26" s="22">
        <v>510</v>
      </c>
      <c r="G26" s="22">
        <v>380</v>
      </c>
      <c r="H26" s="22">
        <v>760</v>
      </c>
      <c r="I26" s="22">
        <v>450</v>
      </c>
      <c r="J26" s="22">
        <v>500</v>
      </c>
      <c r="K26" s="22">
        <v>900</v>
      </c>
      <c r="L26" s="22"/>
      <c r="M26" s="22">
        <v>300</v>
      </c>
      <c r="N26" s="22"/>
      <c r="O26" s="9"/>
      <c r="P26" s="22">
        <f>SUM(D26:O26)</f>
        <v>4730</v>
      </c>
    </row>
    <row r="27" spans="1:16" s="11" customFormat="1" x14ac:dyDescent="0.25">
      <c r="A27" s="24">
        <v>23</v>
      </c>
      <c r="B27" s="7" t="s">
        <v>164</v>
      </c>
      <c r="C27" s="8" t="s">
        <v>255</v>
      </c>
      <c r="D27" s="79">
        <v>1500</v>
      </c>
      <c r="E27" s="22">
        <v>500</v>
      </c>
      <c r="F27" s="22">
        <v>1000</v>
      </c>
      <c r="G27" s="22"/>
      <c r="H27" s="22"/>
      <c r="I27" s="22">
        <v>500</v>
      </c>
      <c r="J27" s="22">
        <v>500</v>
      </c>
      <c r="K27" s="22"/>
      <c r="L27" s="22"/>
      <c r="M27" s="22"/>
      <c r="N27" s="22"/>
      <c r="O27" s="9"/>
      <c r="P27" s="22">
        <f>SUM(D27:O27)</f>
        <v>4000</v>
      </c>
    </row>
    <row r="28" spans="1:16" s="11" customFormat="1" x14ac:dyDescent="0.25">
      <c r="A28" s="24">
        <v>24</v>
      </c>
      <c r="B28" s="7" t="s">
        <v>140</v>
      </c>
      <c r="C28" s="10" t="s">
        <v>141</v>
      </c>
      <c r="D28" s="22">
        <v>500</v>
      </c>
      <c r="E28" s="22"/>
      <c r="F28" s="22">
        <v>1000</v>
      </c>
      <c r="G28" s="22">
        <v>500</v>
      </c>
      <c r="H28" s="22">
        <v>600</v>
      </c>
      <c r="I28" s="22"/>
      <c r="J28" s="22">
        <v>1010</v>
      </c>
      <c r="K28" s="22"/>
      <c r="L28" s="22"/>
      <c r="M28" s="22"/>
      <c r="N28" s="22"/>
      <c r="O28" s="9"/>
      <c r="P28" s="22">
        <f>SUM(D28:O28)</f>
        <v>3610</v>
      </c>
    </row>
    <row r="29" spans="1:16" s="11" customFormat="1" x14ac:dyDescent="0.25">
      <c r="A29" s="24">
        <v>25</v>
      </c>
      <c r="B29" s="7" t="s">
        <v>90</v>
      </c>
      <c r="C29" s="10" t="s">
        <v>252</v>
      </c>
      <c r="D29" s="22"/>
      <c r="E29" s="22">
        <v>495</v>
      </c>
      <c r="F29" s="22">
        <v>520</v>
      </c>
      <c r="G29" s="22"/>
      <c r="H29" s="22">
        <v>970</v>
      </c>
      <c r="I29" s="22"/>
      <c r="J29" s="22">
        <v>505</v>
      </c>
      <c r="K29" s="22">
        <v>525</v>
      </c>
      <c r="L29" s="22">
        <v>500</v>
      </c>
      <c r="M29" s="22"/>
      <c r="N29" s="22"/>
      <c r="O29" s="9"/>
      <c r="P29" s="22">
        <f>SUM(D29:O29)</f>
        <v>3515</v>
      </c>
    </row>
    <row r="30" spans="1:16" s="11" customFormat="1" x14ac:dyDescent="0.25">
      <c r="A30" s="24">
        <v>26</v>
      </c>
      <c r="B30" s="7" t="s">
        <v>132</v>
      </c>
      <c r="C30" s="14" t="s">
        <v>133</v>
      </c>
      <c r="D30" s="22">
        <v>1000</v>
      </c>
      <c r="E30" s="22"/>
      <c r="F30" s="22"/>
      <c r="G30" s="22">
        <v>700</v>
      </c>
      <c r="H30" s="22"/>
      <c r="I30" s="22"/>
      <c r="J30" s="79">
        <v>1070</v>
      </c>
      <c r="K30" s="22"/>
      <c r="L30" s="22"/>
      <c r="M30" s="22">
        <v>500</v>
      </c>
      <c r="N30" s="22"/>
      <c r="O30" s="79"/>
      <c r="P30" s="22">
        <f>SUM(D30:O30)</f>
        <v>3270</v>
      </c>
    </row>
    <row r="31" spans="1:16" s="11" customFormat="1" x14ac:dyDescent="0.25">
      <c r="A31" s="24">
        <v>27</v>
      </c>
      <c r="B31" s="7" t="s">
        <v>126</v>
      </c>
      <c r="C31" s="10" t="s">
        <v>127</v>
      </c>
      <c r="D31" s="22">
        <v>510</v>
      </c>
      <c r="E31" s="22">
        <v>310</v>
      </c>
      <c r="F31" s="22">
        <v>200</v>
      </c>
      <c r="G31" s="22">
        <v>300</v>
      </c>
      <c r="H31" s="22">
        <v>210</v>
      </c>
      <c r="I31" s="22">
        <v>370</v>
      </c>
      <c r="J31" s="22">
        <v>190</v>
      </c>
      <c r="K31" s="22">
        <v>200</v>
      </c>
      <c r="L31" s="22"/>
      <c r="M31" s="22">
        <v>270</v>
      </c>
      <c r="N31" s="22">
        <v>240</v>
      </c>
      <c r="O31" s="9"/>
      <c r="P31" s="22">
        <f>SUM(D31:O31)</f>
        <v>2800</v>
      </c>
    </row>
    <row r="32" spans="1:16" s="11" customFormat="1" x14ac:dyDescent="0.25">
      <c r="A32" s="24">
        <v>28</v>
      </c>
      <c r="B32" s="7" t="s">
        <v>152</v>
      </c>
      <c r="C32" s="8" t="s">
        <v>153</v>
      </c>
      <c r="D32" s="22">
        <v>250</v>
      </c>
      <c r="E32" s="22">
        <v>250</v>
      </c>
      <c r="F32" s="22"/>
      <c r="G32" s="22"/>
      <c r="H32" s="22">
        <v>500</v>
      </c>
      <c r="I32" s="22"/>
      <c r="J32" s="22">
        <v>220</v>
      </c>
      <c r="K32" s="22">
        <v>260</v>
      </c>
      <c r="L32" s="22">
        <v>250</v>
      </c>
      <c r="M32" s="22"/>
      <c r="N32" s="22">
        <v>500</v>
      </c>
      <c r="O32" s="9">
        <v>500</v>
      </c>
      <c r="P32" s="22">
        <f>SUM(D32:O32)</f>
        <v>2730</v>
      </c>
    </row>
    <row r="33" spans="1:16" s="11" customFormat="1" x14ac:dyDescent="0.25">
      <c r="A33" s="24">
        <v>29</v>
      </c>
      <c r="B33" s="7" t="s">
        <v>144</v>
      </c>
      <c r="C33" s="8" t="s">
        <v>145</v>
      </c>
      <c r="D33" s="79"/>
      <c r="E33" s="22"/>
      <c r="F33" s="22">
        <v>500</v>
      </c>
      <c r="G33" s="22"/>
      <c r="H33" s="22">
        <v>500</v>
      </c>
      <c r="I33" s="22"/>
      <c r="J33" s="22">
        <v>500</v>
      </c>
      <c r="K33" s="22"/>
      <c r="L33" s="22"/>
      <c r="M33" s="22">
        <v>500</v>
      </c>
      <c r="N33" s="22"/>
      <c r="O33" s="9">
        <v>500</v>
      </c>
      <c r="P33" s="22">
        <f>SUM(D33:O33)</f>
        <v>2500</v>
      </c>
    </row>
    <row r="34" spans="1:16" s="11" customFormat="1" x14ac:dyDescent="0.25">
      <c r="A34" s="24">
        <v>30</v>
      </c>
      <c r="B34" s="7" t="s">
        <v>146</v>
      </c>
      <c r="C34" s="8" t="s">
        <v>147</v>
      </c>
      <c r="D34" s="22">
        <v>500</v>
      </c>
      <c r="E34" s="22"/>
      <c r="F34" s="22"/>
      <c r="G34" s="22">
        <v>500</v>
      </c>
      <c r="H34" s="22"/>
      <c r="I34" s="22">
        <v>500</v>
      </c>
      <c r="J34" s="22"/>
      <c r="K34" s="22">
        <v>500</v>
      </c>
      <c r="L34" s="22"/>
      <c r="M34" s="22"/>
      <c r="N34" s="22">
        <v>500</v>
      </c>
      <c r="O34" s="9"/>
      <c r="P34" s="22">
        <f>SUM(D34:O34)</f>
        <v>2500</v>
      </c>
    </row>
    <row r="35" spans="1:16" s="11" customFormat="1" x14ac:dyDescent="0.25">
      <c r="A35" s="24">
        <v>31</v>
      </c>
      <c r="B35" s="7" t="s">
        <v>114</v>
      </c>
      <c r="C35" s="10" t="s">
        <v>115</v>
      </c>
      <c r="D35" s="22"/>
      <c r="E35" s="22"/>
      <c r="F35" s="22">
        <v>610</v>
      </c>
      <c r="G35" s="22"/>
      <c r="H35" s="22">
        <v>500</v>
      </c>
      <c r="I35" s="22"/>
      <c r="J35" s="79">
        <v>495</v>
      </c>
      <c r="K35" s="22"/>
      <c r="L35" s="22"/>
      <c r="M35" s="22"/>
      <c r="N35" s="22">
        <v>500</v>
      </c>
      <c r="O35" s="9"/>
      <c r="P35" s="22">
        <f>SUM(D35:O35)</f>
        <v>2105</v>
      </c>
    </row>
    <row r="36" spans="1:16" s="11" customFormat="1" x14ac:dyDescent="0.25">
      <c r="A36" s="24">
        <v>32</v>
      </c>
      <c r="B36" s="7" t="s">
        <v>120</v>
      </c>
      <c r="C36" s="8" t="s">
        <v>121</v>
      </c>
      <c r="D36" s="22">
        <v>500</v>
      </c>
      <c r="E36" s="22"/>
      <c r="F36" s="22"/>
      <c r="G36" s="22"/>
      <c r="H36" s="22">
        <v>500</v>
      </c>
      <c r="I36" s="22"/>
      <c r="J36" s="22"/>
      <c r="K36" s="22">
        <v>500</v>
      </c>
      <c r="L36" s="22"/>
      <c r="M36" s="22">
        <v>500</v>
      </c>
      <c r="N36" s="22"/>
      <c r="O36" s="9"/>
      <c r="P36" s="22">
        <f>SUM(D36:O36)</f>
        <v>2000</v>
      </c>
    </row>
    <row r="37" spans="1:16" s="11" customFormat="1" x14ac:dyDescent="0.25">
      <c r="A37" s="24">
        <v>33</v>
      </c>
      <c r="B37" s="7" t="s">
        <v>188</v>
      </c>
      <c r="C37" s="8" t="s">
        <v>204</v>
      </c>
      <c r="D37" s="22"/>
      <c r="E37" s="22"/>
      <c r="F37" s="22">
        <v>500</v>
      </c>
      <c r="G37" s="22"/>
      <c r="H37" s="22"/>
      <c r="I37" s="22"/>
      <c r="J37" s="22">
        <v>500</v>
      </c>
      <c r="K37" s="22"/>
      <c r="L37" s="22">
        <v>520</v>
      </c>
      <c r="M37" s="22"/>
      <c r="N37" s="22"/>
      <c r="O37" s="9">
        <v>250</v>
      </c>
      <c r="P37" s="22">
        <f>SUM(D37:O37)</f>
        <v>1770</v>
      </c>
    </row>
    <row r="38" spans="1:16" s="11" customFormat="1" x14ac:dyDescent="0.25">
      <c r="A38" s="24">
        <v>34</v>
      </c>
      <c r="B38" s="7" t="s">
        <v>172</v>
      </c>
      <c r="C38" s="8" t="s">
        <v>256</v>
      </c>
      <c r="D38" s="22"/>
      <c r="E38" s="22">
        <v>500</v>
      </c>
      <c r="F38" s="22"/>
      <c r="G38" s="22"/>
      <c r="H38" s="22"/>
      <c r="I38" s="22"/>
      <c r="J38" s="22"/>
      <c r="K38" s="22"/>
      <c r="L38" s="22">
        <v>300</v>
      </c>
      <c r="M38" s="22"/>
      <c r="N38" s="22">
        <v>320</v>
      </c>
      <c r="O38" s="9"/>
      <c r="P38" s="22">
        <f>SUM(D38:O38)</f>
        <v>1120</v>
      </c>
    </row>
    <row r="39" spans="1:16" s="11" customFormat="1" x14ac:dyDescent="0.25">
      <c r="A39" s="24">
        <v>35</v>
      </c>
      <c r="B39" s="7" t="s">
        <v>122</v>
      </c>
      <c r="C39" s="8" t="s">
        <v>123</v>
      </c>
      <c r="D39" s="22"/>
      <c r="E39" s="22"/>
      <c r="F39" s="22">
        <v>500</v>
      </c>
      <c r="G39" s="22"/>
      <c r="H39" s="22"/>
      <c r="I39" s="22"/>
      <c r="J39" s="22">
        <v>500</v>
      </c>
      <c r="K39" s="22"/>
      <c r="L39" s="22"/>
      <c r="M39" s="22"/>
      <c r="N39" s="22"/>
      <c r="O39" s="9"/>
      <c r="P39" s="22">
        <f>SUM(D39:O39)</f>
        <v>1000</v>
      </c>
    </row>
    <row r="40" spans="1:16" s="11" customFormat="1" x14ac:dyDescent="0.25">
      <c r="A40" s="24">
        <v>36</v>
      </c>
      <c r="B40" s="7" t="s">
        <v>176</v>
      </c>
      <c r="C40" s="8" t="s">
        <v>177</v>
      </c>
      <c r="D40" s="22"/>
      <c r="E40" s="22"/>
      <c r="F40" s="22">
        <v>500</v>
      </c>
      <c r="G40" s="22"/>
      <c r="H40" s="22"/>
      <c r="I40" s="22"/>
      <c r="J40" s="22"/>
      <c r="K40" s="22"/>
      <c r="L40" s="22"/>
      <c r="M40" s="22"/>
      <c r="N40" s="22">
        <v>500</v>
      </c>
      <c r="O40" s="9"/>
      <c r="P40" s="22">
        <f>SUM(D40:O40)</f>
        <v>1000</v>
      </c>
    </row>
    <row r="41" spans="1:16" s="11" customFormat="1" x14ac:dyDescent="0.25">
      <c r="A41" s="24">
        <v>37</v>
      </c>
      <c r="B41" s="7" t="s">
        <v>170</v>
      </c>
      <c r="C41" s="8" t="s">
        <v>171</v>
      </c>
      <c r="D41" s="22"/>
      <c r="E41" s="22">
        <v>100</v>
      </c>
      <c r="F41" s="22">
        <v>100</v>
      </c>
      <c r="G41" s="22">
        <v>110</v>
      </c>
      <c r="H41" s="22">
        <v>110</v>
      </c>
      <c r="I41" s="22">
        <v>110</v>
      </c>
      <c r="J41" s="22">
        <v>200</v>
      </c>
      <c r="K41" s="22"/>
      <c r="L41" s="22"/>
      <c r="M41" s="79">
        <v>120</v>
      </c>
      <c r="N41" s="22"/>
      <c r="O41" s="9">
        <v>120</v>
      </c>
      <c r="P41" s="22">
        <f>SUM(D41:O41)</f>
        <v>970</v>
      </c>
    </row>
    <row r="42" spans="1:16" s="11" customFormat="1" x14ac:dyDescent="0.25">
      <c r="A42" s="24">
        <v>38</v>
      </c>
      <c r="B42" s="7" t="s">
        <v>134</v>
      </c>
      <c r="C42" s="10" t="s">
        <v>135</v>
      </c>
      <c r="D42" s="22"/>
      <c r="E42" s="22">
        <v>240</v>
      </c>
      <c r="F42" s="22"/>
      <c r="G42" s="22">
        <v>210</v>
      </c>
      <c r="H42" s="22"/>
      <c r="I42" s="22">
        <v>220</v>
      </c>
      <c r="J42" s="22"/>
      <c r="K42" s="22"/>
      <c r="L42" s="22">
        <v>200</v>
      </c>
      <c r="M42" s="22"/>
      <c r="N42" s="22"/>
      <c r="O42" s="9"/>
      <c r="P42" s="22">
        <f>SUM(D42:O42)</f>
        <v>870</v>
      </c>
    </row>
    <row r="43" spans="1:16" s="11" customFormat="1" x14ac:dyDescent="0.25">
      <c r="A43" s="24">
        <v>39</v>
      </c>
      <c r="B43" s="7" t="s">
        <v>150</v>
      </c>
      <c r="C43" s="8" t="s">
        <v>151</v>
      </c>
      <c r="D43" s="22"/>
      <c r="E43" s="22"/>
      <c r="F43" s="22">
        <v>195</v>
      </c>
      <c r="G43" s="22"/>
      <c r="H43" s="22"/>
      <c r="I43" s="22"/>
      <c r="J43" s="22">
        <v>130</v>
      </c>
      <c r="K43" s="22">
        <v>170</v>
      </c>
      <c r="L43" s="22">
        <v>160</v>
      </c>
      <c r="M43" s="22"/>
      <c r="N43" s="22">
        <v>170</v>
      </c>
      <c r="O43" s="15"/>
      <c r="P43" s="22">
        <f>SUM(D43:O43)</f>
        <v>825</v>
      </c>
    </row>
    <row r="44" spans="1:16" s="11" customFormat="1" x14ac:dyDescent="0.25">
      <c r="A44" s="24">
        <v>40</v>
      </c>
      <c r="B44" s="7" t="s">
        <v>162</v>
      </c>
      <c r="C44" s="8" t="s">
        <v>163</v>
      </c>
      <c r="D44" s="22">
        <v>340</v>
      </c>
      <c r="E44" s="22"/>
      <c r="F44" s="22"/>
      <c r="G44" s="22"/>
      <c r="H44" s="22">
        <v>200</v>
      </c>
      <c r="I44" s="22"/>
      <c r="J44" s="22"/>
      <c r="K44" s="22">
        <v>190</v>
      </c>
      <c r="L44" s="22"/>
      <c r="M44" s="22"/>
      <c r="N44" s="22"/>
      <c r="O44" s="9"/>
      <c r="P44" s="22">
        <f>SUM(D44:O44)</f>
        <v>730</v>
      </c>
    </row>
    <row r="45" spans="1:16" s="11" customFormat="1" x14ac:dyDescent="0.25">
      <c r="A45" s="24">
        <v>41</v>
      </c>
      <c r="B45" s="7" t="s">
        <v>148</v>
      </c>
      <c r="C45" s="8" t="s">
        <v>149</v>
      </c>
      <c r="D45" s="22">
        <v>140</v>
      </c>
      <c r="E45" s="22"/>
      <c r="F45" s="22">
        <v>180</v>
      </c>
      <c r="G45" s="22"/>
      <c r="H45" s="22">
        <v>100</v>
      </c>
      <c r="I45" s="22"/>
      <c r="J45" s="22"/>
      <c r="K45" s="22">
        <v>100</v>
      </c>
      <c r="L45" s="22"/>
      <c r="M45" s="22"/>
      <c r="N45" s="22"/>
      <c r="O45" s="15">
        <v>100</v>
      </c>
      <c r="P45" s="22">
        <f>SUM(D45:O45)</f>
        <v>620</v>
      </c>
    </row>
    <row r="46" spans="1:16" s="11" customFormat="1" x14ac:dyDescent="0.25">
      <c r="A46" s="24">
        <v>42</v>
      </c>
      <c r="B46" s="7" t="s">
        <v>156</v>
      </c>
      <c r="C46" s="8" t="s">
        <v>251</v>
      </c>
      <c r="D46" s="22">
        <v>200</v>
      </c>
      <c r="E46" s="22"/>
      <c r="F46" s="22">
        <v>180</v>
      </c>
      <c r="G46" s="22"/>
      <c r="H46" s="22">
        <v>200</v>
      </c>
      <c r="I46" s="22"/>
      <c r="J46" s="22"/>
      <c r="K46" s="22"/>
      <c r="L46" s="22"/>
      <c r="M46" s="22"/>
      <c r="N46" s="22"/>
      <c r="O46" s="9"/>
      <c r="P46" s="22">
        <f>SUM(D46:O46)</f>
        <v>580</v>
      </c>
    </row>
    <row r="47" spans="1:16" s="11" customFormat="1" x14ac:dyDescent="0.25">
      <c r="A47" s="24">
        <v>43</v>
      </c>
      <c r="B47" s="7" t="s">
        <v>158</v>
      </c>
      <c r="C47" s="8" t="s">
        <v>159</v>
      </c>
      <c r="D47" s="22"/>
      <c r="E47" s="22"/>
      <c r="F47" s="22"/>
      <c r="G47" s="22"/>
      <c r="H47" s="22"/>
      <c r="I47" s="22">
        <v>250</v>
      </c>
      <c r="J47" s="22"/>
      <c r="K47" s="22"/>
      <c r="L47" s="22"/>
      <c r="M47" s="22"/>
      <c r="N47" s="22"/>
      <c r="O47" s="9">
        <v>300</v>
      </c>
      <c r="P47" s="22">
        <f>SUM(D47:O47)</f>
        <v>550</v>
      </c>
    </row>
    <row r="48" spans="1:16" s="11" customFormat="1" x14ac:dyDescent="0.25">
      <c r="A48" s="24">
        <v>44</v>
      </c>
      <c r="B48" s="7" t="s">
        <v>197</v>
      </c>
      <c r="C48" s="8" t="s">
        <v>209</v>
      </c>
      <c r="D48" s="22"/>
      <c r="E48" s="22"/>
      <c r="F48" s="22"/>
      <c r="G48" s="22"/>
      <c r="H48" s="22"/>
      <c r="I48" s="22">
        <v>530</v>
      </c>
      <c r="J48" s="22"/>
      <c r="K48" s="22"/>
      <c r="L48" s="22"/>
      <c r="M48" s="22"/>
      <c r="N48" s="22"/>
      <c r="O48" s="9"/>
      <c r="P48" s="22">
        <f>SUM(D48:O48)</f>
        <v>530</v>
      </c>
    </row>
    <row r="49" spans="1:16" s="11" customFormat="1" x14ac:dyDescent="0.25">
      <c r="A49" s="24">
        <v>45</v>
      </c>
      <c r="B49" s="7" t="s">
        <v>196</v>
      </c>
      <c r="C49" s="8" t="s">
        <v>208</v>
      </c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>
        <v>520</v>
      </c>
      <c r="O49" s="9"/>
      <c r="P49" s="22">
        <f>SUM(D49:O49)</f>
        <v>520</v>
      </c>
    </row>
    <row r="50" spans="1:16" s="11" customFormat="1" x14ac:dyDescent="0.25">
      <c r="A50" s="24">
        <v>46</v>
      </c>
      <c r="B50" s="7" t="s">
        <v>160</v>
      </c>
      <c r="C50" s="8" t="s">
        <v>161</v>
      </c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>
        <v>510</v>
      </c>
      <c r="O50" s="9"/>
      <c r="P50" s="22">
        <f>SUM(D50:O50)</f>
        <v>510</v>
      </c>
    </row>
    <row r="51" spans="1:16" s="11" customFormat="1" x14ac:dyDescent="0.25">
      <c r="A51" s="24">
        <v>47</v>
      </c>
      <c r="B51" s="7" t="s">
        <v>198</v>
      </c>
      <c r="C51" s="10" t="s">
        <v>210</v>
      </c>
      <c r="D51" s="22"/>
      <c r="E51" s="22"/>
      <c r="F51" s="22"/>
      <c r="G51" s="22"/>
      <c r="H51" s="22"/>
      <c r="I51" s="22"/>
      <c r="J51" s="22">
        <v>510</v>
      </c>
      <c r="K51" s="22"/>
      <c r="L51" s="22"/>
      <c r="M51" s="22"/>
      <c r="N51" s="22"/>
      <c r="O51" s="9"/>
      <c r="P51" s="22">
        <f>SUM(D51:O51)</f>
        <v>510</v>
      </c>
    </row>
    <row r="52" spans="1:16" s="11" customFormat="1" x14ac:dyDescent="0.25">
      <c r="A52" s="24">
        <v>48</v>
      </c>
      <c r="B52" s="7" t="s">
        <v>98</v>
      </c>
      <c r="C52" s="10" t="s">
        <v>99</v>
      </c>
      <c r="D52" s="22"/>
      <c r="E52" s="22"/>
      <c r="F52" s="22">
        <v>500</v>
      </c>
      <c r="G52" s="22"/>
      <c r="H52" s="22"/>
      <c r="I52" s="22"/>
      <c r="J52" s="22"/>
      <c r="K52" s="22"/>
      <c r="L52" s="22"/>
      <c r="M52" s="22"/>
      <c r="N52" s="22"/>
      <c r="O52" s="9"/>
      <c r="P52" s="22">
        <f>SUM(D52:O52)</f>
        <v>500</v>
      </c>
    </row>
    <row r="53" spans="1:16" s="11" customFormat="1" x14ac:dyDescent="0.25">
      <c r="A53" s="24">
        <v>49</v>
      </c>
      <c r="B53" s="7" t="s">
        <v>189</v>
      </c>
      <c r="C53" s="8" t="s">
        <v>205</v>
      </c>
      <c r="D53" s="22">
        <v>500</v>
      </c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15"/>
      <c r="P53" s="22">
        <f>SUM(D53:O53)</f>
        <v>500</v>
      </c>
    </row>
    <row r="54" spans="1:16" s="11" customFormat="1" x14ac:dyDescent="0.25">
      <c r="A54" s="24">
        <v>50</v>
      </c>
      <c r="B54" s="7" t="s">
        <v>195</v>
      </c>
      <c r="C54" s="8" t="s">
        <v>207</v>
      </c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>
        <v>500</v>
      </c>
      <c r="O54" s="9"/>
      <c r="P54" s="22">
        <f>SUM(D54:O54)</f>
        <v>500</v>
      </c>
    </row>
    <row r="55" spans="1:16" s="11" customFormat="1" x14ac:dyDescent="0.25">
      <c r="A55" s="24">
        <v>51</v>
      </c>
      <c r="B55" s="7" t="s">
        <v>174</v>
      </c>
      <c r="C55" s="8" t="s">
        <v>257</v>
      </c>
      <c r="D55" s="22"/>
      <c r="E55" s="22">
        <v>500</v>
      </c>
      <c r="F55" s="22"/>
      <c r="G55" s="22"/>
      <c r="H55" s="22"/>
      <c r="I55" s="22"/>
      <c r="J55" s="22"/>
      <c r="K55" s="22"/>
      <c r="L55" s="22"/>
      <c r="M55" s="22"/>
      <c r="N55" s="22"/>
      <c r="O55" s="9"/>
      <c r="P55" s="22">
        <f>SUM(D55:O55)</f>
        <v>500</v>
      </c>
    </row>
    <row r="56" spans="1:16" s="11" customFormat="1" x14ac:dyDescent="0.25">
      <c r="A56" s="24">
        <v>52</v>
      </c>
      <c r="B56" s="7" t="s">
        <v>190</v>
      </c>
      <c r="C56" s="8" t="s">
        <v>206</v>
      </c>
      <c r="D56" s="22">
        <v>28</v>
      </c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9"/>
      <c r="P56" s="22">
        <f>SUM(D56:O56)</f>
        <v>28</v>
      </c>
    </row>
    <row r="57" spans="1:16" s="2" customFormat="1" ht="20.100000000000001" customHeight="1" x14ac:dyDescent="0.25">
      <c r="A57" s="186" t="s">
        <v>289</v>
      </c>
      <c r="B57" s="186"/>
      <c r="C57" s="186"/>
      <c r="D57" s="86">
        <f>SUM(D5:D56)</f>
        <v>60118</v>
      </c>
      <c r="E57" s="86">
        <f>SUM(E5:E56)</f>
        <v>26375</v>
      </c>
      <c r="F57" s="86">
        <f>SUM(F5:F56)</f>
        <v>49405</v>
      </c>
      <c r="G57" s="86">
        <f>SUM(G5:G56)</f>
        <v>43945</v>
      </c>
      <c r="H57" s="86">
        <f>SUM(H5:H56)</f>
        <v>50935</v>
      </c>
      <c r="I57" s="86">
        <f>SUM(I5:I56)</f>
        <v>46520</v>
      </c>
      <c r="J57" s="86">
        <f>SUM(J5:J56)</f>
        <v>71635</v>
      </c>
      <c r="K57" s="86">
        <f>SUM(K5:K56)</f>
        <v>50824</v>
      </c>
      <c r="L57" s="86">
        <f>SUM(L5:L56)</f>
        <v>18531</v>
      </c>
      <c r="M57" s="86">
        <f>SUM(M5:M56)</f>
        <v>24930</v>
      </c>
      <c r="N57" s="86">
        <f>SUM(N5:N56)</f>
        <v>32420</v>
      </c>
      <c r="O57" s="86">
        <f>SUM(O5:O56)</f>
        <v>26131</v>
      </c>
      <c r="P57" s="86">
        <f>SUM(P5:P56)</f>
        <v>501769</v>
      </c>
    </row>
    <row r="58" spans="1:16" s="75" customFormat="1" ht="20.100000000000001" customHeight="1" x14ac:dyDescent="0.25">
      <c r="A58" s="187" t="s">
        <v>290</v>
      </c>
      <c r="B58" s="187"/>
      <c r="C58" s="187"/>
      <c r="D58" s="87">
        <f>MAX(D5:D56)</f>
        <v>23530</v>
      </c>
      <c r="E58" s="87">
        <f>MAX(E5:E56)</f>
        <v>5035</v>
      </c>
      <c r="F58" s="87">
        <f>MAX(F5:F56)</f>
        <v>11640</v>
      </c>
      <c r="G58" s="87">
        <f>MAX(G5:G56)</f>
        <v>14265</v>
      </c>
      <c r="H58" s="87">
        <f>MAX(H5:H56)</f>
        <v>17900</v>
      </c>
      <c r="I58" s="87">
        <f>MAX(I5:I56)</f>
        <v>9505</v>
      </c>
      <c r="J58" s="87">
        <f>MAX(J5:J56)</f>
        <v>25450</v>
      </c>
      <c r="K58" s="87">
        <f>MAX(K5:K56)</f>
        <v>20240</v>
      </c>
      <c r="L58" s="87">
        <f>MAX(L5:L56)</f>
        <v>3580</v>
      </c>
      <c r="M58" s="87">
        <f>MAX(M5:M56)</f>
        <v>7000</v>
      </c>
      <c r="N58" s="87">
        <f>MAX(N5:N56)</f>
        <v>4740</v>
      </c>
      <c r="O58" s="87">
        <f>MAX(O5:O56)</f>
        <v>4650</v>
      </c>
      <c r="P58" s="87">
        <f>MAX(P5:P56)</f>
        <v>144535</v>
      </c>
    </row>
    <row r="59" spans="1:16" s="75" customFormat="1" ht="20.100000000000001" customHeight="1" x14ac:dyDescent="0.25">
      <c r="A59" s="188" t="s">
        <v>291</v>
      </c>
      <c r="B59" s="188"/>
      <c r="C59" s="188"/>
      <c r="D59" s="88">
        <f>MIN(D5:D56)</f>
        <v>28</v>
      </c>
      <c r="E59" s="88">
        <f>MIN(E5:E56)</f>
        <v>100</v>
      </c>
      <c r="F59" s="88">
        <f>MIN(F5:F56)</f>
        <v>100</v>
      </c>
      <c r="G59" s="88">
        <f>MIN(G5:G56)</f>
        <v>110</v>
      </c>
      <c r="H59" s="88">
        <f>MIN(H5:H56)</f>
        <v>100</v>
      </c>
      <c r="I59" s="88">
        <f>MIN(I5:I56)</f>
        <v>110</v>
      </c>
      <c r="J59" s="88">
        <f>MIN(J5:J56)</f>
        <v>130</v>
      </c>
      <c r="K59" s="88">
        <f>MIN(K5:K56)</f>
        <v>100</v>
      </c>
      <c r="L59" s="88">
        <f>MIN(L5:L56)</f>
        <v>100</v>
      </c>
      <c r="M59" s="88">
        <f>MIN(M5:M56)</f>
        <v>120</v>
      </c>
      <c r="N59" s="88">
        <f>MIN(N5:N56)</f>
        <v>170</v>
      </c>
      <c r="O59" s="88">
        <f>MIN(O5:O56)</f>
        <v>100</v>
      </c>
      <c r="P59" s="88">
        <f>MIN(P5:P56)</f>
        <v>28</v>
      </c>
    </row>
    <row r="60" spans="1:16" s="75" customFormat="1" ht="20.100000000000001" customHeight="1" x14ac:dyDescent="0.25">
      <c r="A60" s="189" t="s">
        <v>292</v>
      </c>
      <c r="B60" s="189"/>
      <c r="C60" s="189"/>
      <c r="D60" s="89">
        <f>AVERAGE(D5:D56)</f>
        <v>1821.7575757575758</v>
      </c>
      <c r="E60" s="89">
        <f>AVERAGE(E5:E56)</f>
        <v>1198.8636363636363</v>
      </c>
      <c r="F60" s="89">
        <f>AVERAGE(F5:F56)</f>
        <v>1593.7096774193549</v>
      </c>
      <c r="G60" s="89">
        <f>AVERAGE(G5:G56)</f>
        <v>1831.0416666666667</v>
      </c>
      <c r="H60" s="89">
        <f>AVERAGE(H5:H56)</f>
        <v>1756.3793103448277</v>
      </c>
      <c r="I60" s="89">
        <f>AVERAGE(I5:I56)</f>
        <v>1789.2307692307693</v>
      </c>
      <c r="J60" s="89">
        <f>AVERAGE(J5:J56)</f>
        <v>2238.59375</v>
      </c>
      <c r="K60" s="89">
        <f>AVERAGE(K5:K56)</f>
        <v>1815.1428571428571</v>
      </c>
      <c r="L60" s="89">
        <f>AVERAGE(L5:L56)</f>
        <v>882.42857142857144</v>
      </c>
      <c r="M60" s="89">
        <f>AVERAGE(M5:M56)</f>
        <v>1312.1052631578948</v>
      </c>
      <c r="N60" s="89">
        <f>AVERAGE(N5:N56)</f>
        <v>1246.9230769230769</v>
      </c>
      <c r="O60" s="89">
        <f>AVERAGE(O5:O56)</f>
        <v>1136.1304347826087</v>
      </c>
      <c r="P60" s="89">
        <f>AVERAGE(P5:P56)</f>
        <v>9649.4038461538457</v>
      </c>
    </row>
    <row r="61" spans="1:16" s="75" customFormat="1" ht="20.100000000000001" customHeight="1" x14ac:dyDescent="0.25">
      <c r="A61" s="190" t="s">
        <v>293</v>
      </c>
      <c r="B61" s="190"/>
      <c r="C61" s="190"/>
      <c r="D61" s="90">
        <f>COUNT(D5:D56)</f>
        <v>33</v>
      </c>
      <c r="E61" s="90">
        <f>COUNT(E5:E56)</f>
        <v>22</v>
      </c>
      <c r="F61" s="90">
        <f>COUNT(F5:F56)</f>
        <v>31</v>
      </c>
      <c r="G61" s="90">
        <f>COUNT(G5:G56)</f>
        <v>24</v>
      </c>
      <c r="H61" s="90">
        <f>COUNT(H5:H56)</f>
        <v>29</v>
      </c>
      <c r="I61" s="90">
        <f>COUNT(I5:I56)</f>
        <v>26</v>
      </c>
      <c r="J61" s="90">
        <f>COUNT(J5:J56)</f>
        <v>32</v>
      </c>
      <c r="K61" s="90">
        <f>COUNT(K5:K56)</f>
        <v>28</v>
      </c>
      <c r="L61" s="90">
        <f>COUNT(L5:L56)</f>
        <v>21</v>
      </c>
      <c r="M61" s="90">
        <f>COUNT(M5:M56)</f>
        <v>19</v>
      </c>
      <c r="N61" s="90">
        <f>COUNT(N5:N56)</f>
        <v>26</v>
      </c>
      <c r="O61" s="90">
        <f>COUNT(O5:O56)</f>
        <v>23</v>
      </c>
      <c r="P61" s="90">
        <f>COUNT(P5:P56)</f>
        <v>52</v>
      </c>
    </row>
    <row r="65" spans="15:15" x14ac:dyDescent="0.45">
      <c r="O65" s="30"/>
    </row>
  </sheetData>
  <sortState ref="A5:P74">
    <sortCondition descending="1" ref="P5:P74"/>
  </sortState>
  <mergeCells count="11">
    <mergeCell ref="A61:C61"/>
    <mergeCell ref="A1:P1"/>
    <mergeCell ref="N2:P2"/>
    <mergeCell ref="A58:C58"/>
    <mergeCell ref="A59:C59"/>
    <mergeCell ref="A60:C60"/>
    <mergeCell ref="A57:C57"/>
    <mergeCell ref="A3:A4"/>
    <mergeCell ref="B3:B4"/>
    <mergeCell ref="C3:C4"/>
    <mergeCell ref="P3:P4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"/>
  <sheetViews>
    <sheetView workbookViewId="0">
      <selection activeCell="D9" sqref="D9"/>
    </sheetView>
  </sheetViews>
  <sheetFormatPr defaultRowHeight="19.5" x14ac:dyDescent="0.5"/>
  <cols>
    <col min="1" max="1" width="7" style="71" customWidth="1"/>
    <col min="2" max="2" width="9.140625" style="73"/>
    <col min="3" max="3" width="38" style="74" customWidth="1"/>
    <col min="4" max="8" width="9.140625" style="71" customWidth="1"/>
    <col min="9" max="9" width="11.7109375" style="170" bestFit="1" customWidth="1"/>
    <col min="10" max="10" width="8" style="71" customWidth="1"/>
    <col min="11" max="16384" width="9.140625" style="71"/>
  </cols>
  <sheetData>
    <row r="1" spans="1:9" s="63" customFormat="1" ht="30.75" customHeight="1" x14ac:dyDescent="0.25">
      <c r="A1" s="222" t="s">
        <v>304</v>
      </c>
      <c r="B1" s="222"/>
      <c r="C1" s="222"/>
      <c r="D1" s="222"/>
      <c r="E1" s="222"/>
      <c r="F1" s="222"/>
      <c r="G1" s="222"/>
      <c r="H1" s="222"/>
      <c r="I1" s="222"/>
    </row>
    <row r="2" spans="1:9" s="66" customFormat="1" ht="24.75" customHeight="1" x14ac:dyDescent="0.25">
      <c r="A2" s="68"/>
      <c r="B2" s="92"/>
      <c r="C2" s="68"/>
      <c r="D2" s="68"/>
      <c r="E2" s="68"/>
      <c r="F2" s="68"/>
      <c r="G2" s="68"/>
      <c r="H2" s="221" t="s">
        <v>294</v>
      </c>
      <c r="I2" s="221"/>
    </row>
    <row r="3" spans="1:9" s="66" customFormat="1" ht="39" x14ac:dyDescent="0.25">
      <c r="A3" s="91" t="s">
        <v>211</v>
      </c>
      <c r="B3" s="120" t="s">
        <v>212</v>
      </c>
      <c r="C3" s="91" t="s">
        <v>186</v>
      </c>
      <c r="D3" s="69">
        <v>2018</v>
      </c>
      <c r="E3" s="69">
        <v>2019</v>
      </c>
      <c r="F3" s="69">
        <v>2020</v>
      </c>
      <c r="G3" s="69">
        <v>2021</v>
      </c>
      <c r="H3" s="69">
        <v>2022</v>
      </c>
      <c r="I3" s="78" t="s">
        <v>289</v>
      </c>
    </row>
    <row r="4" spans="1:9" ht="24" customHeight="1" x14ac:dyDescent="0.5">
      <c r="A4" s="70">
        <v>1</v>
      </c>
      <c r="B4" s="34" t="s">
        <v>78</v>
      </c>
      <c r="C4" s="33" t="s">
        <v>79</v>
      </c>
      <c r="D4" s="84">
        <v>144890</v>
      </c>
      <c r="E4" s="84">
        <v>251420</v>
      </c>
      <c r="F4" s="84">
        <v>208995</v>
      </c>
      <c r="G4" s="84">
        <v>145350</v>
      </c>
      <c r="H4" s="84">
        <v>144535</v>
      </c>
      <c r="I4" s="67">
        <f>SUM(D4:H4)</f>
        <v>895190</v>
      </c>
    </row>
    <row r="5" spans="1:9" ht="24" customHeight="1" x14ac:dyDescent="0.5">
      <c r="A5" s="70">
        <v>2</v>
      </c>
      <c r="B5" s="34" t="s">
        <v>80</v>
      </c>
      <c r="C5" s="33" t="s">
        <v>81</v>
      </c>
      <c r="D5" s="84">
        <v>119341</v>
      </c>
      <c r="E5" s="84">
        <v>133311</v>
      </c>
      <c r="F5" s="84">
        <v>69830</v>
      </c>
      <c r="G5" s="84">
        <v>86240</v>
      </c>
      <c r="H5" s="84">
        <v>82400</v>
      </c>
      <c r="I5" s="67">
        <f>SUM(D5:H5)</f>
        <v>491122</v>
      </c>
    </row>
    <row r="6" spans="1:9" ht="24" customHeight="1" x14ac:dyDescent="0.5">
      <c r="A6" s="70">
        <v>3</v>
      </c>
      <c r="B6" s="34" t="s">
        <v>94</v>
      </c>
      <c r="C6" s="33" t="s">
        <v>281</v>
      </c>
      <c r="D6" s="84">
        <v>60540</v>
      </c>
      <c r="E6" s="84">
        <v>46780</v>
      </c>
      <c r="F6" s="84">
        <v>39000</v>
      </c>
      <c r="G6" s="84">
        <v>36515</v>
      </c>
      <c r="H6" s="84">
        <v>26900</v>
      </c>
      <c r="I6" s="67">
        <f>SUM(D6:H6)</f>
        <v>209735</v>
      </c>
    </row>
    <row r="7" spans="1:9" ht="24" customHeight="1" x14ac:dyDescent="0.5">
      <c r="A7" s="70">
        <v>4</v>
      </c>
      <c r="B7" s="34" t="s">
        <v>82</v>
      </c>
      <c r="C7" s="33" t="s">
        <v>83</v>
      </c>
      <c r="D7" s="84">
        <v>34565</v>
      </c>
      <c r="E7" s="84">
        <v>43985</v>
      </c>
      <c r="F7" s="84">
        <v>37445</v>
      </c>
      <c r="G7" s="84">
        <v>27338</v>
      </c>
      <c r="H7" s="84">
        <v>18100</v>
      </c>
      <c r="I7" s="67">
        <f>SUM(D7:H7)</f>
        <v>161433</v>
      </c>
    </row>
    <row r="8" spans="1:9" ht="24" customHeight="1" x14ac:dyDescent="0.5">
      <c r="A8" s="70">
        <v>5</v>
      </c>
      <c r="B8" s="34" t="s">
        <v>96</v>
      </c>
      <c r="C8" s="33" t="s">
        <v>97</v>
      </c>
      <c r="D8" s="84"/>
      <c r="E8" s="84"/>
      <c r="F8" s="84">
        <v>27885</v>
      </c>
      <c r="G8" s="84">
        <v>42390</v>
      </c>
      <c r="H8" s="84">
        <v>50611</v>
      </c>
      <c r="I8" s="67">
        <f>SUM(D8:H8)</f>
        <v>120886</v>
      </c>
    </row>
    <row r="9" spans="1:9" ht="24" customHeight="1" x14ac:dyDescent="0.5">
      <c r="A9" s="70">
        <v>6</v>
      </c>
      <c r="B9" s="34" t="s">
        <v>178</v>
      </c>
      <c r="C9" s="33" t="s">
        <v>179</v>
      </c>
      <c r="D9" s="84">
        <v>30135</v>
      </c>
      <c r="E9" s="84">
        <v>43340</v>
      </c>
      <c r="F9" s="84">
        <v>24950</v>
      </c>
      <c r="G9" s="84">
        <v>12200</v>
      </c>
      <c r="H9" s="84"/>
      <c r="I9" s="67">
        <f>SUM(D9:H9)</f>
        <v>110625</v>
      </c>
    </row>
    <row r="10" spans="1:9" ht="24" customHeight="1" x14ac:dyDescent="0.5">
      <c r="A10" s="70">
        <v>7</v>
      </c>
      <c r="B10" s="34" t="s">
        <v>88</v>
      </c>
      <c r="C10" s="33" t="s">
        <v>278</v>
      </c>
      <c r="D10" s="84">
        <v>18030</v>
      </c>
      <c r="E10" s="84">
        <v>31680</v>
      </c>
      <c r="F10" s="234">
        <v>22205</v>
      </c>
      <c r="G10" s="84">
        <v>18250</v>
      </c>
      <c r="H10" s="84">
        <v>12560</v>
      </c>
      <c r="I10" s="67">
        <f>SUM(D10:H10)</f>
        <v>102725</v>
      </c>
    </row>
    <row r="11" spans="1:9" ht="24" customHeight="1" x14ac:dyDescent="0.5">
      <c r="A11" s="70">
        <v>8</v>
      </c>
      <c r="B11" s="34" t="s">
        <v>86</v>
      </c>
      <c r="C11" s="33" t="s">
        <v>87</v>
      </c>
      <c r="D11" s="84">
        <v>23115</v>
      </c>
      <c r="E11" s="84">
        <v>34090</v>
      </c>
      <c r="F11" s="84">
        <v>24125</v>
      </c>
      <c r="G11" s="84">
        <v>10845</v>
      </c>
      <c r="H11" s="84">
        <v>6660</v>
      </c>
      <c r="I11" s="67">
        <f>SUM(D11:H11)</f>
        <v>98835</v>
      </c>
    </row>
    <row r="12" spans="1:9" ht="24" customHeight="1" x14ac:dyDescent="0.5">
      <c r="A12" s="70">
        <v>9</v>
      </c>
      <c r="B12" s="34" t="s">
        <v>104</v>
      </c>
      <c r="C12" s="33" t="s">
        <v>105</v>
      </c>
      <c r="D12" s="84">
        <v>9380</v>
      </c>
      <c r="E12" s="84">
        <v>30055</v>
      </c>
      <c r="F12" s="85">
        <f>23605-300</f>
        <v>23305</v>
      </c>
      <c r="G12" s="84">
        <v>16859</v>
      </c>
      <c r="H12" s="84">
        <v>14650</v>
      </c>
      <c r="I12" s="67">
        <f>SUM(D12:H12)</f>
        <v>94249</v>
      </c>
    </row>
    <row r="13" spans="1:9" ht="24" customHeight="1" x14ac:dyDescent="0.5">
      <c r="A13" s="70">
        <v>10</v>
      </c>
      <c r="B13" s="34" t="s">
        <v>92</v>
      </c>
      <c r="C13" s="33" t="s">
        <v>93</v>
      </c>
      <c r="D13" s="84">
        <v>21685</v>
      </c>
      <c r="E13" s="84">
        <v>29145</v>
      </c>
      <c r="F13" s="84">
        <v>17070</v>
      </c>
      <c r="G13" s="84">
        <v>8720</v>
      </c>
      <c r="H13" s="84">
        <v>6500</v>
      </c>
      <c r="I13" s="67">
        <f>SUM(D13:H13)</f>
        <v>83120</v>
      </c>
    </row>
    <row r="14" spans="1:9" ht="24" customHeight="1" x14ac:dyDescent="0.5">
      <c r="A14" s="70">
        <v>11</v>
      </c>
      <c r="B14" s="34" t="s">
        <v>102</v>
      </c>
      <c r="C14" s="33" t="s">
        <v>103</v>
      </c>
      <c r="D14" s="84">
        <v>28039</v>
      </c>
      <c r="E14" s="84">
        <v>32495</v>
      </c>
      <c r="F14" s="84">
        <v>7300</v>
      </c>
      <c r="G14" s="84">
        <v>1100</v>
      </c>
      <c r="H14" s="84"/>
      <c r="I14" s="67">
        <f>SUM(D14:H14)</f>
        <v>68934</v>
      </c>
    </row>
    <row r="15" spans="1:9" ht="24" customHeight="1" x14ac:dyDescent="0.5">
      <c r="A15" s="70">
        <v>12</v>
      </c>
      <c r="B15" s="34" t="s">
        <v>128</v>
      </c>
      <c r="C15" s="33" t="s">
        <v>129</v>
      </c>
      <c r="D15" s="84">
        <v>6140</v>
      </c>
      <c r="E15" s="84">
        <v>27920</v>
      </c>
      <c r="F15" s="84">
        <v>18685</v>
      </c>
      <c r="G15" s="84">
        <v>8520</v>
      </c>
      <c r="H15" s="84">
        <v>5500</v>
      </c>
      <c r="I15" s="67">
        <f>SUM(D15:H15)</f>
        <v>66765</v>
      </c>
    </row>
    <row r="16" spans="1:9" ht="24" customHeight="1" x14ac:dyDescent="0.5">
      <c r="A16" s="70">
        <v>13</v>
      </c>
      <c r="B16" s="34" t="s">
        <v>90</v>
      </c>
      <c r="C16" s="33" t="s">
        <v>91</v>
      </c>
      <c r="D16" s="84">
        <v>14855</v>
      </c>
      <c r="E16" s="84">
        <v>21635</v>
      </c>
      <c r="F16" s="233">
        <f>8450+75</f>
        <v>8525</v>
      </c>
      <c r="G16" s="84">
        <v>5865</v>
      </c>
      <c r="H16" s="84">
        <v>3515</v>
      </c>
      <c r="I16" s="67">
        <f>SUM(D16:H16)</f>
        <v>54395</v>
      </c>
    </row>
    <row r="17" spans="1:9" ht="24" customHeight="1" x14ac:dyDescent="0.5">
      <c r="A17" s="70">
        <v>14</v>
      </c>
      <c r="B17" s="34" t="s">
        <v>126</v>
      </c>
      <c r="C17" s="33" t="s">
        <v>282</v>
      </c>
      <c r="D17" s="84">
        <v>8000</v>
      </c>
      <c r="E17" s="84">
        <v>16520</v>
      </c>
      <c r="F17" s="84">
        <v>12030</v>
      </c>
      <c r="G17" s="84">
        <v>4275</v>
      </c>
      <c r="H17" s="84">
        <v>2800</v>
      </c>
      <c r="I17" s="67">
        <f>SUM(D17:H17)</f>
        <v>43625</v>
      </c>
    </row>
    <row r="18" spans="1:9" ht="24" customHeight="1" x14ac:dyDescent="0.5">
      <c r="A18" s="70">
        <v>15</v>
      </c>
      <c r="B18" s="34" t="s">
        <v>136</v>
      </c>
      <c r="C18" s="33" t="s">
        <v>137</v>
      </c>
      <c r="D18" s="84"/>
      <c r="E18" s="84">
        <v>3160</v>
      </c>
      <c r="F18" s="84">
        <v>18160</v>
      </c>
      <c r="G18" s="84">
        <v>13347</v>
      </c>
      <c r="H18" s="84">
        <v>8930</v>
      </c>
      <c r="I18" s="67">
        <f>SUM(D18:H18)</f>
        <v>43597</v>
      </c>
    </row>
    <row r="19" spans="1:9" ht="24" customHeight="1" x14ac:dyDescent="0.5">
      <c r="A19" s="70">
        <v>16</v>
      </c>
      <c r="B19" s="34" t="s">
        <v>130</v>
      </c>
      <c r="C19" s="33" t="s">
        <v>131</v>
      </c>
      <c r="D19" s="84">
        <v>2400</v>
      </c>
      <c r="E19" s="84">
        <v>12597</v>
      </c>
      <c r="F19" s="84">
        <v>11090</v>
      </c>
      <c r="G19" s="84">
        <v>9910</v>
      </c>
      <c r="H19" s="84">
        <v>7020</v>
      </c>
      <c r="I19" s="67">
        <f>SUM(D19:H19)</f>
        <v>43017</v>
      </c>
    </row>
    <row r="20" spans="1:9" ht="24" customHeight="1" x14ac:dyDescent="0.5">
      <c r="A20" s="70">
        <v>17</v>
      </c>
      <c r="B20" s="34" t="s">
        <v>100</v>
      </c>
      <c r="C20" s="33" t="s">
        <v>101</v>
      </c>
      <c r="D20" s="84">
        <v>1500</v>
      </c>
      <c r="E20" s="84">
        <v>7600</v>
      </c>
      <c r="F20" s="84">
        <v>8745</v>
      </c>
      <c r="G20" s="84">
        <v>12605</v>
      </c>
      <c r="H20" s="84">
        <v>7000</v>
      </c>
      <c r="I20" s="67">
        <f>SUM(D20:H20)</f>
        <v>37450</v>
      </c>
    </row>
    <row r="21" spans="1:9" ht="24" customHeight="1" x14ac:dyDescent="0.5">
      <c r="A21" s="70">
        <v>18</v>
      </c>
      <c r="B21" s="34" t="s">
        <v>112</v>
      </c>
      <c r="C21" s="33" t="s">
        <v>113</v>
      </c>
      <c r="D21" s="84">
        <v>4570</v>
      </c>
      <c r="E21" s="84">
        <v>6410</v>
      </c>
      <c r="F21" s="84">
        <v>4740</v>
      </c>
      <c r="G21" s="84">
        <v>8110</v>
      </c>
      <c r="H21" s="84">
        <v>7200</v>
      </c>
      <c r="I21" s="67">
        <f>SUM(D21:H21)</f>
        <v>31030</v>
      </c>
    </row>
    <row r="22" spans="1:9" ht="24" customHeight="1" x14ac:dyDescent="0.5">
      <c r="A22" s="70">
        <v>19</v>
      </c>
      <c r="B22" s="34" t="s">
        <v>84</v>
      </c>
      <c r="C22" s="33" t="s">
        <v>85</v>
      </c>
      <c r="D22" s="84"/>
      <c r="E22" s="84"/>
      <c r="F22" s="84"/>
      <c r="G22" s="84">
        <v>25750</v>
      </c>
      <c r="H22" s="84">
        <v>4730</v>
      </c>
      <c r="I22" s="67">
        <f>SUM(D22:H22)</f>
        <v>30480</v>
      </c>
    </row>
    <row r="23" spans="1:9" ht="24" customHeight="1" x14ac:dyDescent="0.5">
      <c r="A23" s="70">
        <v>20</v>
      </c>
      <c r="B23" s="34" t="s">
        <v>110</v>
      </c>
      <c r="C23" s="33" t="s">
        <v>111</v>
      </c>
      <c r="D23" s="84">
        <v>3620</v>
      </c>
      <c r="E23" s="84">
        <v>9381</v>
      </c>
      <c r="F23" s="84">
        <v>8925</v>
      </c>
      <c r="G23" s="84">
        <v>5515</v>
      </c>
      <c r="H23" s="84"/>
      <c r="I23" s="67">
        <f>SUM(D23:H23)</f>
        <v>27441</v>
      </c>
    </row>
    <row r="24" spans="1:9" ht="24" customHeight="1" x14ac:dyDescent="0.5">
      <c r="A24" s="70">
        <v>21</v>
      </c>
      <c r="B24" s="34" t="s">
        <v>98</v>
      </c>
      <c r="C24" s="33" t="s">
        <v>99</v>
      </c>
      <c r="D24" s="84">
        <v>6200</v>
      </c>
      <c r="E24" s="84">
        <v>10690</v>
      </c>
      <c r="F24" s="84">
        <v>3950</v>
      </c>
      <c r="G24" s="84">
        <v>1500</v>
      </c>
      <c r="H24" s="84">
        <v>500</v>
      </c>
      <c r="I24" s="67">
        <f>SUM(D24:H24)</f>
        <v>22840</v>
      </c>
    </row>
    <row r="25" spans="1:9" ht="24" customHeight="1" x14ac:dyDescent="0.5">
      <c r="A25" s="70">
        <v>22</v>
      </c>
      <c r="B25" s="34" t="s">
        <v>142</v>
      </c>
      <c r="C25" s="33" t="s">
        <v>143</v>
      </c>
      <c r="D25" s="84"/>
      <c r="E25" s="84">
        <v>3300</v>
      </c>
      <c r="F25" s="84">
        <v>2540</v>
      </c>
      <c r="G25" s="84">
        <v>3500</v>
      </c>
      <c r="H25" s="84">
        <v>12660</v>
      </c>
      <c r="I25" s="67">
        <f>SUM(D25:H25)</f>
        <v>22000</v>
      </c>
    </row>
    <row r="26" spans="1:9" ht="24" customHeight="1" x14ac:dyDescent="0.5">
      <c r="A26" s="70">
        <v>23</v>
      </c>
      <c r="B26" s="34" t="s">
        <v>132</v>
      </c>
      <c r="C26" s="33" t="s">
        <v>285</v>
      </c>
      <c r="D26" s="84">
        <v>1960</v>
      </c>
      <c r="E26" s="84">
        <v>4200</v>
      </c>
      <c r="F26" s="84">
        <v>4775</v>
      </c>
      <c r="G26" s="84">
        <v>4210</v>
      </c>
      <c r="H26" s="84">
        <v>3270</v>
      </c>
      <c r="I26" s="67">
        <f>SUM(D26:H26)</f>
        <v>18415</v>
      </c>
    </row>
    <row r="27" spans="1:9" ht="24" customHeight="1" x14ac:dyDescent="0.5">
      <c r="A27" s="70">
        <v>24</v>
      </c>
      <c r="B27" s="34" t="s">
        <v>108</v>
      </c>
      <c r="C27" s="33" t="s">
        <v>109</v>
      </c>
      <c r="D27" s="84">
        <v>4905</v>
      </c>
      <c r="E27" s="84">
        <v>8455</v>
      </c>
      <c r="F27" s="84">
        <v>2500</v>
      </c>
      <c r="G27" s="84">
        <v>2500</v>
      </c>
      <c r="H27" s="84"/>
      <c r="I27" s="67">
        <f>SUM(D27:H27)</f>
        <v>18360</v>
      </c>
    </row>
    <row r="28" spans="1:9" ht="24" customHeight="1" x14ac:dyDescent="0.5">
      <c r="A28" s="70">
        <v>25</v>
      </c>
      <c r="B28" s="34" t="s">
        <v>138</v>
      </c>
      <c r="C28" s="33" t="s">
        <v>139</v>
      </c>
      <c r="D28" s="84"/>
      <c r="E28" s="84"/>
      <c r="F28" s="84">
        <v>3900</v>
      </c>
      <c r="G28" s="84">
        <v>5900</v>
      </c>
      <c r="H28" s="84">
        <v>8100</v>
      </c>
      <c r="I28" s="67">
        <f>SUM(D28:H28)</f>
        <v>17900</v>
      </c>
    </row>
    <row r="29" spans="1:9" ht="24" customHeight="1" x14ac:dyDescent="0.5">
      <c r="A29" s="70">
        <v>26</v>
      </c>
      <c r="B29" s="34" t="s">
        <v>124</v>
      </c>
      <c r="C29" s="33" t="s">
        <v>125</v>
      </c>
      <c r="D29" s="84">
        <v>740</v>
      </c>
      <c r="E29" s="84">
        <v>2920</v>
      </c>
      <c r="F29" s="84">
        <v>3540</v>
      </c>
      <c r="G29" s="84">
        <v>3445</v>
      </c>
      <c r="H29" s="84">
        <v>6960</v>
      </c>
      <c r="I29" s="67">
        <f>SUM(D29:H29)</f>
        <v>17605</v>
      </c>
    </row>
    <row r="30" spans="1:9" ht="24" customHeight="1" x14ac:dyDescent="0.5">
      <c r="A30" s="70">
        <v>27</v>
      </c>
      <c r="B30" s="34" t="s">
        <v>288</v>
      </c>
      <c r="C30" s="72" t="s">
        <v>216</v>
      </c>
      <c r="D30" s="84"/>
      <c r="E30" s="84">
        <v>1940</v>
      </c>
      <c r="F30" s="84">
        <v>15484</v>
      </c>
      <c r="G30" s="84"/>
      <c r="H30" s="84"/>
      <c r="I30" s="67">
        <f>SUM(D30:H30)</f>
        <v>17424</v>
      </c>
    </row>
    <row r="31" spans="1:9" ht="24" customHeight="1" x14ac:dyDescent="0.5">
      <c r="A31" s="70">
        <v>28</v>
      </c>
      <c r="B31" s="34" t="s">
        <v>106</v>
      </c>
      <c r="C31" s="33" t="s">
        <v>107</v>
      </c>
      <c r="D31" s="84">
        <v>5450</v>
      </c>
      <c r="E31" s="84">
        <v>6010</v>
      </c>
      <c r="F31" s="85">
        <f>1970+300</f>
        <v>2270</v>
      </c>
      <c r="G31" s="84">
        <v>500</v>
      </c>
      <c r="H31" s="84"/>
      <c r="I31" s="67">
        <f>SUM(D31:H31)</f>
        <v>14230</v>
      </c>
    </row>
    <row r="32" spans="1:9" ht="24" customHeight="1" x14ac:dyDescent="0.5">
      <c r="A32" s="70">
        <v>29</v>
      </c>
      <c r="B32" s="34" t="s">
        <v>114</v>
      </c>
      <c r="C32" s="33" t="s">
        <v>115</v>
      </c>
      <c r="D32" s="84">
        <v>1900</v>
      </c>
      <c r="E32" s="84">
        <v>1500</v>
      </c>
      <c r="F32" s="84">
        <v>2950</v>
      </c>
      <c r="G32" s="84">
        <v>4915</v>
      </c>
      <c r="H32" s="84">
        <v>2105</v>
      </c>
      <c r="I32" s="67">
        <f>SUM(D32:H32)</f>
        <v>13370</v>
      </c>
    </row>
    <row r="33" spans="1:9" ht="24" customHeight="1" x14ac:dyDescent="0.5">
      <c r="A33" s="70">
        <v>30</v>
      </c>
      <c r="B33" s="34" t="s">
        <v>164</v>
      </c>
      <c r="C33" s="33" t="s">
        <v>165</v>
      </c>
      <c r="D33" s="84"/>
      <c r="E33" s="84"/>
      <c r="F33" s="84">
        <v>2500</v>
      </c>
      <c r="G33" s="84">
        <v>6860</v>
      </c>
      <c r="H33" s="84">
        <v>4000</v>
      </c>
      <c r="I33" s="67">
        <f>SUM(D33:H33)</f>
        <v>13360</v>
      </c>
    </row>
    <row r="34" spans="1:9" ht="24" customHeight="1" x14ac:dyDescent="0.5">
      <c r="A34" s="70">
        <v>31</v>
      </c>
      <c r="B34" s="34" t="s">
        <v>279</v>
      </c>
      <c r="C34" s="72" t="s">
        <v>280</v>
      </c>
      <c r="D34" s="84">
        <v>4030</v>
      </c>
      <c r="E34" s="84">
        <v>8320</v>
      </c>
      <c r="F34" s="84">
        <v>600</v>
      </c>
      <c r="G34" s="84"/>
      <c r="H34" s="84"/>
      <c r="I34" s="67">
        <f>SUM(D34:H34)</f>
        <v>12950</v>
      </c>
    </row>
    <row r="35" spans="1:9" ht="24" customHeight="1" x14ac:dyDescent="0.5">
      <c r="A35" s="70">
        <v>32</v>
      </c>
      <c r="B35" s="34" t="s">
        <v>154</v>
      </c>
      <c r="C35" s="33" t="s">
        <v>155</v>
      </c>
      <c r="D35" s="84">
        <v>1040</v>
      </c>
      <c r="E35" s="84">
        <v>500</v>
      </c>
      <c r="F35" s="84">
        <v>3575</v>
      </c>
      <c r="G35" s="84">
        <v>2270</v>
      </c>
      <c r="H35" s="84">
        <v>5290</v>
      </c>
      <c r="I35" s="67">
        <f>SUM(D35:H35)</f>
        <v>12675</v>
      </c>
    </row>
    <row r="36" spans="1:9" ht="24" customHeight="1" x14ac:dyDescent="0.5">
      <c r="A36" s="70">
        <v>33</v>
      </c>
      <c r="B36" s="34" t="s">
        <v>152</v>
      </c>
      <c r="C36" s="33" t="s">
        <v>283</v>
      </c>
      <c r="D36" s="84">
        <v>1540</v>
      </c>
      <c r="E36" s="84">
        <v>3590</v>
      </c>
      <c r="F36" s="84">
        <v>2820</v>
      </c>
      <c r="G36" s="84">
        <v>1040</v>
      </c>
      <c r="H36" s="84">
        <v>2730</v>
      </c>
      <c r="I36" s="67">
        <f>SUM(D36:H36)</f>
        <v>11720</v>
      </c>
    </row>
    <row r="37" spans="1:9" ht="24" customHeight="1" x14ac:dyDescent="0.5">
      <c r="A37" s="70">
        <v>34</v>
      </c>
      <c r="B37" s="34" t="s">
        <v>140</v>
      </c>
      <c r="C37" s="33" t="s">
        <v>141</v>
      </c>
      <c r="D37" s="84"/>
      <c r="E37" s="84"/>
      <c r="F37" s="84">
        <v>2810</v>
      </c>
      <c r="G37" s="84">
        <v>5090</v>
      </c>
      <c r="H37" s="84">
        <v>3610</v>
      </c>
      <c r="I37" s="67">
        <f>SUM(D37:H37)</f>
        <v>11510</v>
      </c>
    </row>
    <row r="38" spans="1:9" ht="24" customHeight="1" x14ac:dyDescent="0.5">
      <c r="A38" s="70">
        <v>35</v>
      </c>
      <c r="B38" s="34" t="s">
        <v>187</v>
      </c>
      <c r="C38" s="33" t="s">
        <v>203</v>
      </c>
      <c r="D38" s="84"/>
      <c r="E38" s="84"/>
      <c r="F38" s="84"/>
      <c r="G38" s="84"/>
      <c r="H38" s="84">
        <v>10000</v>
      </c>
      <c r="I38" s="67">
        <f>SUM(D38:H38)</f>
        <v>10000</v>
      </c>
    </row>
    <row r="39" spans="1:9" ht="24" customHeight="1" x14ac:dyDescent="0.5">
      <c r="A39" s="70">
        <v>36</v>
      </c>
      <c r="B39" s="34" t="s">
        <v>199</v>
      </c>
      <c r="C39" s="33" t="s">
        <v>258</v>
      </c>
      <c r="D39" s="84">
        <v>7390</v>
      </c>
      <c r="E39" s="84">
        <v>2060</v>
      </c>
      <c r="F39" s="84"/>
      <c r="G39" s="84"/>
      <c r="H39" s="84"/>
      <c r="I39" s="67">
        <f>SUM(D39:H39)</f>
        <v>9450</v>
      </c>
    </row>
    <row r="40" spans="1:9" ht="24" customHeight="1" x14ac:dyDescent="0.5">
      <c r="A40" s="70">
        <v>37</v>
      </c>
      <c r="B40" s="34" t="s">
        <v>144</v>
      </c>
      <c r="C40" s="33" t="s">
        <v>145</v>
      </c>
      <c r="D40" s="84"/>
      <c r="E40" s="84"/>
      <c r="F40" s="84">
        <v>2415</v>
      </c>
      <c r="G40" s="84">
        <v>3800</v>
      </c>
      <c r="H40" s="84">
        <v>2500</v>
      </c>
      <c r="I40" s="67">
        <f>SUM(D40:H40)</f>
        <v>8715</v>
      </c>
    </row>
    <row r="41" spans="1:9" ht="24" customHeight="1" x14ac:dyDescent="0.5">
      <c r="A41" s="70">
        <v>38</v>
      </c>
      <c r="B41" s="34" t="s">
        <v>146</v>
      </c>
      <c r="C41" s="33" t="s">
        <v>147</v>
      </c>
      <c r="D41" s="84"/>
      <c r="E41" s="84"/>
      <c r="F41" s="84">
        <v>1720</v>
      </c>
      <c r="G41" s="84">
        <v>4210</v>
      </c>
      <c r="H41" s="84">
        <v>2500</v>
      </c>
      <c r="I41" s="67">
        <f>SUM(D41:H41)</f>
        <v>8430</v>
      </c>
    </row>
    <row r="42" spans="1:9" ht="24" customHeight="1" x14ac:dyDescent="0.5">
      <c r="A42" s="70">
        <v>39</v>
      </c>
      <c r="B42" s="34" t="s">
        <v>116</v>
      </c>
      <c r="C42" s="33" t="s">
        <v>117</v>
      </c>
      <c r="D42" s="84"/>
      <c r="E42" s="84"/>
      <c r="F42" s="84"/>
      <c r="G42" s="84">
        <v>1720</v>
      </c>
      <c r="H42" s="84">
        <v>6250</v>
      </c>
      <c r="I42" s="67">
        <f>SUM(D42:H42)</f>
        <v>7970</v>
      </c>
    </row>
    <row r="43" spans="1:9" ht="24" customHeight="1" x14ac:dyDescent="0.5">
      <c r="A43" s="70">
        <v>40</v>
      </c>
      <c r="B43" s="34" t="s">
        <v>118</v>
      </c>
      <c r="C43" s="33" t="s">
        <v>119</v>
      </c>
      <c r="D43" s="84"/>
      <c r="E43" s="84"/>
      <c r="F43" s="84"/>
      <c r="G43" s="84">
        <v>1500</v>
      </c>
      <c r="H43" s="84">
        <v>6050</v>
      </c>
      <c r="I43" s="67">
        <f>SUM(D43:H43)</f>
        <v>7550</v>
      </c>
    </row>
    <row r="44" spans="1:9" ht="24" customHeight="1" x14ac:dyDescent="0.5">
      <c r="A44" s="70">
        <v>41</v>
      </c>
      <c r="B44" s="34" t="s">
        <v>160</v>
      </c>
      <c r="C44" s="33" t="s">
        <v>161</v>
      </c>
      <c r="D44" s="84">
        <v>1760</v>
      </c>
      <c r="E44" s="84">
        <v>2800</v>
      </c>
      <c r="F44" s="84">
        <v>1203</v>
      </c>
      <c r="G44" s="84">
        <v>452</v>
      </c>
      <c r="H44" s="84">
        <v>510</v>
      </c>
      <c r="I44" s="67">
        <f>SUM(D44:H44)</f>
        <v>6725</v>
      </c>
    </row>
    <row r="45" spans="1:9" ht="24" customHeight="1" x14ac:dyDescent="0.5">
      <c r="A45" s="70">
        <v>42</v>
      </c>
      <c r="B45" s="34" t="s">
        <v>134</v>
      </c>
      <c r="C45" s="33" t="s">
        <v>284</v>
      </c>
      <c r="D45" s="84">
        <v>600</v>
      </c>
      <c r="E45" s="84">
        <v>2340</v>
      </c>
      <c r="F45" s="84">
        <v>1005</v>
      </c>
      <c r="G45" s="84">
        <v>1135</v>
      </c>
      <c r="H45" s="84">
        <v>870</v>
      </c>
      <c r="I45" s="67">
        <f>SUM(D45:H45)</f>
        <v>5950</v>
      </c>
    </row>
    <row r="46" spans="1:9" ht="24" customHeight="1" x14ac:dyDescent="0.5">
      <c r="A46" s="70">
        <v>43</v>
      </c>
      <c r="B46" s="34" t="s">
        <v>156</v>
      </c>
      <c r="C46" s="33" t="s">
        <v>157</v>
      </c>
      <c r="D46" s="84"/>
      <c r="E46" s="84">
        <v>2700</v>
      </c>
      <c r="F46" s="84">
        <v>1790</v>
      </c>
      <c r="G46" s="84">
        <v>760</v>
      </c>
      <c r="H46" s="84">
        <v>580</v>
      </c>
      <c r="I46" s="67">
        <f>SUM(D46:H46)</f>
        <v>5830</v>
      </c>
    </row>
    <row r="47" spans="1:9" ht="24" customHeight="1" x14ac:dyDescent="0.5">
      <c r="A47" s="70">
        <v>44</v>
      </c>
      <c r="B47" s="34" t="s">
        <v>120</v>
      </c>
      <c r="C47" s="33" t="s">
        <v>121</v>
      </c>
      <c r="D47" s="84"/>
      <c r="E47" s="84"/>
      <c r="F47" s="84"/>
      <c r="G47" s="84">
        <v>1500</v>
      </c>
      <c r="H47" s="84">
        <v>2000</v>
      </c>
      <c r="I47" s="67">
        <f>SUM(D47:H47)</f>
        <v>3500</v>
      </c>
    </row>
    <row r="48" spans="1:9" ht="24" customHeight="1" x14ac:dyDescent="0.5">
      <c r="A48" s="70">
        <v>45</v>
      </c>
      <c r="B48" s="34" t="s">
        <v>162</v>
      </c>
      <c r="C48" s="33" t="s">
        <v>163</v>
      </c>
      <c r="D48" s="84"/>
      <c r="E48" s="84">
        <v>400</v>
      </c>
      <c r="F48" s="84">
        <v>610</v>
      </c>
      <c r="G48" s="84">
        <v>1060</v>
      </c>
      <c r="H48" s="84">
        <v>730</v>
      </c>
      <c r="I48" s="67">
        <f>SUM(D48:H48)</f>
        <v>2800</v>
      </c>
    </row>
    <row r="49" spans="1:9" ht="24" customHeight="1" x14ac:dyDescent="0.5">
      <c r="A49" s="70">
        <v>46</v>
      </c>
      <c r="B49" s="34" t="s">
        <v>150</v>
      </c>
      <c r="C49" s="33" t="s">
        <v>151</v>
      </c>
      <c r="D49" s="84"/>
      <c r="E49" s="84"/>
      <c r="F49" s="84">
        <v>1110</v>
      </c>
      <c r="G49" s="84">
        <v>835</v>
      </c>
      <c r="H49" s="84">
        <v>825</v>
      </c>
      <c r="I49" s="67">
        <f>SUM(D49:H49)</f>
        <v>2770</v>
      </c>
    </row>
    <row r="50" spans="1:9" ht="24" customHeight="1" x14ac:dyDescent="0.5">
      <c r="A50" s="70">
        <v>47</v>
      </c>
      <c r="B50" s="34" t="s">
        <v>172</v>
      </c>
      <c r="C50" s="33" t="s">
        <v>173</v>
      </c>
      <c r="D50" s="84"/>
      <c r="E50" s="84"/>
      <c r="F50" s="84"/>
      <c r="G50" s="84">
        <v>1600</v>
      </c>
      <c r="H50" s="84">
        <v>1120</v>
      </c>
      <c r="I50" s="67">
        <f>SUM(D50:H50)</f>
        <v>2720</v>
      </c>
    </row>
    <row r="51" spans="1:9" ht="24" customHeight="1" x14ac:dyDescent="0.5">
      <c r="A51" s="70">
        <v>48</v>
      </c>
      <c r="B51" s="34" t="s">
        <v>170</v>
      </c>
      <c r="C51" s="33" t="s">
        <v>171</v>
      </c>
      <c r="D51" s="84"/>
      <c r="E51" s="84"/>
      <c r="F51" s="84"/>
      <c r="G51" s="84">
        <v>1065</v>
      </c>
      <c r="H51" s="84">
        <v>970</v>
      </c>
      <c r="I51" s="67">
        <f>SUM(D51:H51)</f>
        <v>2035</v>
      </c>
    </row>
    <row r="52" spans="1:9" ht="24" customHeight="1" x14ac:dyDescent="0.5">
      <c r="A52" s="70">
        <v>49</v>
      </c>
      <c r="B52" s="34" t="s">
        <v>148</v>
      </c>
      <c r="C52" s="33" t="s">
        <v>149</v>
      </c>
      <c r="D52" s="84"/>
      <c r="E52" s="84"/>
      <c r="F52" s="84"/>
      <c r="G52" s="84">
        <v>1300</v>
      </c>
      <c r="H52" s="84">
        <v>620</v>
      </c>
      <c r="I52" s="67">
        <f>SUM(D52:H52)</f>
        <v>1920</v>
      </c>
    </row>
    <row r="53" spans="1:9" ht="24" customHeight="1" x14ac:dyDescent="0.5">
      <c r="A53" s="70">
        <v>50</v>
      </c>
      <c r="B53" s="34" t="s">
        <v>192</v>
      </c>
      <c r="C53" s="33" t="s">
        <v>246</v>
      </c>
      <c r="D53" s="84">
        <v>800</v>
      </c>
      <c r="E53" s="84">
        <v>1120</v>
      </c>
      <c r="F53" s="84"/>
      <c r="G53" s="84"/>
      <c r="H53" s="84"/>
      <c r="I53" s="67">
        <f>SUM(D53:H53)</f>
        <v>1920</v>
      </c>
    </row>
    <row r="54" spans="1:9" ht="24" customHeight="1" x14ac:dyDescent="0.5">
      <c r="A54" s="70">
        <v>51</v>
      </c>
      <c r="B54" s="34" t="s">
        <v>188</v>
      </c>
      <c r="C54" s="33" t="s">
        <v>204</v>
      </c>
      <c r="D54" s="84"/>
      <c r="E54" s="84"/>
      <c r="F54" s="84"/>
      <c r="G54" s="84"/>
      <c r="H54" s="84">
        <v>1770</v>
      </c>
      <c r="I54" s="67">
        <f>SUM(D54:H54)</f>
        <v>1770</v>
      </c>
    </row>
    <row r="55" spans="1:9" ht="24" customHeight="1" x14ac:dyDescent="0.5">
      <c r="A55" s="70">
        <v>52</v>
      </c>
      <c r="B55" s="34" t="s">
        <v>158</v>
      </c>
      <c r="C55" s="33" t="s">
        <v>159</v>
      </c>
      <c r="D55" s="84"/>
      <c r="E55" s="84"/>
      <c r="F55" s="84">
        <v>455</v>
      </c>
      <c r="G55" s="84">
        <v>750</v>
      </c>
      <c r="H55" s="84">
        <v>550</v>
      </c>
      <c r="I55" s="67">
        <f>SUM(D55:H55)</f>
        <v>1755</v>
      </c>
    </row>
    <row r="56" spans="1:9" ht="24" customHeight="1" x14ac:dyDescent="0.5">
      <c r="A56" s="70">
        <v>53</v>
      </c>
      <c r="B56" s="34" t="s">
        <v>122</v>
      </c>
      <c r="C56" s="33" t="s">
        <v>123</v>
      </c>
      <c r="D56" s="84"/>
      <c r="E56" s="84"/>
      <c r="F56" s="84"/>
      <c r="G56" s="84">
        <v>500</v>
      </c>
      <c r="H56" s="84">
        <v>1000</v>
      </c>
      <c r="I56" s="67">
        <f>SUM(D56:H56)</f>
        <v>1500</v>
      </c>
    </row>
    <row r="57" spans="1:9" ht="24" customHeight="1" x14ac:dyDescent="0.5">
      <c r="A57" s="70">
        <v>54</v>
      </c>
      <c r="B57" s="34" t="s">
        <v>174</v>
      </c>
      <c r="C57" s="33" t="s">
        <v>175</v>
      </c>
      <c r="D57" s="84"/>
      <c r="E57" s="84"/>
      <c r="F57" s="84"/>
      <c r="G57" s="84">
        <v>1000</v>
      </c>
      <c r="H57" s="84">
        <v>500</v>
      </c>
      <c r="I57" s="67">
        <f>SUM(D57:H57)</f>
        <v>1500</v>
      </c>
    </row>
    <row r="58" spans="1:9" ht="24" customHeight="1" x14ac:dyDescent="0.5">
      <c r="A58" s="70">
        <v>55</v>
      </c>
      <c r="B58" s="34" t="s">
        <v>176</v>
      </c>
      <c r="C58" s="33" t="s">
        <v>177</v>
      </c>
      <c r="D58" s="84"/>
      <c r="E58" s="84"/>
      <c r="F58" s="84"/>
      <c r="G58" s="84">
        <v>500</v>
      </c>
      <c r="H58" s="84">
        <v>1000</v>
      </c>
      <c r="I58" s="67">
        <f>SUM(D58:H58)</f>
        <v>1500</v>
      </c>
    </row>
    <row r="59" spans="1:9" ht="24" customHeight="1" x14ac:dyDescent="0.5">
      <c r="A59" s="70">
        <v>56</v>
      </c>
      <c r="B59" s="34" t="s">
        <v>182</v>
      </c>
      <c r="C59" s="33" t="s">
        <v>183</v>
      </c>
      <c r="D59" s="84">
        <v>400</v>
      </c>
      <c r="E59" s="84">
        <v>700</v>
      </c>
      <c r="F59" s="84">
        <v>120</v>
      </c>
      <c r="G59" s="84">
        <v>270</v>
      </c>
      <c r="H59" s="84"/>
      <c r="I59" s="67">
        <f>SUM(D59:H59)</f>
        <v>1490</v>
      </c>
    </row>
    <row r="60" spans="1:9" ht="24" customHeight="1" x14ac:dyDescent="0.5">
      <c r="A60" s="70">
        <v>57</v>
      </c>
      <c r="B60" s="34" t="s">
        <v>200</v>
      </c>
      <c r="C60" s="33" t="s">
        <v>238</v>
      </c>
      <c r="D60" s="84"/>
      <c r="E60" s="84">
        <v>600</v>
      </c>
      <c r="F60" s="85">
        <f>510+300</f>
        <v>810</v>
      </c>
      <c r="G60" s="84"/>
      <c r="H60" s="84"/>
      <c r="I60" s="67">
        <f>SUM(D60:H60)</f>
        <v>1410</v>
      </c>
    </row>
    <row r="61" spans="1:9" ht="24" customHeight="1" x14ac:dyDescent="0.5">
      <c r="A61" s="70">
        <v>58</v>
      </c>
      <c r="B61" s="34" t="s">
        <v>193</v>
      </c>
      <c r="C61" s="33" t="s">
        <v>247</v>
      </c>
      <c r="D61" s="84">
        <v>880</v>
      </c>
      <c r="E61" s="84">
        <v>460</v>
      </c>
      <c r="F61" s="84"/>
      <c r="G61" s="84"/>
      <c r="H61" s="84"/>
      <c r="I61" s="67">
        <f>SUM(D61:H61)</f>
        <v>1340</v>
      </c>
    </row>
    <row r="62" spans="1:9" ht="24" customHeight="1" x14ac:dyDescent="0.5">
      <c r="A62" s="70">
        <v>59</v>
      </c>
      <c r="B62" s="34" t="s">
        <v>202</v>
      </c>
      <c r="C62" s="33" t="s">
        <v>260</v>
      </c>
      <c r="D62" s="84"/>
      <c r="E62" s="84">
        <v>800</v>
      </c>
      <c r="F62" s="84">
        <v>510</v>
      </c>
      <c r="G62" s="84"/>
      <c r="H62" s="84"/>
      <c r="I62" s="67">
        <f>SUM(D62:H62)</f>
        <v>1310</v>
      </c>
    </row>
    <row r="63" spans="1:9" ht="24" customHeight="1" x14ac:dyDescent="0.5">
      <c r="A63" s="70">
        <v>60</v>
      </c>
      <c r="B63" s="34" t="s">
        <v>194</v>
      </c>
      <c r="C63" s="33" t="s">
        <v>248</v>
      </c>
      <c r="D63" s="84"/>
      <c r="E63" s="84">
        <v>1300</v>
      </c>
      <c r="F63" s="84"/>
      <c r="G63" s="84"/>
      <c r="H63" s="84"/>
      <c r="I63" s="67">
        <f>SUM(D63:H63)</f>
        <v>1300</v>
      </c>
    </row>
    <row r="64" spans="1:9" ht="24" customHeight="1" x14ac:dyDescent="0.5">
      <c r="A64" s="70">
        <v>61</v>
      </c>
      <c r="B64" s="34" t="s">
        <v>168</v>
      </c>
      <c r="C64" s="33" t="s">
        <v>169</v>
      </c>
      <c r="D64" s="84"/>
      <c r="E64" s="84"/>
      <c r="F64" s="84">
        <v>650</v>
      </c>
      <c r="G64" s="84">
        <v>500</v>
      </c>
      <c r="H64" s="84"/>
      <c r="I64" s="67">
        <f>SUM(D64:H64)</f>
        <v>1150</v>
      </c>
    </row>
    <row r="65" spans="1:9" ht="24" customHeight="1" x14ac:dyDescent="0.5">
      <c r="A65" s="70">
        <v>62</v>
      </c>
      <c r="B65" s="34" t="s">
        <v>191</v>
      </c>
      <c r="C65" s="33" t="s">
        <v>243</v>
      </c>
      <c r="D65" s="84"/>
      <c r="E65" s="84"/>
      <c r="F65" s="84">
        <v>740</v>
      </c>
      <c r="G65" s="84"/>
      <c r="H65" s="84"/>
      <c r="I65" s="67">
        <f>SUM(D65:H65)</f>
        <v>740</v>
      </c>
    </row>
    <row r="66" spans="1:9" ht="24" customHeight="1" x14ac:dyDescent="0.5">
      <c r="A66" s="70">
        <v>63</v>
      </c>
      <c r="B66" s="34" t="s">
        <v>180</v>
      </c>
      <c r="C66" s="33" t="s">
        <v>181</v>
      </c>
      <c r="D66" s="84"/>
      <c r="E66" s="84"/>
      <c r="F66" s="85">
        <f>605-300</f>
        <v>305</v>
      </c>
      <c r="G66" s="84">
        <v>380</v>
      </c>
      <c r="H66" s="84"/>
      <c r="I66" s="67">
        <f>SUM(D66:H66)</f>
        <v>685</v>
      </c>
    </row>
    <row r="67" spans="1:9" ht="24" customHeight="1" x14ac:dyDescent="0.5">
      <c r="A67" s="70">
        <v>64</v>
      </c>
      <c r="B67" s="34" t="s">
        <v>197</v>
      </c>
      <c r="C67" s="33" t="s">
        <v>209</v>
      </c>
      <c r="D67" s="84"/>
      <c r="E67" s="84"/>
      <c r="F67" s="84"/>
      <c r="G67" s="84"/>
      <c r="H67" s="84">
        <v>530</v>
      </c>
      <c r="I67" s="67">
        <f>SUM(D67:H67)</f>
        <v>530</v>
      </c>
    </row>
    <row r="68" spans="1:9" ht="24" customHeight="1" x14ac:dyDescent="0.5">
      <c r="A68" s="70">
        <v>65</v>
      </c>
      <c r="B68" s="34" t="s">
        <v>196</v>
      </c>
      <c r="C68" s="33" t="s">
        <v>208</v>
      </c>
      <c r="D68" s="84"/>
      <c r="E68" s="84"/>
      <c r="F68" s="84"/>
      <c r="G68" s="84"/>
      <c r="H68" s="84">
        <v>520</v>
      </c>
      <c r="I68" s="67">
        <f>SUM(D68:H68)</f>
        <v>520</v>
      </c>
    </row>
    <row r="69" spans="1:9" ht="24" customHeight="1" x14ac:dyDescent="0.5">
      <c r="A69" s="70">
        <v>66</v>
      </c>
      <c r="B69" s="34" t="s">
        <v>198</v>
      </c>
      <c r="C69" s="33" t="s">
        <v>210</v>
      </c>
      <c r="D69" s="84"/>
      <c r="E69" s="84"/>
      <c r="F69" s="84"/>
      <c r="G69" s="84"/>
      <c r="H69" s="84">
        <v>510</v>
      </c>
      <c r="I69" s="67">
        <f>SUM(D69:H69)</f>
        <v>510</v>
      </c>
    </row>
    <row r="70" spans="1:9" ht="24" customHeight="1" x14ac:dyDescent="0.5">
      <c r="A70" s="70">
        <v>67</v>
      </c>
      <c r="B70" s="34" t="s">
        <v>189</v>
      </c>
      <c r="C70" s="33" t="s">
        <v>205</v>
      </c>
      <c r="D70" s="84"/>
      <c r="E70" s="84"/>
      <c r="F70" s="84"/>
      <c r="G70" s="84"/>
      <c r="H70" s="84">
        <v>500</v>
      </c>
      <c r="I70" s="67">
        <f>SUM(D70:H70)</f>
        <v>500</v>
      </c>
    </row>
    <row r="71" spans="1:9" ht="24" customHeight="1" x14ac:dyDescent="0.5">
      <c r="A71" s="70">
        <v>68</v>
      </c>
      <c r="B71" s="34" t="s">
        <v>195</v>
      </c>
      <c r="C71" s="33" t="s">
        <v>207</v>
      </c>
      <c r="D71" s="84"/>
      <c r="E71" s="84"/>
      <c r="F71" s="84"/>
      <c r="G71" s="84"/>
      <c r="H71" s="84">
        <v>500</v>
      </c>
      <c r="I71" s="67">
        <f>SUM(D71:H71)</f>
        <v>500</v>
      </c>
    </row>
    <row r="72" spans="1:9" ht="24" customHeight="1" x14ac:dyDescent="0.5">
      <c r="A72" s="70">
        <v>69</v>
      </c>
      <c r="B72" s="34" t="s">
        <v>201</v>
      </c>
      <c r="C72" s="33" t="s">
        <v>259</v>
      </c>
      <c r="D72" s="84"/>
      <c r="E72" s="84"/>
      <c r="F72" s="84">
        <v>370</v>
      </c>
      <c r="G72" s="84"/>
      <c r="H72" s="84"/>
      <c r="I72" s="67">
        <f>SUM(D72:H72)</f>
        <v>370</v>
      </c>
    </row>
    <row r="73" spans="1:9" ht="24" customHeight="1" x14ac:dyDescent="0.5">
      <c r="A73" s="70">
        <v>70</v>
      </c>
      <c r="B73" s="34" t="s">
        <v>184</v>
      </c>
      <c r="C73" s="33" t="s">
        <v>185</v>
      </c>
      <c r="D73" s="84"/>
      <c r="E73" s="84"/>
      <c r="F73" s="84"/>
      <c r="G73" s="84">
        <v>200</v>
      </c>
      <c r="H73" s="84"/>
      <c r="I73" s="67">
        <f>SUM(D73:H73)</f>
        <v>200</v>
      </c>
    </row>
    <row r="74" spans="1:9" x14ac:dyDescent="0.5">
      <c r="A74" s="70">
        <v>71</v>
      </c>
      <c r="B74" s="34" t="s">
        <v>287</v>
      </c>
      <c r="C74" s="72" t="s">
        <v>286</v>
      </c>
      <c r="D74" s="84">
        <v>200</v>
      </c>
      <c r="E74" s="84"/>
      <c r="F74" s="84"/>
      <c r="G74" s="84"/>
      <c r="H74" s="84"/>
      <c r="I74" s="67">
        <f>SUM(D74:H74)</f>
        <v>200</v>
      </c>
    </row>
    <row r="75" spans="1:9" x14ac:dyDescent="0.5">
      <c r="A75" s="70">
        <v>72</v>
      </c>
      <c r="B75" s="34" t="s">
        <v>166</v>
      </c>
      <c r="C75" s="33" t="s">
        <v>167</v>
      </c>
      <c r="D75" s="84"/>
      <c r="E75" s="84"/>
      <c r="F75" s="84"/>
      <c r="G75" s="84">
        <v>100</v>
      </c>
      <c r="H75" s="84"/>
      <c r="I75" s="67">
        <f>SUM(D75:H75)</f>
        <v>100</v>
      </c>
    </row>
    <row r="76" spans="1:9" x14ac:dyDescent="0.5">
      <c r="A76" s="70">
        <v>73</v>
      </c>
      <c r="B76" s="34" t="s">
        <v>190</v>
      </c>
      <c r="C76" s="33" t="s">
        <v>206</v>
      </c>
      <c r="D76" s="84"/>
      <c r="E76" s="84"/>
      <c r="F76" s="84"/>
      <c r="G76" s="84"/>
      <c r="H76" s="84">
        <v>28</v>
      </c>
      <c r="I76" s="67">
        <f>SUM(D76:H76)</f>
        <v>28</v>
      </c>
    </row>
    <row r="77" spans="1:9" s="151" customFormat="1" ht="24" customHeight="1" x14ac:dyDescent="0.25">
      <c r="A77" s="186" t="s">
        <v>289</v>
      </c>
      <c r="B77" s="186"/>
      <c r="C77" s="186"/>
      <c r="D77" s="86">
        <f>SUM(D4:D76)</f>
        <v>570600</v>
      </c>
      <c r="E77" s="86">
        <f>SUM(E4:E76)</f>
        <v>848229</v>
      </c>
      <c r="F77" s="86">
        <f>SUM(F4:F76)</f>
        <v>661037</v>
      </c>
      <c r="G77" s="86">
        <f>SUM(G4:G76)</f>
        <v>566571</v>
      </c>
      <c r="H77" s="86">
        <f>SUM(H4:H76)</f>
        <v>501769</v>
      </c>
      <c r="I77" s="86">
        <f>SUM(I4:I76)</f>
        <v>3148206</v>
      </c>
    </row>
    <row r="78" spans="1:9" s="147" customFormat="1" x14ac:dyDescent="0.25">
      <c r="A78" s="187" t="s">
        <v>290</v>
      </c>
      <c r="B78" s="187"/>
      <c r="C78" s="187"/>
      <c r="D78" s="87">
        <f>MAX(D4:D76)</f>
        <v>144890</v>
      </c>
      <c r="E78" s="87">
        <f>MAX(E4:E76)</f>
        <v>251420</v>
      </c>
      <c r="F78" s="87">
        <f>MAX(F4:F76)</f>
        <v>208995</v>
      </c>
      <c r="G78" s="87">
        <f>MAX(G4:G76)</f>
        <v>145350</v>
      </c>
      <c r="H78" s="87">
        <f>MAX(H4:H76)</f>
        <v>144535</v>
      </c>
      <c r="I78" s="87">
        <f>MAX(I4:I76)</f>
        <v>895190</v>
      </c>
    </row>
    <row r="79" spans="1:9" s="147" customFormat="1" x14ac:dyDescent="0.25">
      <c r="A79" s="188" t="s">
        <v>291</v>
      </c>
      <c r="B79" s="188"/>
      <c r="C79" s="188"/>
      <c r="D79" s="88">
        <f>MIN(D4:D76)</f>
        <v>200</v>
      </c>
      <c r="E79" s="88">
        <f>MIN(E4:E76)</f>
        <v>400</v>
      </c>
      <c r="F79" s="88">
        <f>MIN(F4:F76)</f>
        <v>120</v>
      </c>
      <c r="G79" s="88">
        <f>MIN(G4:G76)</f>
        <v>100</v>
      </c>
      <c r="H79" s="88">
        <f>MIN(H4:H76)</f>
        <v>28</v>
      </c>
      <c r="I79" s="88">
        <f>MIN(I4:I76)</f>
        <v>28</v>
      </c>
    </row>
    <row r="80" spans="1:9" s="147" customFormat="1" x14ac:dyDescent="0.25">
      <c r="A80" s="189" t="s">
        <v>292</v>
      </c>
      <c r="B80" s="189"/>
      <c r="C80" s="189"/>
      <c r="D80" s="89">
        <f>AVERAGE(D4:D76)</f>
        <v>17290.909090909092</v>
      </c>
      <c r="E80" s="89">
        <f>AVERAGE(E4:E76)</f>
        <v>21205.724999999999</v>
      </c>
      <c r="F80" s="89">
        <f>AVERAGE(F4:F76)</f>
        <v>13771.604166666666</v>
      </c>
      <c r="G80" s="89">
        <f>AVERAGE(G4:G76)</f>
        <v>10492.055555555555</v>
      </c>
      <c r="H80" s="89">
        <f>AVERAGE(H4:H76)</f>
        <v>9649.4038461538457</v>
      </c>
      <c r="I80" s="89">
        <f>AVERAGE(I4:I76)</f>
        <v>43126.109589041094</v>
      </c>
    </row>
    <row r="81" spans="1:9" s="147" customFormat="1" x14ac:dyDescent="0.25">
      <c r="A81" s="190" t="s">
        <v>293</v>
      </c>
      <c r="B81" s="190"/>
      <c r="C81" s="190"/>
      <c r="D81" s="90">
        <f>COUNT(D4:D76)</f>
        <v>33</v>
      </c>
      <c r="E81" s="90">
        <f>COUNT(E4:E76)</f>
        <v>40</v>
      </c>
      <c r="F81" s="90">
        <f>COUNT(F4:F76)</f>
        <v>48</v>
      </c>
      <c r="G81" s="90">
        <f>COUNT(G4:G76)</f>
        <v>54</v>
      </c>
      <c r="H81" s="90">
        <f>COUNT(H4:H76)</f>
        <v>52</v>
      </c>
      <c r="I81" s="90">
        <f>COUNT(I4:I76)</f>
        <v>73</v>
      </c>
    </row>
    <row r="82" spans="1:9" s="147" customFormat="1" x14ac:dyDescent="0.25">
      <c r="I82" s="151"/>
    </row>
  </sheetData>
  <sortState ref="A4:I78">
    <sortCondition descending="1" ref="I4:I78"/>
  </sortState>
  <mergeCells count="7">
    <mergeCell ref="A80:C80"/>
    <mergeCell ref="A81:C81"/>
    <mergeCell ref="H2:I2"/>
    <mergeCell ref="A77:C77"/>
    <mergeCell ref="A1:I1"/>
    <mergeCell ref="A78:C78"/>
    <mergeCell ref="A79:C79"/>
  </mergeCells>
  <pageMargins left="0.7" right="0.7" top="0.75" bottom="0.75" header="0.3" footer="0.3"/>
  <pageSetup paperSize="11" orientation="portrait" verticalDpi="0" r:id="rId1"/>
  <ignoredErrors>
    <ignoredError sqref="D77:I81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>
      <selection activeCell="D9" sqref="D9"/>
    </sheetView>
  </sheetViews>
  <sheetFormatPr defaultRowHeight="19.5" x14ac:dyDescent="0.25"/>
  <cols>
    <col min="1" max="1" width="5.7109375" style="75" customWidth="1"/>
    <col min="2" max="2" width="8" style="75" customWidth="1"/>
    <col min="3" max="3" width="35.28515625" style="75" customWidth="1"/>
    <col min="4" max="8" width="11.5703125" style="75" customWidth="1"/>
    <col min="9" max="9" width="12.5703125" style="75" bestFit="1" customWidth="1"/>
    <col min="10" max="16384" width="9.140625" style="75"/>
  </cols>
  <sheetData>
    <row r="1" spans="1:9" s="63" customFormat="1" ht="30.75" customHeight="1" x14ac:dyDescent="0.25">
      <c r="A1" s="223" t="s">
        <v>304</v>
      </c>
      <c r="B1" s="223"/>
      <c r="C1" s="223"/>
      <c r="D1" s="223"/>
      <c r="E1" s="223"/>
      <c r="F1" s="223"/>
      <c r="G1" s="223"/>
      <c r="H1" s="223"/>
      <c r="I1" s="223"/>
    </row>
    <row r="2" spans="1:9" s="2" customFormat="1" ht="27.75" customHeight="1" x14ac:dyDescent="0.25">
      <c r="A2" s="143"/>
      <c r="B2" s="143"/>
      <c r="C2" s="143"/>
      <c r="D2" s="143"/>
      <c r="E2" s="143"/>
      <c r="F2" s="143"/>
      <c r="G2" s="230" t="s">
        <v>294</v>
      </c>
      <c r="H2" s="230"/>
      <c r="I2" s="230"/>
    </row>
    <row r="3" spans="1:9" s="2" customFormat="1" ht="21" customHeight="1" x14ac:dyDescent="0.25">
      <c r="A3" s="226" t="s">
        <v>0</v>
      </c>
      <c r="B3" s="228" t="s">
        <v>249</v>
      </c>
      <c r="C3" s="226" t="s">
        <v>295</v>
      </c>
      <c r="D3" s="142">
        <v>2018</v>
      </c>
      <c r="E3" s="142">
        <v>2019</v>
      </c>
      <c r="F3" s="142">
        <v>2020</v>
      </c>
      <c r="G3" s="142">
        <v>2021</v>
      </c>
      <c r="H3" s="142">
        <v>2022</v>
      </c>
      <c r="I3" s="224" t="s">
        <v>289</v>
      </c>
    </row>
    <row r="4" spans="1:9" s="2" customFormat="1" ht="21" customHeight="1" x14ac:dyDescent="0.25">
      <c r="A4" s="227"/>
      <c r="B4" s="229"/>
      <c r="C4" s="227"/>
      <c r="D4" s="142" t="s">
        <v>213</v>
      </c>
      <c r="E4" s="142" t="s">
        <v>213</v>
      </c>
      <c r="F4" s="142" t="s">
        <v>213</v>
      </c>
      <c r="G4" s="142" t="s">
        <v>213</v>
      </c>
      <c r="H4" s="142" t="s">
        <v>213</v>
      </c>
      <c r="I4" s="225"/>
    </row>
    <row r="5" spans="1:9" ht="24" customHeight="1" x14ac:dyDescent="0.25">
      <c r="A5" s="76">
        <v>1</v>
      </c>
      <c r="B5" s="144" t="s">
        <v>45</v>
      </c>
      <c r="C5" s="77" t="s">
        <v>46</v>
      </c>
      <c r="D5" s="76">
        <v>55402</v>
      </c>
      <c r="E5" s="76">
        <v>86215</v>
      </c>
      <c r="F5" s="76">
        <v>70804</v>
      </c>
      <c r="G5" s="76">
        <v>57445</v>
      </c>
      <c r="H5" s="76">
        <v>55468</v>
      </c>
      <c r="I5" s="1">
        <f>SUM(D5:H5)</f>
        <v>325334</v>
      </c>
    </row>
    <row r="6" spans="1:9" ht="24" customHeight="1" x14ac:dyDescent="0.25">
      <c r="A6" s="76">
        <v>2</v>
      </c>
      <c r="B6" s="144" t="s">
        <v>13</v>
      </c>
      <c r="C6" s="77" t="s">
        <v>14</v>
      </c>
      <c r="D6" s="76">
        <v>44940</v>
      </c>
      <c r="E6" s="76">
        <v>73745</v>
      </c>
      <c r="F6" s="76">
        <v>55630</v>
      </c>
      <c r="G6" s="76">
        <v>44115</v>
      </c>
      <c r="H6" s="76">
        <v>39690</v>
      </c>
      <c r="I6" s="1">
        <f>SUM(D6:H6)</f>
        <v>258120</v>
      </c>
    </row>
    <row r="7" spans="1:9" ht="24" customHeight="1" x14ac:dyDescent="0.25">
      <c r="A7" s="76">
        <v>3</v>
      </c>
      <c r="B7" s="144" t="s">
        <v>23</v>
      </c>
      <c r="C7" s="77" t="s">
        <v>24</v>
      </c>
      <c r="D7" s="76">
        <v>24605</v>
      </c>
      <c r="E7" s="76">
        <v>48470</v>
      </c>
      <c r="F7" s="76">
        <v>43175</v>
      </c>
      <c r="G7" s="76">
        <v>39615</v>
      </c>
      <c r="H7" s="76">
        <v>37671</v>
      </c>
      <c r="I7" s="1">
        <f>SUM(D7:H7)</f>
        <v>193536</v>
      </c>
    </row>
    <row r="8" spans="1:9" ht="24" customHeight="1" x14ac:dyDescent="0.25">
      <c r="A8" s="76">
        <v>4</v>
      </c>
      <c r="B8" s="144" t="s">
        <v>51</v>
      </c>
      <c r="C8" s="77" t="s">
        <v>52</v>
      </c>
      <c r="D8" s="76">
        <v>23532</v>
      </c>
      <c r="E8" s="76">
        <v>36230</v>
      </c>
      <c r="F8" s="76">
        <v>36850</v>
      </c>
      <c r="G8" s="76">
        <v>38560</v>
      </c>
      <c r="H8" s="76">
        <v>37564</v>
      </c>
      <c r="I8" s="1">
        <f>SUM(D8:H8)</f>
        <v>172736</v>
      </c>
    </row>
    <row r="9" spans="1:9" ht="24" customHeight="1" x14ac:dyDescent="0.25">
      <c r="A9" s="76">
        <v>5</v>
      </c>
      <c r="B9" s="144" t="s">
        <v>57</v>
      </c>
      <c r="C9" s="77" t="s">
        <v>58</v>
      </c>
      <c r="D9" s="76">
        <v>3945</v>
      </c>
      <c r="E9" s="76">
        <v>34225</v>
      </c>
      <c r="F9" s="76">
        <v>40238</v>
      </c>
      <c r="G9" s="76">
        <v>41940</v>
      </c>
      <c r="H9" s="76">
        <v>43320</v>
      </c>
      <c r="I9" s="1">
        <f>SUM(D9:H9)</f>
        <v>163668</v>
      </c>
    </row>
    <row r="10" spans="1:9" ht="24" customHeight="1" x14ac:dyDescent="0.25">
      <c r="A10" s="76">
        <v>6</v>
      </c>
      <c r="B10" s="144" t="s">
        <v>7</v>
      </c>
      <c r="C10" s="77" t="s">
        <v>8</v>
      </c>
      <c r="D10" s="76">
        <v>32548</v>
      </c>
      <c r="E10" s="76">
        <v>57372</v>
      </c>
      <c r="F10" s="76">
        <v>33860</v>
      </c>
      <c r="G10" s="76">
        <v>23260</v>
      </c>
      <c r="H10" s="76">
        <v>16625</v>
      </c>
      <c r="I10" s="1">
        <f>SUM(D10:H10)</f>
        <v>163665</v>
      </c>
    </row>
    <row r="11" spans="1:9" ht="24" customHeight="1" x14ac:dyDescent="0.25">
      <c r="A11" s="76">
        <v>7</v>
      </c>
      <c r="B11" s="144" t="s">
        <v>43</v>
      </c>
      <c r="C11" s="77" t="s">
        <v>44</v>
      </c>
      <c r="D11" s="76">
        <v>18040</v>
      </c>
      <c r="E11" s="76">
        <v>37436</v>
      </c>
      <c r="F11" s="76">
        <v>35045</v>
      </c>
      <c r="G11" s="76">
        <v>28595</v>
      </c>
      <c r="H11" s="76">
        <v>25709</v>
      </c>
      <c r="I11" s="1">
        <f>SUM(D11:H11)</f>
        <v>144825</v>
      </c>
    </row>
    <row r="12" spans="1:9" ht="24" customHeight="1" x14ac:dyDescent="0.25">
      <c r="A12" s="76">
        <v>8</v>
      </c>
      <c r="B12" s="144" t="s">
        <v>33</v>
      </c>
      <c r="C12" s="77" t="s">
        <v>34</v>
      </c>
      <c r="D12" s="76">
        <v>25770</v>
      </c>
      <c r="E12" s="76">
        <v>45760</v>
      </c>
      <c r="F12" s="76">
        <v>25095</v>
      </c>
      <c r="G12" s="76">
        <v>19570</v>
      </c>
      <c r="H12" s="76">
        <v>11577</v>
      </c>
      <c r="I12" s="1">
        <f>SUM(D12:H12)</f>
        <v>127772</v>
      </c>
    </row>
    <row r="13" spans="1:9" ht="24" customHeight="1" x14ac:dyDescent="0.25">
      <c r="A13" s="76">
        <v>9</v>
      </c>
      <c r="B13" s="144" t="s">
        <v>35</v>
      </c>
      <c r="C13" s="77" t="s">
        <v>36</v>
      </c>
      <c r="D13" s="76">
        <v>32736</v>
      </c>
      <c r="E13" s="76">
        <v>45887</v>
      </c>
      <c r="F13" s="76">
        <v>17899</v>
      </c>
      <c r="G13" s="76">
        <v>12820</v>
      </c>
      <c r="H13" s="76">
        <v>10646</v>
      </c>
      <c r="I13" s="1">
        <f>SUM(D13:H13)</f>
        <v>119988</v>
      </c>
    </row>
    <row r="14" spans="1:9" ht="24" customHeight="1" x14ac:dyDescent="0.25">
      <c r="A14" s="76">
        <v>10</v>
      </c>
      <c r="B14" s="144" t="s">
        <v>55</v>
      </c>
      <c r="C14" s="77" t="s">
        <v>56</v>
      </c>
      <c r="D14" s="76">
        <v>16450</v>
      </c>
      <c r="E14" s="76">
        <v>25700</v>
      </c>
      <c r="F14" s="76">
        <v>26167</v>
      </c>
      <c r="G14" s="76">
        <v>25525</v>
      </c>
      <c r="H14" s="76">
        <v>23494</v>
      </c>
      <c r="I14" s="1">
        <f>SUM(D14:H14)</f>
        <v>117336</v>
      </c>
    </row>
    <row r="15" spans="1:9" ht="24" customHeight="1" x14ac:dyDescent="0.25">
      <c r="A15" s="76">
        <v>11</v>
      </c>
      <c r="B15" s="144" t="s">
        <v>17</v>
      </c>
      <c r="C15" s="77" t="s">
        <v>18</v>
      </c>
      <c r="D15" s="76">
        <v>16620</v>
      </c>
      <c r="E15" s="76">
        <v>28205</v>
      </c>
      <c r="F15" s="76">
        <v>26139</v>
      </c>
      <c r="G15" s="76">
        <v>23095</v>
      </c>
      <c r="H15" s="76">
        <v>21600</v>
      </c>
      <c r="I15" s="1">
        <f>SUM(D15:H15)</f>
        <v>115659</v>
      </c>
    </row>
    <row r="16" spans="1:9" ht="24" customHeight="1" x14ac:dyDescent="0.25">
      <c r="A16" s="76">
        <v>12</v>
      </c>
      <c r="B16" s="144" t="s">
        <v>49</v>
      </c>
      <c r="C16" s="77" t="s">
        <v>50</v>
      </c>
      <c r="D16" s="76">
        <v>10777</v>
      </c>
      <c r="E16" s="76">
        <v>18660</v>
      </c>
      <c r="F16" s="76">
        <v>22790</v>
      </c>
      <c r="G16" s="76">
        <v>22970</v>
      </c>
      <c r="H16" s="76">
        <v>26449</v>
      </c>
      <c r="I16" s="1">
        <f>SUM(D16:H16)</f>
        <v>101646</v>
      </c>
    </row>
    <row r="17" spans="1:9" ht="24" customHeight="1" x14ac:dyDescent="0.25">
      <c r="A17" s="76">
        <v>13</v>
      </c>
      <c r="B17" s="144" t="s">
        <v>27</v>
      </c>
      <c r="C17" s="77" t="s">
        <v>28</v>
      </c>
      <c r="D17" s="76">
        <v>3050</v>
      </c>
      <c r="E17" s="76">
        <v>22780</v>
      </c>
      <c r="F17" s="76">
        <v>26927</v>
      </c>
      <c r="G17" s="76">
        <v>23845</v>
      </c>
      <c r="H17" s="76">
        <v>22516</v>
      </c>
      <c r="I17" s="1">
        <f>SUM(D17:H17)</f>
        <v>99118</v>
      </c>
    </row>
    <row r="18" spans="1:9" ht="24" customHeight="1" x14ac:dyDescent="0.25">
      <c r="A18" s="76">
        <v>14</v>
      </c>
      <c r="B18" s="144" t="s">
        <v>25</v>
      </c>
      <c r="C18" s="77" t="s">
        <v>26</v>
      </c>
      <c r="D18" s="76">
        <v>21270</v>
      </c>
      <c r="E18" s="76">
        <v>22880</v>
      </c>
      <c r="F18" s="76">
        <v>20300</v>
      </c>
      <c r="G18" s="76">
        <v>14475</v>
      </c>
      <c r="H18" s="76">
        <v>7389</v>
      </c>
      <c r="I18" s="1">
        <f>SUM(D18:H18)</f>
        <v>86314</v>
      </c>
    </row>
    <row r="19" spans="1:9" ht="24" customHeight="1" x14ac:dyDescent="0.25">
      <c r="A19" s="76">
        <v>15</v>
      </c>
      <c r="B19" s="144" t="s">
        <v>5</v>
      </c>
      <c r="C19" s="77" t="s">
        <v>6</v>
      </c>
      <c r="D19" s="76">
        <v>26884</v>
      </c>
      <c r="E19" s="76">
        <v>29705</v>
      </c>
      <c r="F19" s="76">
        <v>12883</v>
      </c>
      <c r="G19" s="76">
        <v>8325</v>
      </c>
      <c r="H19" s="76">
        <v>4389</v>
      </c>
      <c r="I19" s="1">
        <f>SUM(D19:H19)</f>
        <v>82186</v>
      </c>
    </row>
    <row r="20" spans="1:9" ht="24" customHeight="1" x14ac:dyDescent="0.25">
      <c r="A20" s="76">
        <v>16</v>
      </c>
      <c r="B20" s="144" t="s">
        <v>47</v>
      </c>
      <c r="C20" s="77" t="s">
        <v>48</v>
      </c>
      <c r="D20" s="76">
        <v>9508</v>
      </c>
      <c r="E20" s="76">
        <v>17210</v>
      </c>
      <c r="F20" s="76">
        <v>20353</v>
      </c>
      <c r="G20" s="76">
        <v>17672</v>
      </c>
      <c r="H20" s="76">
        <v>16530</v>
      </c>
      <c r="I20" s="1">
        <f>SUM(D20:H20)</f>
        <v>81273</v>
      </c>
    </row>
    <row r="21" spans="1:9" ht="24" customHeight="1" x14ac:dyDescent="0.25">
      <c r="A21" s="76">
        <v>17</v>
      </c>
      <c r="B21" s="144" t="s">
        <v>9</v>
      </c>
      <c r="C21" s="77" t="s">
        <v>10</v>
      </c>
      <c r="D21" s="76">
        <v>22205</v>
      </c>
      <c r="E21" s="76">
        <v>22330</v>
      </c>
      <c r="F21" s="76">
        <v>16013</v>
      </c>
      <c r="G21" s="76">
        <v>9335</v>
      </c>
      <c r="H21" s="76">
        <v>9322</v>
      </c>
      <c r="I21" s="1">
        <f>SUM(D21:H21)</f>
        <v>79205</v>
      </c>
    </row>
    <row r="22" spans="1:9" ht="24" customHeight="1" x14ac:dyDescent="0.25">
      <c r="A22" s="76">
        <v>18</v>
      </c>
      <c r="B22" s="144" t="s">
        <v>29</v>
      </c>
      <c r="C22" s="77" t="s">
        <v>30</v>
      </c>
      <c r="D22" s="76">
        <v>19842</v>
      </c>
      <c r="E22" s="76">
        <v>30865</v>
      </c>
      <c r="F22" s="76">
        <v>13970</v>
      </c>
      <c r="G22" s="76">
        <v>8860</v>
      </c>
      <c r="H22" s="76">
        <v>5412</v>
      </c>
      <c r="I22" s="1">
        <f>SUM(D22:H22)</f>
        <v>78949</v>
      </c>
    </row>
    <row r="23" spans="1:9" ht="24" customHeight="1" x14ac:dyDescent="0.25">
      <c r="A23" s="76">
        <v>19</v>
      </c>
      <c r="B23" s="144" t="s">
        <v>61</v>
      </c>
      <c r="C23" s="77" t="s">
        <v>62</v>
      </c>
      <c r="D23" s="76">
        <v>19155</v>
      </c>
      <c r="E23" s="76">
        <v>24660</v>
      </c>
      <c r="F23" s="76">
        <v>12915</v>
      </c>
      <c r="G23" s="76">
        <v>10465</v>
      </c>
      <c r="H23" s="76">
        <v>8112</v>
      </c>
      <c r="I23" s="1">
        <f>SUM(D23:H23)</f>
        <v>75307</v>
      </c>
    </row>
    <row r="24" spans="1:9" ht="24" customHeight="1" x14ac:dyDescent="0.25">
      <c r="A24" s="76">
        <v>20</v>
      </c>
      <c r="B24" s="144" t="s">
        <v>15</v>
      </c>
      <c r="C24" s="77" t="s">
        <v>16</v>
      </c>
      <c r="D24" s="76">
        <v>13065</v>
      </c>
      <c r="E24" s="76">
        <v>18585</v>
      </c>
      <c r="F24" s="76">
        <v>14659</v>
      </c>
      <c r="G24" s="76">
        <v>12940</v>
      </c>
      <c r="H24" s="76">
        <v>14054</v>
      </c>
      <c r="I24" s="1">
        <f>SUM(D24:H24)</f>
        <v>73303</v>
      </c>
    </row>
    <row r="25" spans="1:9" ht="24" customHeight="1" x14ac:dyDescent="0.25">
      <c r="A25" s="76">
        <v>21</v>
      </c>
      <c r="B25" s="144" t="s">
        <v>21</v>
      </c>
      <c r="C25" s="77" t="s">
        <v>22</v>
      </c>
      <c r="D25" s="76">
        <v>7867</v>
      </c>
      <c r="E25" s="76">
        <v>15852</v>
      </c>
      <c r="F25" s="76">
        <v>17225</v>
      </c>
      <c r="G25" s="76">
        <v>14690</v>
      </c>
      <c r="H25" s="76">
        <v>15320</v>
      </c>
      <c r="I25" s="1">
        <f>SUM(D25:H25)</f>
        <v>70954</v>
      </c>
    </row>
    <row r="26" spans="1:9" ht="24" customHeight="1" x14ac:dyDescent="0.25">
      <c r="A26" s="76">
        <v>22</v>
      </c>
      <c r="B26" s="144" t="s">
        <v>31</v>
      </c>
      <c r="C26" s="77" t="s">
        <v>32</v>
      </c>
      <c r="D26" s="76">
        <v>24493</v>
      </c>
      <c r="E26" s="76">
        <v>25388</v>
      </c>
      <c r="F26" s="76">
        <v>6795</v>
      </c>
      <c r="G26" s="76">
        <v>8755</v>
      </c>
      <c r="H26" s="76">
        <v>5215</v>
      </c>
      <c r="I26" s="1">
        <f>SUM(D26:H26)</f>
        <v>70646</v>
      </c>
    </row>
    <row r="27" spans="1:9" ht="24" customHeight="1" x14ac:dyDescent="0.25">
      <c r="A27" s="76">
        <v>23</v>
      </c>
      <c r="B27" s="144" t="s">
        <v>53</v>
      </c>
      <c r="C27" s="77" t="s">
        <v>54</v>
      </c>
      <c r="D27" s="76">
        <v>25742</v>
      </c>
      <c r="E27" s="76">
        <v>12355</v>
      </c>
      <c r="F27" s="76">
        <v>14244</v>
      </c>
      <c r="G27" s="76">
        <v>9320</v>
      </c>
      <c r="H27" s="76">
        <v>4915</v>
      </c>
      <c r="I27" s="1">
        <f>SUM(D27:H27)</f>
        <v>66576</v>
      </c>
    </row>
    <row r="28" spans="1:9" ht="24" customHeight="1" x14ac:dyDescent="0.25">
      <c r="A28" s="76">
        <v>24</v>
      </c>
      <c r="B28" s="144" t="s">
        <v>1</v>
      </c>
      <c r="C28" s="77" t="s">
        <v>2</v>
      </c>
      <c r="D28" s="76">
        <v>11365</v>
      </c>
      <c r="E28" s="76">
        <v>14435</v>
      </c>
      <c r="F28" s="76">
        <v>11178</v>
      </c>
      <c r="G28" s="76">
        <v>7925</v>
      </c>
      <c r="H28" s="76">
        <v>5125</v>
      </c>
      <c r="I28" s="1">
        <f>SUM(D28:H28)</f>
        <v>50028</v>
      </c>
    </row>
    <row r="29" spans="1:9" ht="24" customHeight="1" x14ac:dyDescent="0.25">
      <c r="A29" s="76">
        <v>25</v>
      </c>
      <c r="B29" s="144" t="s">
        <v>11</v>
      </c>
      <c r="C29" s="77" t="s">
        <v>12</v>
      </c>
      <c r="D29" s="76">
        <v>8980</v>
      </c>
      <c r="E29" s="76">
        <v>10945</v>
      </c>
      <c r="F29" s="76">
        <v>8425</v>
      </c>
      <c r="G29" s="76">
        <v>10430</v>
      </c>
      <c r="H29" s="76">
        <v>4955</v>
      </c>
      <c r="I29" s="1">
        <f>SUM(D29:H29)</f>
        <v>43735</v>
      </c>
    </row>
    <row r="30" spans="1:9" ht="24" customHeight="1" x14ac:dyDescent="0.25">
      <c r="A30" s="76">
        <v>26</v>
      </c>
      <c r="B30" s="144" t="s">
        <v>59</v>
      </c>
      <c r="C30" s="77" t="s">
        <v>60</v>
      </c>
      <c r="D30" s="76">
        <v>8015</v>
      </c>
      <c r="E30" s="76">
        <v>7555</v>
      </c>
      <c r="F30" s="76">
        <v>5810</v>
      </c>
      <c r="G30" s="76">
        <v>5525</v>
      </c>
      <c r="H30" s="76">
        <v>3557</v>
      </c>
      <c r="I30" s="1">
        <f>SUM(D30:H30)</f>
        <v>30462</v>
      </c>
    </row>
    <row r="31" spans="1:9" ht="24" customHeight="1" x14ac:dyDescent="0.25">
      <c r="A31" s="76">
        <v>27</v>
      </c>
      <c r="B31" s="144" t="s">
        <v>65</v>
      </c>
      <c r="C31" s="77" t="s">
        <v>66</v>
      </c>
      <c r="D31" s="76">
        <v>8947</v>
      </c>
      <c r="E31" s="76">
        <v>9150</v>
      </c>
      <c r="F31" s="76">
        <v>5771</v>
      </c>
      <c r="G31" s="76">
        <v>1790</v>
      </c>
      <c r="H31" s="76">
        <v>3542</v>
      </c>
      <c r="I31" s="1">
        <f>SUM(D31:H31)</f>
        <v>29200</v>
      </c>
    </row>
    <row r="32" spans="1:9" ht="24" customHeight="1" x14ac:dyDescent="0.25">
      <c r="A32" s="76">
        <v>28</v>
      </c>
      <c r="B32" s="144" t="s">
        <v>63</v>
      </c>
      <c r="C32" s="77" t="s">
        <v>64</v>
      </c>
      <c r="D32" s="76">
        <v>7022</v>
      </c>
      <c r="E32" s="76">
        <v>6745</v>
      </c>
      <c r="F32" s="76">
        <v>3375</v>
      </c>
      <c r="G32" s="76">
        <v>3585</v>
      </c>
      <c r="H32" s="76">
        <v>4228</v>
      </c>
      <c r="I32" s="1">
        <f>SUM(D32:H32)</f>
        <v>24955</v>
      </c>
    </row>
    <row r="33" spans="1:9" ht="24" customHeight="1" x14ac:dyDescent="0.25">
      <c r="A33" s="76">
        <v>29</v>
      </c>
      <c r="B33" s="144" t="s">
        <v>37</v>
      </c>
      <c r="C33" s="77" t="s">
        <v>38</v>
      </c>
      <c r="D33" s="76">
        <v>13190</v>
      </c>
      <c r="E33" s="76">
        <v>1035</v>
      </c>
      <c r="F33" s="76">
        <v>855</v>
      </c>
      <c r="G33" s="76">
        <v>4270</v>
      </c>
      <c r="H33" s="76">
        <v>2472</v>
      </c>
      <c r="I33" s="1">
        <f>SUM(D33:H33)</f>
        <v>21822</v>
      </c>
    </row>
    <row r="34" spans="1:9" ht="24" customHeight="1" x14ac:dyDescent="0.25">
      <c r="A34" s="76">
        <v>30</v>
      </c>
      <c r="B34" s="144" t="s">
        <v>69</v>
      </c>
      <c r="C34" s="77" t="s">
        <v>70</v>
      </c>
      <c r="D34" s="76">
        <v>3985</v>
      </c>
      <c r="E34" s="76">
        <v>5910</v>
      </c>
      <c r="F34" s="76">
        <v>2124</v>
      </c>
      <c r="G34" s="76">
        <v>4629</v>
      </c>
      <c r="H34" s="76">
        <v>2056</v>
      </c>
      <c r="I34" s="1">
        <f>SUM(D34:H34)</f>
        <v>18704</v>
      </c>
    </row>
    <row r="35" spans="1:9" ht="24" customHeight="1" x14ac:dyDescent="0.25">
      <c r="A35" s="76">
        <v>31</v>
      </c>
      <c r="B35" s="144" t="s">
        <v>19</v>
      </c>
      <c r="C35" s="77" t="s">
        <v>20</v>
      </c>
      <c r="D35" s="76">
        <v>4220</v>
      </c>
      <c r="E35" s="76">
        <v>4115</v>
      </c>
      <c r="F35" s="76">
        <v>2887</v>
      </c>
      <c r="G35" s="76">
        <v>4150</v>
      </c>
      <c r="H35" s="76">
        <v>3</v>
      </c>
      <c r="I35" s="1">
        <f>SUM(D35:H35)</f>
        <v>15375</v>
      </c>
    </row>
    <row r="36" spans="1:9" ht="24" customHeight="1" x14ac:dyDescent="0.25">
      <c r="A36" s="76">
        <v>32</v>
      </c>
      <c r="B36" s="144" t="s">
        <v>3</v>
      </c>
      <c r="C36" s="77" t="s">
        <v>4</v>
      </c>
      <c r="D36" s="76">
        <v>2595</v>
      </c>
      <c r="E36" s="76">
        <v>3004</v>
      </c>
      <c r="F36" s="76">
        <v>3586</v>
      </c>
      <c r="G36" s="76">
        <v>2030</v>
      </c>
      <c r="H36" s="76">
        <v>1817</v>
      </c>
      <c r="I36" s="1">
        <f>SUM(D36:H36)</f>
        <v>13032</v>
      </c>
    </row>
    <row r="37" spans="1:9" ht="24" customHeight="1" x14ac:dyDescent="0.25">
      <c r="A37" s="76">
        <v>33</v>
      </c>
      <c r="B37" s="144" t="s">
        <v>67</v>
      </c>
      <c r="C37" s="77" t="s">
        <v>68</v>
      </c>
      <c r="D37" s="76">
        <v>3075</v>
      </c>
      <c r="E37" s="76">
        <v>3990</v>
      </c>
      <c r="F37" s="76">
        <v>1375</v>
      </c>
      <c r="G37" s="76">
        <v>1670</v>
      </c>
      <c r="H37" s="76">
        <v>1796</v>
      </c>
      <c r="I37" s="1">
        <f>SUM(D37:H37)</f>
        <v>11906</v>
      </c>
    </row>
    <row r="38" spans="1:9" ht="24" customHeight="1" x14ac:dyDescent="0.25">
      <c r="A38" s="76">
        <v>34</v>
      </c>
      <c r="B38" s="144" t="s">
        <v>39</v>
      </c>
      <c r="C38" s="77" t="s">
        <v>40</v>
      </c>
      <c r="D38" s="76"/>
      <c r="E38" s="76"/>
      <c r="F38" s="76">
        <v>2350</v>
      </c>
      <c r="G38" s="76">
        <v>3480</v>
      </c>
      <c r="H38" s="76">
        <v>3855</v>
      </c>
      <c r="I38" s="1">
        <f>SUM(D38:H38)</f>
        <v>9685</v>
      </c>
    </row>
    <row r="39" spans="1:9" ht="24" customHeight="1" x14ac:dyDescent="0.25">
      <c r="A39" s="76">
        <v>35</v>
      </c>
      <c r="B39" s="144" t="s">
        <v>73</v>
      </c>
      <c r="C39" s="77" t="s">
        <v>74</v>
      </c>
      <c r="D39" s="76"/>
      <c r="E39" s="76"/>
      <c r="F39" s="76">
        <v>1690</v>
      </c>
      <c r="G39" s="76">
        <v>500</v>
      </c>
      <c r="H39" s="76">
        <v>3480</v>
      </c>
      <c r="I39" s="1">
        <f>SUM(D39:H39)</f>
        <v>5670</v>
      </c>
    </row>
    <row r="40" spans="1:9" ht="24" customHeight="1" x14ac:dyDescent="0.25">
      <c r="A40" s="76">
        <v>36</v>
      </c>
      <c r="B40" s="144" t="s">
        <v>71</v>
      </c>
      <c r="C40" s="77" t="s">
        <v>72</v>
      </c>
      <c r="D40" s="76"/>
      <c r="E40" s="76">
        <v>250</v>
      </c>
      <c r="F40" s="76">
        <v>940</v>
      </c>
      <c r="G40" s="76">
        <v>245</v>
      </c>
      <c r="H40" s="76">
        <v>1600</v>
      </c>
      <c r="I40" s="1">
        <f>SUM(D40:H40)</f>
        <v>3035</v>
      </c>
    </row>
    <row r="41" spans="1:9" ht="24" customHeight="1" x14ac:dyDescent="0.25">
      <c r="A41" s="76">
        <v>37</v>
      </c>
      <c r="B41" s="144" t="s">
        <v>41</v>
      </c>
      <c r="C41" s="77" t="s">
        <v>42</v>
      </c>
      <c r="D41" s="76">
        <v>760</v>
      </c>
      <c r="E41" s="76">
        <v>210</v>
      </c>
      <c r="F41" s="76">
        <v>5</v>
      </c>
      <c r="G41" s="76">
        <v>20</v>
      </c>
      <c r="H41" s="76">
        <v>141</v>
      </c>
      <c r="I41" s="1">
        <f>SUM(D41:H41)</f>
        <v>1136</v>
      </c>
    </row>
    <row r="42" spans="1:9" ht="24" customHeight="1" x14ac:dyDescent="0.25">
      <c r="A42" s="76">
        <v>38</v>
      </c>
      <c r="B42" s="144" t="s">
        <v>75</v>
      </c>
      <c r="C42" s="77" t="s">
        <v>76</v>
      </c>
      <c r="D42" s="76"/>
      <c r="E42" s="76"/>
      <c r="F42" s="76">
        <v>690</v>
      </c>
      <c r="G42" s="76">
        <v>130</v>
      </c>
      <c r="H42" s="76">
        <v>155</v>
      </c>
      <c r="I42" s="1">
        <f>SUM(D42:H42)</f>
        <v>975</v>
      </c>
    </row>
    <row r="43" spans="1:9" ht="24" customHeight="1" x14ac:dyDescent="0.25">
      <c r="A43" s="76">
        <v>39</v>
      </c>
      <c r="B43" s="144" t="s">
        <v>77</v>
      </c>
      <c r="C43" s="77" t="s">
        <v>250</v>
      </c>
      <c r="D43" s="76"/>
      <c r="E43" s="76">
        <v>370</v>
      </c>
      <c r="F43" s="76"/>
      <c r="G43" s="76"/>
      <c r="H43" s="76"/>
      <c r="I43" s="1">
        <f>SUM(D43:H43)</f>
        <v>370</v>
      </c>
    </row>
    <row r="44" spans="1:9" s="2" customFormat="1" ht="24" customHeight="1" x14ac:dyDescent="0.25">
      <c r="A44" s="186" t="s">
        <v>289</v>
      </c>
      <c r="B44" s="186"/>
      <c r="C44" s="186"/>
      <c r="D44" s="81">
        <f>SUM(D5:D43)</f>
        <v>570600</v>
      </c>
      <c r="E44" s="81">
        <f t="shared" ref="E44:I44" si="0">SUM(E5:E43)</f>
        <v>848229</v>
      </c>
      <c r="F44" s="81">
        <f t="shared" si="0"/>
        <v>661037</v>
      </c>
      <c r="G44" s="81">
        <f t="shared" si="0"/>
        <v>566571</v>
      </c>
      <c r="H44" s="81">
        <f t="shared" si="0"/>
        <v>501769</v>
      </c>
      <c r="I44" s="81">
        <f t="shared" si="0"/>
        <v>3148206</v>
      </c>
    </row>
    <row r="45" spans="1:9" x14ac:dyDescent="0.25">
      <c r="A45" s="187" t="s">
        <v>290</v>
      </c>
      <c r="B45" s="187"/>
      <c r="C45" s="187"/>
      <c r="D45" s="82">
        <f>MAX(D5:D43)</f>
        <v>55402</v>
      </c>
      <c r="E45" s="82">
        <f t="shared" ref="E45:I45" si="1">MAX(E5:E43)</f>
        <v>86215</v>
      </c>
      <c r="F45" s="82">
        <f t="shared" si="1"/>
        <v>70804</v>
      </c>
      <c r="G45" s="82">
        <f t="shared" si="1"/>
        <v>57445</v>
      </c>
      <c r="H45" s="82">
        <f t="shared" si="1"/>
        <v>55468</v>
      </c>
      <c r="I45" s="82">
        <f t="shared" si="1"/>
        <v>325334</v>
      </c>
    </row>
    <row r="46" spans="1:9" x14ac:dyDescent="0.25">
      <c r="A46" s="188" t="s">
        <v>291</v>
      </c>
      <c r="B46" s="188"/>
      <c r="C46" s="188"/>
      <c r="D46" s="83">
        <f>MIN(D5:D43)</f>
        <v>760</v>
      </c>
      <c r="E46" s="83">
        <f t="shared" ref="E46:I46" si="2">MIN(E5:E43)</f>
        <v>210</v>
      </c>
      <c r="F46" s="83">
        <f t="shared" si="2"/>
        <v>5</v>
      </c>
      <c r="G46" s="83">
        <f t="shared" si="2"/>
        <v>20</v>
      </c>
      <c r="H46" s="83">
        <f t="shared" si="2"/>
        <v>3</v>
      </c>
      <c r="I46" s="83">
        <f t="shared" si="2"/>
        <v>370</v>
      </c>
    </row>
    <row r="47" spans="1:9" x14ac:dyDescent="0.25">
      <c r="A47" s="189" t="s">
        <v>292</v>
      </c>
      <c r="B47" s="189"/>
      <c r="C47" s="189"/>
      <c r="D47" s="89">
        <f>AVERAGE(D5:D43)</f>
        <v>16782.352941176472</v>
      </c>
      <c r="E47" s="89">
        <f t="shared" ref="E47:I47" si="3">AVERAGE(E5:E43)</f>
        <v>23561.916666666668</v>
      </c>
      <c r="F47" s="89">
        <f t="shared" si="3"/>
        <v>17395.71052631579</v>
      </c>
      <c r="G47" s="89">
        <f t="shared" si="3"/>
        <v>14909.763157894737</v>
      </c>
      <c r="H47" s="89">
        <f t="shared" si="3"/>
        <v>13204.447368421053</v>
      </c>
      <c r="I47" s="89">
        <f t="shared" si="3"/>
        <v>80723.230769230766</v>
      </c>
    </row>
    <row r="48" spans="1:9" x14ac:dyDescent="0.25">
      <c r="A48" s="190" t="s">
        <v>293</v>
      </c>
      <c r="B48" s="190"/>
      <c r="C48" s="190"/>
      <c r="D48" s="80">
        <f>COUNT(D5:D43)</f>
        <v>34</v>
      </c>
      <c r="E48" s="80">
        <f t="shared" ref="E48:I48" si="4">COUNT(E5:E43)</f>
        <v>36</v>
      </c>
      <c r="F48" s="80">
        <f t="shared" si="4"/>
        <v>38</v>
      </c>
      <c r="G48" s="80">
        <f t="shared" si="4"/>
        <v>38</v>
      </c>
      <c r="H48" s="80">
        <f t="shared" si="4"/>
        <v>38</v>
      </c>
      <c r="I48" s="80">
        <f t="shared" si="4"/>
        <v>39</v>
      </c>
    </row>
  </sheetData>
  <sortState ref="A5:I43">
    <sortCondition descending="1" ref="I5:I43"/>
  </sortState>
  <mergeCells count="11">
    <mergeCell ref="A1:I1"/>
    <mergeCell ref="A45:C45"/>
    <mergeCell ref="A46:C46"/>
    <mergeCell ref="A47:C47"/>
    <mergeCell ref="A48:C48"/>
    <mergeCell ref="A44:C44"/>
    <mergeCell ref="I3:I4"/>
    <mergeCell ref="C3:C4"/>
    <mergeCell ref="B3:B4"/>
    <mergeCell ref="A3:A4"/>
    <mergeCell ref="G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4</vt:i4>
      </vt:variant>
    </vt:vector>
  </HeadingPairs>
  <TitlesOfParts>
    <vt:vector size="16" baseType="lpstr">
      <vt:lpstr>2018(Size)</vt:lpstr>
      <vt:lpstr>2018(Name)</vt:lpstr>
      <vt:lpstr>2019 (Size)</vt:lpstr>
      <vt:lpstr>2019(Name)</vt:lpstr>
      <vt:lpstr>2020(Size)</vt:lpstr>
      <vt:lpstr>2020(Name)</vt:lpstr>
      <vt:lpstr>2021(Size)</vt:lpstr>
      <vt:lpstr>2021(Name)</vt:lpstr>
      <vt:lpstr>2022(Size)</vt:lpstr>
      <vt:lpstr>2022(Name)</vt:lpstr>
      <vt:lpstr>18,19,20,21,22(Summary)</vt:lpstr>
      <vt:lpstr>2018,2019,2020,2021,2022 (Size)</vt:lpstr>
      <vt:lpstr>'2018(Name)'!Print_Titles</vt:lpstr>
      <vt:lpstr>'2018(Size)'!Print_Titles</vt:lpstr>
      <vt:lpstr>'2019 (Size)'!Print_Titles</vt:lpstr>
      <vt:lpstr>'2019(Name)'!Print_Titles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Administrator</cp:lastModifiedBy>
  <cp:lastPrinted>2023-01-06T03:05:34Z</cp:lastPrinted>
  <dcterms:created xsi:type="dcterms:W3CDTF">2023-01-01T15:39:28Z</dcterms:created>
  <dcterms:modified xsi:type="dcterms:W3CDTF">2023-01-06T04:16:42Z</dcterms:modified>
</cp:coreProperties>
</file>